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losa" sheetId="1" r:id="rId5"/>
    <sheet state="visible" name="Xarajat puli" sheetId="2" r:id="rId6"/>
    <sheet state="visible" name="Ishchi kartasi" sheetId="3" r:id="rId7"/>
    <sheet state="visible" name="Mijoz kartasi" sheetId="4" r:id="rId8"/>
    <sheet state="visible" name="Kafolat xatlari" sheetId="5" r:id="rId9"/>
    <sheet state="visible" name="Bonus hisoboti" sheetId="6" r:id="rId10"/>
    <sheet state="hidden" name="Amallar" sheetId="7" r:id="rId11"/>
    <sheet state="hidden" name="Buyurtmalar" sheetId="8" r:id="rId12"/>
    <sheet state="visible" name="Ishchilar" sheetId="9" r:id="rId13"/>
    <sheet state="visible" name="Tekshiruv" sheetId="10" r:id="rId14"/>
    <sheet state="visible" name="Mijoz fikrlari" sheetId="11" r:id="rId15"/>
    <sheet state="visible" name="Bonuslar" sheetId="12" r:id="rId16"/>
    <sheet state="visible" name="Xodimlar" sheetId="13" r:id="rId17"/>
    <sheet state="hidden" name="Oylik hisob" sheetId="14" r:id="rId18"/>
    <sheet state="visible" name="Sozlamalar" sheetId="15" r:id="rId19"/>
    <sheet state="visible" name="Davomat" sheetId="16" r:id="rId20"/>
    <sheet state="visible" name="Shaxsiy va uy" sheetId="17" r:id="rId21"/>
    <sheet state="hidden" name="Saytga kiritish" sheetId="18" r:id="rId22"/>
  </sheets>
  <definedNames/>
  <calcPr/>
</workbook>
</file>

<file path=xl/sharedStrings.xml><?xml version="1.0" encoding="utf-8"?>
<sst xmlns="http://schemas.openxmlformats.org/spreadsheetml/2006/main" count="4877" uniqueCount="1011">
  <si>
    <t>🧾 Mijoz kartasi — mijoz ID bo'yicha hamma ma'lumot</t>
  </si>
  <si>
    <t>👷 Ishchi kartasi — kim qancha oylik olgan, qachon va nima uchun</t>
  </si>
  <si>
    <t>💸 Xarajat puli — ish uchun bergan pullaringiz (oylikka qo'shilmaydi)</t>
  </si>
  <si>
    <t>Oyliklari alohida: «👷 Ishchi kartasi» (Islom, Umid). Bu yerda faqat siz ish xarajati uchun bergan pul va u nimaga sarflangani.</t>
  </si>
  <si>
    <t>👤 Xodimni tanlang:</t>
  </si>
  <si>
    <t>Bu yerda faqat oylik. Umid va Islomga ish uchun bergan pullaringiz → «💸 Xarajat puli» varag'ida.</t>
  </si>
  <si>
    <t>👤 Ishchi:</t>
  </si>
  <si>
    <t>🧾 Mijoz:</t>
  </si>
  <si>
    <t>°°•• Gafurov Islom ••°°</t>
  </si>
  <si>
    <t>395 · БЕКЗОД</t>
  </si>
  <si>
    <t>Dilmurod</t>
  </si>
  <si>
    <t>← katakni bosing va ro'yxatdan mijozni tanlang (yoki ID yozing)</t>
  </si>
  <si>
    <t>← katakni bosing: Umid Yusupov yoki Gafurov Islom</t>
  </si>
  <si>
    <t>← katakni bosing va ro'yxatdan ismni tanlang</t>
  </si>
  <si>
    <t>📅 Davr:</t>
  </si>
  <si>
    <t>gacha:</t>
  </si>
  <si>
    <t>Mijoz ismi:</t>
  </si>
  <si>
    <t>← ikkala sanani ham ikki marta bosing — kalendar ochiladi</t>
  </si>
  <si>
    <t>Holat:</t>
  </si>
  <si>
    <t>Bo'lim / lavozim:</t>
  </si>
  <si>
    <t>💸 Sizdan olgan</t>
  </si>
  <si>
    <t>🔴 Ish uchun sarflagan</t>
  </si>
  <si>
    <t>👛 Qo'lida qolgan</t>
  </si>
  <si>
    <t>Mijozdan olindi:</t>
  </si>
  <si>
    <t>📝 Necha marta olgan</t>
  </si>
  <si>
    <t>Итого (sayt):</t>
  </si>
  <si>
    <t>💵 Avans (shu davrda)</t>
  </si>
  <si>
    <t>🧾 Oylik (shu davrda)</t>
  </si>
  <si>
    <t>💰 Jami (shu davrda)</t>
  </si>
  <si>
    <t>Topshirish sanasi:</t>
  </si>
  <si>
    <t>📝 Necha marta · oxirgi</t>
  </si>
  <si>
    <t>Dollar kursi:</t>
  </si>
  <si>
    <t>Mebel turi:</t>
  </si>
  <si>
    <t>Manzil:</t>
  </si>
  <si>
    <t>📥 Sizdan olgan pullari</t>
  </si>
  <si>
    <t>🔴 Nimaga sarflagan (har biri)</t>
  </si>
  <si>
    <t>📊 Turlari bo'yicha</t>
  </si>
  <si>
    <t>Sana</t>
  </si>
  <si>
    <t>Summa (so'm)</t>
  </si>
  <si>
    <t>Dollarda</t>
  </si>
  <si>
    <t>Sabab / izoh</t>
  </si>
  <si>
    <t>Vaqt</t>
  </si>
  <si>
    <t>Turi</t>
  </si>
  <si>
    <t>Buyurtma ID</t>
  </si>
  <si>
    <t>Izoh</t>
  </si>
  <si>
    <t>💼 Итого (so'm va $)</t>
  </si>
  <si>
    <t>🔴 Jami xarajat</t>
  </si>
  <si>
    <t>💰 FOYDA (Итого − xarajat)</t>
  </si>
  <si>
    <t>📊 Foyda foizi</t>
  </si>
  <si>
    <t>👤 Kim bergan</t>
  </si>
  <si>
    <t>📋 Har bir oylik (yangisi tepada)</t>
  </si>
  <si>
    <t>Kim berdi</t>
  </si>
  <si>
    <t>Izoh (nima uchun)</t>
  </si>
  <si>
    <t>📊 Xarajat turlari</t>
  </si>
  <si>
    <t>📋 Barcha amallar — kirim va chiqim (yangisi tepada)</t>
  </si>
  <si>
    <t>Xodim</t>
  </si>
  <si>
    <t>Kategoriya</t>
  </si>
  <si>
    <t>📊 SerMebel — Xulosa</t>
  </si>
  <si>
    <t>← ikkala sanani ikki marta bosing — kalendar ochiladi</t>
  </si>
  <si>
    <t>🔴 Xarajatlar</t>
  </si>
  <si>
    <t>🟢 Daromadlar</t>
  </si>
  <si>
    <t>💠 Balans</t>
  </si>
  <si>
    <t>💸 Xodimlarga berildi</t>
  </si>
  <si>
    <t>👔 Rahbarga (shaxsiy)</t>
  </si>
  <si>
    <t>🏠 Uy uchun (shaxsiy)</t>
  </si>
  <si>
    <t>Xarajatlar turlari bo'yicha</t>
  </si>
  <si>
    <t>Summa</t>
  </si>
  <si>
    <t>Operatsiya</t>
  </si>
  <si>
    <t>Ulushi</t>
  </si>
  <si>
    <t>👷 Ойлик (ish haqi)</t>
  </si>
  <si>
    <t>🪵 Заказ материал</t>
  </si>
  <si>
    <t>🏭 Завод продукта</t>
  </si>
  <si>
    <t>🔩 Furnitura</t>
  </si>
  <si>
    <t>🚚 Mashina / dostavka</t>
  </si>
  <si>
    <t>⛽ Zapravka</t>
  </si>
  <si>
    <t>🔧 Remont avto</t>
  </si>
  <si>
    <t>💡 Kommunal xizmatlar</t>
  </si>
  <si>
    <t>🛎 Usluga (xizmatlar)</t>
  </si>
  <si>
    <t>📣 СММ / reklama</t>
  </si>
  <si>
    <t>🗂 Ofis uchun</t>
  </si>
  <si>
    <t>🛠 Asbob-uskuna</t>
  </si>
  <si>
    <t>🍽 Ovqat</t>
  </si>
  <si>
    <t>🔁 Peredelka (qayta ishlash)</t>
  </si>
  <si>
    <t>📦 Boshqa</t>
  </si>
  <si>
    <t>JAMI</t>
  </si>
  <si>
    <t>Daromadlar turlari bo'yicha</t>
  </si>
  <si>
    <t>💰 Avans (yangi zakaz)</t>
  </si>
  <si>
    <t>✅ Qoldiq to'lov (bitgan zakaz)</t>
  </si>
  <si>
    <t>👔 Rahbardan</t>
  </si>
  <si>
    <t>ichki o'tkazma — daromadga kirmaydi</t>
  </si>
  <si>
    <t>↩️ Qaytim / vozvrat</t>
  </si>
  <si>
    <t>📥 Boshqa kirim</t>
  </si>
  <si>
    <t>Hamyonlar (xodimlar)</t>
  </si>
  <si>
    <t>Oyda berildi</t>
  </si>
  <si>
    <t>Oyda sarfladi</t>
  </si>
  <si>
    <t>Hamyonda (jami)</t>
  </si>
  <si>
    <t>Oylik hisob</t>
  </si>
  <si>
    <t>💼 МирМуxаммад Файзуллаев (rahbar)</t>
  </si>
  <si>
    <t>— kassa</t>
  </si>
  <si>
    <t>👤 °°•• Gafurov Islom ••°°</t>
  </si>
  <si>
    <t>👤 Umid Yusupov</t>
  </si>
  <si>
    <t>👷 Oylik — kimga</t>
  </si>
  <si>
    <t>Ism</t>
  </si>
  <si>
    <t>Bo'lim</t>
  </si>
  <si>
    <t>Lavozim</t>
  </si>
  <si>
    <t>1-komanda (sborka-ustanovka)</t>
  </si>
  <si>
    <t>bosh usta</t>
  </si>
  <si>
    <t>Jamshid</t>
  </si>
  <si>
    <t>sherik</t>
  </si>
  <si>
    <t>Jalol</t>
  </si>
  <si>
    <t>Nurilla</t>
  </si>
  <si>
    <t>👥 1-komanda (butun komanda)</t>
  </si>
  <si>
    <t>Mirjamol</t>
  </si>
  <si>
    <t>2-komanda (sborka-ustanovka)</t>
  </si>
  <si>
    <t>Baxodir</t>
  </si>
  <si>
    <t>👥 2-komanda (butun komanda)</t>
  </si>
  <si>
    <t>Jumaka</t>
  </si>
  <si>
    <t>Zavod</t>
  </si>
  <si>
    <t>Ulug'bek aka</t>
  </si>
  <si>
    <t>shofyor</t>
  </si>
  <si>
    <t>Elyor</t>
  </si>
  <si>
    <t>Muxabbat opa</t>
  </si>
  <si>
    <t>molyar</t>
  </si>
  <si>
    <t>Axmadilla</t>
  </si>
  <si>
    <t>Molyarlar</t>
  </si>
  <si>
    <t>Jasur</t>
  </si>
  <si>
    <t>Islom</t>
  </si>
  <si>
    <t>Ofis</t>
  </si>
  <si>
    <t>CEO</t>
  </si>
  <si>
    <t>Umid</t>
  </si>
  <si>
    <t>Pro meneger</t>
  </si>
  <si>
    <t>Maftuna</t>
  </si>
  <si>
    <t>Mijoz</t>
  </si>
  <si>
    <t>Готов sanasi</t>
  </si>
  <si>
    <t>Holat</t>
  </si>
  <si>
    <t>Berilgan sana</t>
  </si>
  <si>
    <t>📜 Kafolat xatlari</t>
  </si>
  <si>
    <t>Bosh sotuv men.</t>
  </si>
  <si>
    <t>Soni</t>
  </si>
  <si>
    <t>Nafisa</t>
  </si>
  <si>
    <t>СОХИБА</t>
  </si>
  <si>
    <t>❓ Belgilanmagan (eski)</t>
  </si>
  <si>
    <t>eski zakaz — berilgan bo'lsa: /kafolat 398</t>
  </si>
  <si>
    <t>✅ Berilgan</t>
  </si>
  <si>
    <t>Sotuv men.</t>
  </si>
  <si>
    <t>Mumina</t>
  </si>
  <si>
    <t>Mohir aka</t>
  </si>
  <si>
    <t>eski zakaz — berilgan bo'lsa: /kafolat 396</t>
  </si>
  <si>
    <t>❌ Berilmagan (yangi Готов)</t>
  </si>
  <si>
    <t>ХУСНИДДИН</t>
  </si>
  <si>
    <t>eski zakaz — berilgan bo'lsa: /kafolat 393</t>
  </si>
  <si>
    <t>❓ Eski, belgilanmagan</t>
  </si>
  <si>
    <t>SMM</t>
  </si>
  <si>
    <t>АКБАР АКА</t>
  </si>
  <si>
    <t>eski zakaz — berilgan bo'lsa: /kafolat 391</t>
  </si>
  <si>
    <t>Izzatilla</t>
  </si>
  <si>
    <t>ДИЛШОД</t>
  </si>
  <si>
    <t>eski zakaz — berilgan bo'lsa: /kafolat 390</t>
  </si>
  <si>
    <t>ШАХНОЗА</t>
  </si>
  <si>
    <t>eski zakaz — berilgan bo'lsa: /kafolat 387</t>
  </si>
  <si>
    <t>Nigora</t>
  </si>
  <si>
    <t>eski zakaz — berilgan bo'lsa: /kafolat 386</t>
  </si>
  <si>
    <t>САИДИСЛОМ</t>
  </si>
  <si>
    <t>eski zakaz — berilgan bo'lsa: /kafolat 385</t>
  </si>
  <si>
    <t>eski zakaz — berilgan bo'lsa: /kafolat 384</t>
  </si>
  <si>
    <t>УМИД АКА</t>
  </si>
  <si>
    <t>eski zakaz — berilgan bo'lsa: /kafolat 382</t>
  </si>
  <si>
    <t>Shaxzoda</t>
  </si>
  <si>
    <t>eski zakaz — berilgan bo'lsa: /kafolat 381</t>
  </si>
  <si>
    <t>Aziz aka</t>
  </si>
  <si>
    <t>Dizayner</t>
  </si>
  <si>
    <t>eski zakaz — berilgan bo'lsa: /kafolat 380</t>
  </si>
  <si>
    <t>Oybek aka</t>
  </si>
  <si>
    <t>eski zakaz — berilgan bo'lsa: /kafolat 379</t>
  </si>
  <si>
    <t>Akbar</t>
  </si>
  <si>
    <t>Doston</t>
  </si>
  <si>
    <t>eski zakaz — berilgan bo'lsa: /kafolat 378</t>
  </si>
  <si>
    <t>eski zakaz — berilgan bo'lsa: /kafolat 377</t>
  </si>
  <si>
    <t>НОСИР АКА</t>
  </si>
  <si>
    <t>eski zakaz — berilgan bo'lsa: /kafolat 376</t>
  </si>
  <si>
    <t>Nuriddin aka</t>
  </si>
  <si>
    <t>eski zakaz — berilgan bo'lsa: /kafolat 375</t>
  </si>
  <si>
    <t>НАЗИРА ОПА</t>
  </si>
  <si>
    <t>eski zakaz — berilgan bo'lsa: /kafolat 374</t>
  </si>
  <si>
    <t>Usmon aka</t>
  </si>
  <si>
    <t>eski zakaz — berilgan bo'lsa: /kafolat 371</t>
  </si>
  <si>
    <t>УЛУГБЕК</t>
  </si>
  <si>
    <t>eski zakaz — berilgan bo'lsa: /kafolat 370</t>
  </si>
  <si>
    <t>Konstruktor</t>
  </si>
  <si>
    <t>Muhtorhon</t>
  </si>
  <si>
    <t>eski zakaz — berilgan bo'lsa: /kafolat 369</t>
  </si>
  <si>
    <t>Dilbar</t>
  </si>
  <si>
    <t>eski zakaz — berilgan bo'lsa: /kafolat 368</t>
  </si>
  <si>
    <t>— (ism yozilmagan)</t>
  </si>
  <si>
    <t>МАРХАБО</t>
  </si>
  <si>
    <t>eski zakaz — berilgan bo'lsa: /kafolat 367</t>
  </si>
  <si>
    <t>Munisa</t>
  </si>
  <si>
    <t>eski zakaz — berilgan bo'lsa: /kafolat 366</t>
  </si>
  <si>
    <t>Хуршид</t>
  </si>
  <si>
    <t>✅ Berildi</t>
  </si>
  <si>
    <t>Umid Yusupov</t>
  </si>
  <si>
    <t>БЕКЗОД</t>
  </si>
  <si>
    <t>Ezoza opa</t>
  </si>
  <si>
    <t>ФЕРУЗА ОПА</t>
  </si>
  <si>
    <t>XAMID AKA</t>
  </si>
  <si>
    <t>JAMI oylik</t>
  </si>
  <si>
    <t>Oylar bo'yicha (12 oy)</t>
  </si>
  <si>
    <t>Oy</t>
  </si>
  <si>
    <t>Daromad</t>
  </si>
  <si>
    <t>Xarajat</t>
  </si>
  <si>
    <t>Balans</t>
  </si>
  <si>
    <t>🎁 Umid Yusupov — bonus hisoboti (Готов zakazlar)</t>
  </si>
  <si>
    <t>Har bir «Готов» zakaz: necha kunda pul yechib olindi va qancha bonus. ≤3 kun — 0.5%, 4–7 kun — 0.4%, 8–30 kun — 0.3%, 30 kundan ko'p — 0%. Ma'lumot bot yozadigan «Bonuslar» varag'idan.</t>
  </si>
  <si>
    <t>✅ Yechilgan zakazlar</t>
  </si>
  <si>
    <t>⚡ 0–3 kunda (0.5%)</t>
  </si>
  <si>
    <t>🟢 4–7 kunda (0.4%)</t>
  </si>
  <si>
    <t>🟡 8–30 kunda (0.3%)</t>
  </si>
  <si>
    <t>❌ 30 kundan o'tgan (0%)</t>
  </si>
  <si>
    <t>🎁 Bonus jami (so'm)</t>
  </si>
  <si>
    <t>📋 Zakazlar ro'yxati (shu davrda Готов bo'lgan, pul olingan yoki hali kutilayotgan)</t>
  </si>
  <si>
    <t>ID</t>
  </si>
  <si>
    <t>Pul olingan</t>
  </si>
  <si>
    <t>Necha kunda</t>
  </si>
  <si>
    <t>Foiz</t>
  </si>
  <si>
    <t>Bonus (so'm)</t>
  </si>
  <si>
    <t>Telefon</t>
  </si>
  <si>
    <t>Tavsif</t>
  </si>
  <si>
    <t>Xodim ID</t>
  </si>
  <si>
    <t>Shartnoma (so'm)</t>
  </si>
  <si>
    <t>Ochilgan</t>
  </si>
  <si>
    <t>Yopilgan</t>
  </si>
  <si>
    <t>Sarflandi</t>
  </si>
  <si>
    <t>Valyuta</t>
  </si>
  <si>
    <t>Avans olindi</t>
  </si>
  <si>
    <t>Asl summa</t>
  </si>
  <si>
    <t>Foyda</t>
  </si>
  <si>
    <t>Kurs</t>
  </si>
  <si>
    <t>Sarf %</t>
  </si>
  <si>
    <t>Kategoriya kodi</t>
  </si>
  <si>
    <t>Mijoz qarzi</t>
  </si>
  <si>
    <t>Sayt holati</t>
  </si>
  <si>
    <t>Chek</t>
  </si>
  <si>
    <t>Topshirish sanasi</t>
  </si>
  <si>
    <t>Kiritdi</t>
  </si>
  <si>
    <t>Manzil</t>
  </si>
  <si>
    <t>O'chirildi</t>
  </si>
  <si>
    <t>Итого (sayt)</t>
  </si>
  <si>
    <t>Ishchi (oylik)</t>
  </si>
  <si>
    <t>Valyuta (sayt)</t>
  </si>
  <si>
    <t>Mebel turi</t>
  </si>
  <si>
    <t>Ish haqi turi</t>
  </si>
  <si>
    <t>404</t>
  </si>
  <si>
    <t>sayt</t>
  </si>
  <si>
    <t>yakun</t>
  </si>
  <si>
    <t>Chiqim</t>
  </si>
  <si>
    <t>UZS</t>
  </si>
  <si>
    <t>ovqat</t>
  </si>
  <si>
    <t>Ovqat</t>
  </si>
  <si>
    <t>Ha</t>
  </si>
  <si>
    <t/>
  </si>
  <si>
    <t>МирМуxаммад Файзуллаев</t>
  </si>
  <si>
    <t>Готов</t>
  </si>
  <si>
    <t>КОЙЛИК</t>
  </si>
  <si>
    <t>USD</t>
  </si>
  <si>
    <t>прихожая</t>
  </si>
  <si>
    <t>403</t>
  </si>
  <si>
    <t>oylik</t>
  </si>
  <si>
    <t>Ойлик (ish haqi)</t>
  </si>
  <si>
    <t>Дилмурод ойлик</t>
  </si>
  <si>
    <t>Avans</t>
  </si>
  <si>
    <t>Kirim</t>
  </si>
  <si>
    <t>rahbar</t>
  </si>
  <si>
    <t>Rahbardan</t>
  </si>
  <si>
    <t>Расход</t>
  </si>
  <si>
    <t>mirzo ulugbek</t>
  </si>
  <si>
    <t>санузел шкаф,кухня</t>
  </si>
  <si>
    <t>402</t>
  </si>
  <si>
    <t>GABIDEN AKA</t>
  </si>
  <si>
    <t>jarayonda</t>
  </si>
  <si>
    <t>Установка</t>
  </si>
  <si>
    <t>CHILONZOR</t>
  </si>
  <si>
    <t>спальня,прихожая,под.тв</t>
  </si>
  <si>
    <t>Расходга</t>
  </si>
  <si>
    <t>399</t>
  </si>
  <si>
    <t>АЛИЖОН АКА</t>
  </si>
  <si>
    <t>Обед озим</t>
  </si>
  <si>
    <t>Обед 4 киши Дилмурод ака Хуршид</t>
  </si>
  <si>
    <t>ГЛИНКА 19</t>
  </si>
  <si>
    <t>КУХНЯ ПРИХОЖАЯ</t>
  </si>
  <si>
    <t>398</t>
  </si>
  <si>
    <t>material</t>
  </si>
  <si>
    <t>Заказ материал</t>
  </si>
  <si>
    <t>1. шпон прес+детал Азиз стол</t>
  </si>
  <si>
    <t>АЛГОРИТМ</t>
  </si>
  <si>
    <t>-</t>
  </si>
  <si>
    <t>397</t>
  </si>
  <si>
    <t>zapravka</t>
  </si>
  <si>
    <t>Zapravka</t>
  </si>
  <si>
    <t>Газ Лабо</t>
  </si>
  <si>
    <t>обед болла Хуршид</t>
  </si>
  <si>
    <t>QUSHBEGI</t>
  </si>
  <si>
    <t>395</t>
  </si>
  <si>
    <t>Обед болла Комил</t>
  </si>
  <si>
    <t>Самарканд дарвоза</t>
  </si>
  <si>
    <t>ПОЛНЫЙ ДОМ (АКРИЛ)</t>
  </si>
  <si>
    <t>392</t>
  </si>
  <si>
    <t>Ужин болла Хуршид</t>
  </si>
  <si>
    <t>Ужин болла</t>
  </si>
  <si>
    <t>ЯНГИЙУЛ</t>
  </si>
  <si>
    <t>Elbek</t>
  </si>
  <si>
    <t xml:space="preserve">sherik </t>
  </si>
  <si>
    <t xml:space="preserve">Servis </t>
  </si>
  <si>
    <t>Rovshan</t>
  </si>
  <si>
    <t>Sifat nazorat</t>
  </si>
  <si>
    <t>Mexriniso</t>
  </si>
  <si>
    <t>Yulduz</t>
  </si>
  <si>
    <t>388</t>
  </si>
  <si>
    <t>КОМИЛ</t>
  </si>
  <si>
    <t>Shavkataka</t>
  </si>
  <si>
    <t xml:space="preserve">Bugalter </t>
  </si>
  <si>
    <t xml:space="preserve">O'lchov oluvchi </t>
  </si>
  <si>
    <t>Расход га</t>
  </si>
  <si>
    <t>ИЗЗА</t>
  </si>
  <si>
    <t>furnitura</t>
  </si>
  <si>
    <t>Furnitura</t>
  </si>
  <si>
    <t>Ручка 4та Акбар офият</t>
  </si>
  <si>
    <t>383</t>
  </si>
  <si>
    <t>Яшнобод</t>
  </si>
  <si>
    <t>КУХНЯ САПАЛЬНЯ</t>
  </si>
  <si>
    <t>Газ чанган</t>
  </si>
  <si>
    <t>406</t>
  </si>
  <si>
    <t>НАЗИРА</t>
  </si>
  <si>
    <t>Обед озим 8.10.26</t>
  </si>
  <si>
    <t>Заказ на сырье</t>
  </si>
  <si>
    <t>ШАЙХОНТОХУР</t>
  </si>
  <si>
    <t>кухня мдф краш</t>
  </si>
  <si>
    <t>Обед озим 9.10.26</t>
  </si>
  <si>
    <t>405</t>
  </si>
  <si>
    <t>НАИМА ОПА</t>
  </si>
  <si>
    <t>So'rov #2: Харажатга</t>
  </si>
  <si>
    <t>МИРЗО УЛУГБЕК</t>
  </si>
  <si>
    <t>КУХНЯ ,ШКАФ,САНУЗЕЛ АКРИЛ+МДФ КРАШ</t>
  </si>
  <si>
    <t>usluga</t>
  </si>
  <si>
    <t>Usluga (xizmatlar)</t>
  </si>
  <si>
    <t>Шпон акбар</t>
  </si>
  <si>
    <t>400</t>
  </si>
  <si>
    <t>Гулмирапа</t>
  </si>
  <si>
    <t>кромка распил полка хдф акбар</t>
  </si>
  <si>
    <t>mirzo ulugbek rayon</t>
  </si>
  <si>
    <t>кухня спальня детский санузел</t>
  </si>
  <si>
    <t>396</t>
  </si>
  <si>
    <t>Обед озим 3.10.26</t>
  </si>
  <si>
    <t>полка держ Акбар</t>
  </si>
  <si>
    <t>JANGOX 25</t>
  </si>
  <si>
    <t>394</t>
  </si>
  <si>
    <t>Alisher aka</t>
  </si>
  <si>
    <t>2 киши обед Миржамол ака</t>
  </si>
  <si>
    <t>Ужин Миржамол ака 05.10</t>
  </si>
  <si>
    <t>jarariq</t>
  </si>
  <si>
    <t>полный дом</t>
  </si>
  <si>
    <t>393</t>
  </si>
  <si>
    <t>kommunal</t>
  </si>
  <si>
    <t>Kommunal xizmatlar</t>
  </si>
  <si>
    <t>Свет Ишхона</t>
  </si>
  <si>
    <t>ГАРДЕРОБНАЯ</t>
  </si>
  <si>
    <t>Ойлик</t>
  </si>
  <si>
    <t>389</t>
  </si>
  <si>
    <t>НОДИР</t>
  </si>
  <si>
    <t>ofis</t>
  </si>
  <si>
    <t>Ofis uchun</t>
  </si>
  <si>
    <t>Кружка аквариумга</t>
  </si>
  <si>
    <t>ЭШОНГУЗАР</t>
  </si>
  <si>
    <t>mashina</t>
  </si>
  <si>
    <t>Mashina / dostavka</t>
  </si>
  <si>
    <t>ПОЛНЫЙ ДОМ</t>
  </si>
  <si>
    <t>Яндекс болла цехга</t>
  </si>
  <si>
    <t>391</t>
  </si>
  <si>
    <t>Зонтик лататрон</t>
  </si>
  <si>
    <t>🔍 Tekshiruv: kamchiliklar va yechimlar · 19.10.2026 16:34</t>
  </si>
  <si>
    <t>ГРЕНВИЧ</t>
  </si>
  <si>
    <t>boshqa</t>
  </si>
  <si>
    <t>Boshqa</t>
  </si>
  <si>
    <t>Daraja</t>
  </si>
  <si>
    <t>Muammo</t>
  </si>
  <si>
    <t>Tafsilot</t>
  </si>
  <si>
    <t>Распил грузчик</t>
  </si>
  <si>
    <t>Yechim</t>
  </si>
  <si>
    <t>🟠</t>
  </si>
  <si>
    <t>#9 °°•• Gafurov Islom ••°°: Заказ материал buyurtmasiz</t>
  </si>
  <si>
    <t>07.10.2026 · 312 000 so'm · 1. шпон прес+детал Азиз стол</t>
  </si>
  <si>
    <t>Qaysi mijoz uchun olinganini aniqlang — aks holda buyurtma foydasi noto'g'ri chiqadi.</t>
  </si>
  <si>
    <t>390</t>
  </si>
  <si>
    <t>#17 °°•• Gafurov Islom ••°°: Furnitura buyurtmasiz</t>
  </si>
  <si>
    <t>08.10.2026 · 40 000 so'm · Ручка 4та Акбар офият</t>
  </si>
  <si>
    <t>#26 °°•• Gafurov Islom ••°°: Furnitura buyurtmasiz</t>
  </si>
  <si>
    <t>09.10.2026 · 241 000 so'm · полка держ Акбар</t>
  </si>
  <si>
    <t>°°•• Gafurov Islom ••°°: bir xil yozuv 2 marta</t>
  </si>
  <si>
    <t>07.10.2026 · 80 000 so'm · Ovqat · #12, #15</t>
  </si>
  <si>
    <t>Ikki marta kiritilgan bo'lsa, ortiqchasini o'chiring (/ochir raqam).</t>
  </si>
  <si>
    <t>°°•• Gafurov Islom ••°°: bir xil yozuv 3 marta</t>
  </si>
  <si>
    <t>09.10.2026 · 35 000 so'm · Ovqat · #20, #21, #25</t>
  </si>
  <si>
    <t>°°•• Gafurov Islom ••°°: bir xil yozuv 14 marta</t>
  </si>
  <si>
    <t>10.10.2026 · 20 000 so'm · Ойлик (ish haqi) · #40, #41, #42, #43, #44, #46, #47, #48, #49, #50, #51, #52, #53, #54</t>
  </si>
  <si>
    <t>Umid Yusupov: bir xil yozuv 5 marta</t>
  </si>
  <si>
    <t>11.10.2026 · 200 000 so'm · Ovqat · #60, #61, #66, #69, #87</t>
  </si>
  <si>
    <t>Umid Yusupov: bir xil yozuv 17 marta</t>
  </si>
  <si>
    <t>11.10.2026 · 80 000 so'm · Ovqat · #62, #64, #68, #71, #77, #78, #79, #82, #85, #89, #91, #92, #93, #97, #98, #102, #103</t>
  </si>
  <si>
    <t>11.10.2026 · 120 000 so'm · Ovqat · #65, #72, #80, #94, #95</t>
  </si>
  <si>
    <t>Сваршик котел</t>
  </si>
  <si>
    <t>Umid Yusupov: bir xil yozuv 4 marta</t>
  </si>
  <si>
    <t>11.10.2026 · 160 000 so'm · Ovqat · #75, #84, #86, #101</t>
  </si>
  <si>
    <t>11.10.2026 · 40 000 so'm · Ovqat · #99, #100, #104, #105</t>
  </si>
  <si>
    <t>Umid Yusupov: bir xil yozuv 2 marta</t>
  </si>
  <si>
    <t>12.10.2026 · 40 000 so'm · Ovqat · #112, #189</t>
  </si>
  <si>
    <t>МирМуxаммад Файзуллаев: bir xil yozuv 2 marta</t>
  </si>
  <si>
    <t>12.10.2026 · 400 000 so'm · Ойлик (ish haqi) · #123, #182</t>
  </si>
  <si>
    <t>12.10.2026 · 80 000 so'm · Ovqat · #131, #134</t>
  </si>
  <si>
    <t>12.10.2026 · 600 000 so'm · Uy uchun (shaxsiy) · #149, #152</t>
  </si>
  <si>
    <t>МирМуxаммад Файзуллаев: bir xil yozuv 3 marta</t>
  </si>
  <si>
    <t>12.10.2026 · 500 000 so'm · Ойлик (ish haqi) · #156, #173, #191</t>
  </si>
  <si>
    <t>СЕРГЕЛИ</t>
  </si>
  <si>
    <t>12.10.2026 · 1 189 790 so'm · Ойлик (ish haqi) · #168, #174, #175</t>
  </si>
  <si>
    <t>12.10.2026 · 100 000 so'm · Ойлик (ish haqi) · #170, #171, #172</t>
  </si>
  <si>
    <t>13.10.2026 · 40 000 so'm · Ovqat · #193, #209</t>
  </si>
  <si>
    <t>14.10.2026 · 80 000 so'm · Ovqat · #227, #230</t>
  </si>
  <si>
    <t>15.10.2026 · 80 000 so'm · Ovqat · #244, #249</t>
  </si>
  <si>
    <t>16.10.2026 · 80 000 so'm · Ovqat · #259, #261</t>
  </si>
  <si>
    <t>Заправка озим</t>
  </si>
  <si>
    <t>16.10.2026 · 200 000 so'm · Uy uchun (shaxsiy) · #264, #280</t>
  </si>
  <si>
    <t>387</t>
  </si>
  <si>
    <t>17.10.2026 · 80 000 so'm · Ovqat · #284, #285</t>
  </si>
  <si>
    <t>18.10.2026 · 160 000 so'm · Ovqat · #310, #313</t>
  </si>
  <si>
    <t>Элбек аванс</t>
  </si>
  <si>
    <t>САНУЗЕЛ</t>
  </si>
  <si>
    <t>386</t>
  </si>
  <si>
    <t>КУШБЕГИ</t>
  </si>
  <si>
    <t>385</t>
  </si>
  <si>
    <t>Стадион</t>
  </si>
  <si>
    <t>КОРАКАМИШ</t>
  </si>
  <si>
    <t>So'ralgan sana</t>
  </si>
  <si>
    <t>Olingan sana</t>
  </si>
  <si>
    <t>384</t>
  </si>
  <si>
    <t>Kim oldi</t>
  </si>
  <si>
    <t>Fikr (izoh)</t>
  </si>
  <si>
    <t>Skrinshot</t>
  </si>
  <si>
    <t>+998936211024</t>
  </si>
  <si>
    <t>⏳ Kutilmoqda</t>
  </si>
  <si>
    <t>+998909476113</t>
  </si>
  <si>
    <t>+998770780027</t>
  </si>
  <si>
    <t>+998909774414</t>
  </si>
  <si>
    <t>+998935777233</t>
  </si>
  <si>
    <t>382</t>
  </si>
  <si>
    <t>ЭШАНГУЗАР</t>
  </si>
  <si>
    <t>ОФИС</t>
  </si>
  <si>
    <t>381</t>
  </si>
  <si>
    <t>rahbarga</t>
  </si>
  <si>
    <t>Rahbarga (shaxsiy)</t>
  </si>
  <si>
    <t>Яшнабод</t>
  </si>
  <si>
    <t>380</t>
  </si>
  <si>
    <t>МАКСИМ ГОРКИЙ</t>
  </si>
  <si>
    <t>379</t>
  </si>
  <si>
    <t>КУЙЛИК</t>
  </si>
  <si>
    <t>378</t>
  </si>
  <si>
    <t>NESTONE</t>
  </si>
  <si>
    <t>377</t>
  </si>
  <si>
    <t>ЯККАСАРОЙ</t>
  </si>
  <si>
    <t>ДЕТСКИЙ</t>
  </si>
  <si>
    <t>Стадион Элбек ойлик</t>
  </si>
  <si>
    <t>376</t>
  </si>
  <si>
    <t>So'rov #3: Харажат учун</t>
  </si>
  <si>
    <t>375</t>
  </si>
  <si>
    <t>Азимга</t>
  </si>
  <si>
    <t>Заправка Лабо</t>
  </si>
  <si>
    <t>Labo — Elyor</t>
  </si>
  <si>
    <t>374</t>
  </si>
  <si>
    <t>Обед 1 киши Миржамол ака</t>
  </si>
  <si>
    <t>Обед 5 киши Дилмурод ака (Акбар)</t>
  </si>
  <si>
    <t>371</t>
  </si>
  <si>
    <t>200.000 ужин 5 киши Дилмурод ака (Акбар)</t>
  </si>
  <si>
    <t>ЯНГИ ХАЕТ</t>
  </si>
  <si>
    <t>370</t>
  </si>
  <si>
    <t>Обед 2 киши Миржамол ака</t>
  </si>
  <si>
    <t>Обед 4 киши Дилмурод ака (Акбар)</t>
  </si>
  <si>
    <t>ЯНГИ УЗБЕКИСТОН</t>
  </si>
  <si>
    <t>369</t>
  </si>
  <si>
    <t>Ужин 2 киши Миржамол ака</t>
  </si>
  <si>
    <t>Mirobod tumani</t>
  </si>
  <si>
    <t>Ужин 3 киши Дилмурод ака (Акбар)</t>
  </si>
  <si>
    <t>368</t>
  </si>
  <si>
    <t>izza bozor</t>
  </si>
  <si>
    <t>Обед Нон кабоб</t>
  </si>
  <si>
    <t>367</t>
  </si>
  <si>
    <t>ЯНГИ ЙУЛ</t>
  </si>
  <si>
    <t>Мархабо опа</t>
  </si>
  <si>
    <t>Ужин 5 киши Дилмурод ака (Акбар)</t>
  </si>
  <si>
    <t>366</t>
  </si>
  <si>
    <t>borganda tushuntiriladi ili ozi hohlagan dizaynlari bor korsatadi</t>
  </si>
  <si>
    <t>401</t>
  </si>
  <si>
    <t>Aziza opa</t>
  </si>
  <si>
    <t>yangi</t>
  </si>
  <si>
    <t>Обед 3 киши Дилмурод ака (Акбар)</t>
  </si>
  <si>
    <t>Деталировка</t>
  </si>
  <si>
    <t>polni dom</t>
  </si>
  <si>
    <t>спальня,прачка,хол</t>
  </si>
  <si>
    <t>Подписка (KlingAI) для видео</t>
  </si>
  <si>
    <t>407</t>
  </si>
  <si>
    <t>Заправка Шинерай</t>
  </si>
  <si>
    <t>Shineray — Ulug'bek</t>
  </si>
  <si>
    <t>nestwone</t>
  </si>
  <si>
    <t>pufik oyna</t>
  </si>
  <si>
    <t>Обед 4 киши Дилмурод ака</t>
  </si>
  <si>
    <t>408</t>
  </si>
  <si>
    <t>BUNYOD</t>
  </si>
  <si>
    <t>Детал для Комил ака (Голый мдф 0.8)</t>
  </si>
  <si>
    <t>SHAYXONTOXUR</t>
  </si>
  <si>
    <t>KUXNYA KRAHSENNIY</t>
  </si>
  <si>
    <t>409</t>
  </si>
  <si>
    <t>НИЛУФАР ОПА</t>
  </si>
  <si>
    <t>улица НосираТашкент</t>
  </si>
  <si>
    <t>Спальня мдф краш</t>
  </si>
  <si>
    <t>410</t>
  </si>
  <si>
    <t>Обед 2 киши Элер ака Жалол</t>
  </si>
  <si>
    <t>Murod aka</t>
  </si>
  <si>
    <t>Ужин 3 киши Дилмурод ака</t>
  </si>
  <si>
    <t>polniy dom</t>
  </si>
  <si>
    <t>мдф краш</t>
  </si>
  <si>
    <t>Доставка инструмент</t>
  </si>
  <si>
    <t>Обед 2 киши Элер Жасур (Улугбек)</t>
  </si>
  <si>
    <t>Мойка Zeekr</t>
  </si>
  <si>
    <t>Ужин 4 киши Дилмурод ака</t>
  </si>
  <si>
    <t>Обед 2 киши Улугбек ака Нурулло</t>
  </si>
  <si>
    <t>Бензин Жума ога</t>
  </si>
  <si>
    <t>Обед 2 киши Жума ога (Офис)</t>
  </si>
  <si>
    <t>Обед 2 киши Улугбек ака</t>
  </si>
  <si>
    <t>Обед 3 киши Дилмурод ака</t>
  </si>
  <si>
    <t>Umumiy summa</t>
  </si>
  <si>
    <t>Qoldiq (hozir)</t>
  </si>
  <si>
    <t>Pul olingan sana</t>
  </si>
  <si>
    <t>Kun</t>
  </si>
  <si>
    <t>Kimga</t>
  </si>
  <si>
    <t>✅ Olindi</t>
  </si>
  <si>
    <t>Yopdi: Umid Yusupov</t>
  </si>
  <si>
    <t>To'liq oldi: Umid Yusupov · 7 125$</t>
  </si>
  <si>
    <t>To'liq oldi: Umid Yusupov · 2 603$</t>
  </si>
  <si>
    <t>To'liq oldi: Umid Yusupov · 1 390$</t>
  </si>
  <si>
    <t>To'liq oldi: Umid Yusupov · 372$</t>
  </si>
  <si>
    <t>To'liq oldi: Umid Yusupov · 2 020$</t>
  </si>
  <si>
    <t>Обед Миржамол ака</t>
  </si>
  <si>
    <t>Ужин Миржамол ака</t>
  </si>
  <si>
    <t>Обед 2 киши Элер ака Элбек ака</t>
  </si>
  <si>
    <t>Улугбек ака</t>
  </si>
  <si>
    <t>Обед Улугбек ака</t>
  </si>
  <si>
    <t>Подписка ChatGPT</t>
  </si>
  <si>
    <t>Telegram Premium подписка</t>
  </si>
  <si>
    <t>Ойлик Умид</t>
  </si>
  <si>
    <t>Ойлик озим</t>
  </si>
  <si>
    <t>So'rov #4: Расход обед ужин</t>
  </si>
  <si>
    <t>Газ</t>
  </si>
  <si>
    <t>avans</t>
  </si>
  <si>
    <t>Avans (yangi zakaz)</t>
  </si>
  <si>
    <t>smm</t>
  </si>
  <si>
    <t>СММ / reklama</t>
  </si>
  <si>
    <t>lotatron sovga</t>
  </si>
  <si>
    <t>mumina oylik</t>
  </si>
  <si>
    <t>Oylik</t>
  </si>
  <si>
    <t>jumaka oylik</t>
  </si>
  <si>
    <t>Telegram ID</t>
  </si>
  <si>
    <t>Username</t>
  </si>
  <si>
    <t>Rol</t>
  </si>
  <si>
    <t>Qo'shilgan</t>
  </si>
  <si>
    <t>Fayzullife_771</t>
  </si>
  <si>
    <t>admin</t>
  </si>
  <si>
    <t>shaxsiy xarajatlar ujin</t>
  </si>
  <si>
    <t>Islom_Gafurov</t>
  </si>
  <si>
    <t>xodim</t>
  </si>
  <si>
    <t>Umid_SerMebel</t>
  </si>
  <si>
    <t>Maftuna Turgʻunboyeva</t>
  </si>
  <si>
    <t>Maftuna_Sermebel</t>
  </si>
  <si>
    <t>NAFISA</t>
  </si>
  <si>
    <t>NAFISA_SerMebel</t>
  </si>
  <si>
    <t>Ser_mebel</t>
  </si>
  <si>
    <t>blocked</t>
  </si>
  <si>
    <t>Murod Abduqodirov</t>
  </si>
  <si>
    <t>MurodAbduqodirov</t>
  </si>
  <si>
    <t>ofis uchun ishchi topish</t>
  </si>
  <si>
    <t>zakaz material xurshidaka id 383 krovat karkaz</t>
  </si>
  <si>
    <t>cmm target instagram reklamaga</t>
  </si>
  <si>
    <t>shaxsiy xarajatla uy uchun farangizga</t>
  </si>
  <si>
    <t>oylik Mirjamolaka</t>
  </si>
  <si>
    <t>elyor oylik shtrafiga tolov</t>
  </si>
  <si>
    <t>ofis uchun bozorlik</t>
  </si>
  <si>
    <t>shaxsiy xarajatla moyka zeekr</t>
  </si>
  <si>
    <t>oylik umid forma fudbolga yegib beradi</t>
  </si>
  <si>
    <t>ofis obed</t>
  </si>
  <si>
    <t>oylik axmadilla sentyabr oyligi</t>
  </si>
  <si>
    <t>oylik jasur sentyabr oyligi</t>
  </si>
  <si>
    <t>Обед 2 киши Улугбек ака Жамшид ака</t>
  </si>
  <si>
    <t>oylik umid</t>
  </si>
  <si>
    <t>asbob</t>
  </si>
  <si>
    <t>Asbob-uskuna</t>
  </si>
  <si>
    <t>santexnika kotelga</t>
  </si>
  <si>
    <t>cmm forma ishchilaga</t>
  </si>
  <si>
    <t>30.000 анкер кроват</t>
  </si>
  <si>
    <t>rover</t>
  </si>
  <si>
    <t>shaxsiy ujinga</t>
  </si>
  <si>
    <t>oylik dilmurodaka shogirtga berganla</t>
  </si>
  <si>
    <t>Topshirildi</t>
  </si>
  <si>
    <t>Qoldiq</t>
  </si>
  <si>
    <t>shaxsiy uy uchun bozor</t>
  </si>
  <si>
    <t>zakaz material 391 akbaraka kromka shpon</t>
  </si>
  <si>
    <t>cmm target reklamaga</t>
  </si>
  <si>
    <t>Kalit</t>
  </si>
  <si>
    <t>Qiymat</t>
  </si>
  <si>
    <t>ADMIN_IDS</t>
  </si>
  <si>
    <t>Rahbar(lar) Telegram ID si, vergul bilan. Bo'sh qolsa — botga birinchi /start yozgan odam rahbar bo'ladi</t>
  </si>
  <si>
    <t>oylik nafisa sentyabr oyligi</t>
  </si>
  <si>
    <t>CHANNEL_ID</t>
  </si>
  <si>
    <t>SerMebel-finance kanali: @username yoki -100... (bot kanalda ADMIN bo'lishi shart). Bo'sh — kanalga yozilmaydi</t>
  </si>
  <si>
    <t>ESLATMA_SOAT</t>
  </si>
  <si>
    <t>Xodimlarga kunlik eslatma soati (Toshkent)</t>
  </si>
  <si>
    <t>RAHBAR_HISOBOT_SOAT</t>
  </si>
  <si>
    <t>Rahbarga kunlik hisobot soati</t>
  </si>
  <si>
    <t>OY_OXIRI_KUN</t>
  </si>
  <si>
    <t>Oy tugashiga necha kun qolganda hisob topshirish eslatmasi</t>
  </si>
  <si>
    <t>KATTA_SUMMA</t>
  </si>
  <si>
    <t>Bundan katta chiqimga chek rasmi talab qilinadi (so'm)</t>
  </si>
  <si>
    <t>OGOHLANTIRISH_FOIZ</t>
  </si>
  <si>
    <t>Buyurtma byudjetining necha % sarflansa ogohlantirish</t>
  </si>
  <si>
    <t>USD_KURS</t>
  </si>
  <si>
    <t>Bo'sh — Markaziy bank kursi avtomatik olinadi. Raqam yozsangiz — shu kurs ishlatiladi</t>
  </si>
  <si>
    <t>WEBAPP_URL</t>
  </si>
  <si>
    <t>https://script.google.com/macros/s/AKfycbxn9SvV0pg0vxuf1NEKUpsSWXOUdERBaqQZosy5SHOOe66yeURc0wom3cH2oBvrN2mX/exec</t>
  </si>
  <si>
    <t>Veb-ilova manzili (2-qadamda avtomatik yoziladi)</t>
  </si>
  <si>
    <t>HISOB_SHABLON_ID</t>
  </si>
  <si>
    <t>1cmhcuFP_OUgkbNTJpHX-fSrjMSik-5KRHrORsbC83Y0</t>
  </si>
  <si>
    <t>ofis arenda shourumga</t>
  </si>
  <si>
    <t>HISOB_FON_ID</t>
  </si>
  <si>
    <t>1UJXpEyJWyx8zVybuZXBpUAiYeEgfKL3l</t>
  </si>
  <si>
    <t>SAYT_KIRITUVCHI</t>
  </si>
  <si>
    <t>FIKR_XODIM</t>
  </si>
  <si>
    <t>shaxsiy exson</t>
  </si>
  <si>
    <t>ofis cloud podpiska oktyabr oyiga</t>
  </si>
  <si>
    <t>Hafta kuni</t>
  </si>
  <si>
    <t>Filial (guruh)</t>
  </si>
  <si>
    <t>Kelgan vaqti</t>
  </si>
  <si>
    <t>Kechikish (daq)</t>
  </si>
  <si>
    <t>Kechikish sababi</t>
  </si>
  <si>
    <t>Aytgan vaqti</t>
  </si>
  <si>
    <t>Forma</t>
  </si>
  <si>
    <t>Ketgan vaqti</t>
  </si>
  <si>
    <t>Erta ketish (daq)</t>
  </si>
  <si>
    <t>Erta ketish sababi</t>
  </si>
  <si>
    <t>Ish vaqti</t>
  </si>
  <si>
    <t>Ball</t>
  </si>
  <si>
    <t>Oylik reyting: oktabr 2026</t>
  </si>
  <si>
    <t>2026-10-22</t>
  </si>
  <si>
    <t>Payshanba</t>
  </si>
  <si>
    <t>Офис Отчёт келиш кетиш</t>
  </si>
  <si>
    <t>Doston Dilmurodjonov</t>
  </si>
  <si>
    <t>@Doston_SermMebel</t>
  </si>
  <si>
    <t>Kech qoldi</t>
  </si>
  <si>
    <t>09:35</t>
  </si>
  <si>
    <t>Sababli</t>
  </si>
  <si>
    <t>kecha soat 23:00 da ketdim ishdan 4soat kech kettim</t>
  </si>
  <si>
    <t>uy</t>
  </si>
  <si>
    <t>6822517742</t>
  </si>
  <si>
    <t>22:22</t>
  </si>
  <si>
    <t>Uy uchun (shaxsiy)</t>
  </si>
  <si>
    <t>09:00–19:00</t>
  </si>
  <si>
    <t>O'rin</t>
  </si>
  <si>
    <t>Ish kunlari</t>
  </si>
  <si>
    <t>Vaqtida</t>
  </si>
  <si>
    <t>uy uchun adamga</t>
  </si>
  <si>
    <t>Jami kechikish (daq)</t>
  </si>
  <si>
    <t>Kelmadi</t>
  </si>
  <si>
    <t>Sababli kelmadi</t>
  </si>
  <si>
    <t>Erta ketdi</t>
  </si>
  <si>
    <t>Intizom %</t>
  </si>
  <si>
    <t>Qo'shimcha ball</t>
  </si>
  <si>
    <t>Izzatilla Abdazimov</t>
  </si>
  <si>
    <t>@Izzatilla_SerMebel</t>
  </si>
  <si>
    <t>08:50</t>
  </si>
  <si>
    <t>6848257959</t>
  </si>
  <si>
    <t>19:21</t>
  </si>
  <si>
    <t>@Maftuna_Sermebel</t>
  </si>
  <si>
    <t>Dam kuni</t>
  </si>
  <si>
    <t>tasdiqlangan dam</t>
  </si>
  <si>
    <t>5578698344</t>
  </si>
  <si>
    <t>10:00–19:00</t>
  </si>
  <si>
    <t>@NAFISA_SerMebel</t>
  </si>
  <si>
    <t>Kelish qayd etilmagan</t>
  </si>
  <si>
    <t>1019834709</t>
  </si>
  <si>
    <t>16:32</t>
  </si>
  <si>
    <t>09:00–18:00</t>
  </si>
  <si>
    <t>@Umid_SerMebel</t>
  </si>
  <si>
    <t>6156487883</t>
  </si>
  <si>
    <t>@Ser_mebel</t>
  </si>
  <si>
    <t>09:08</t>
  </si>
  <si>
    <t>5701024811</t>
  </si>
  <si>
    <t>cmm nakleyka labo</t>
  </si>
  <si>
    <t>2026-10-23</t>
  </si>
  <si>
    <t>Juma</t>
  </si>
  <si>
    <t>08:56</t>
  </si>
  <si>
    <t>20:03</t>
  </si>
  <si>
    <t>001_eee</t>
  </si>
  <si>
    <t>08:49</t>
  </si>
  <si>
    <t>20:23</t>
  </si>
  <si>
    <t>10:11</t>
  </si>
  <si>
    <t>19:24</t>
  </si>
  <si>
    <t>09:04</t>
  </si>
  <si>
    <t>16:34</t>
  </si>
  <si>
    <t>Sababsiz</t>
  </si>
  <si>
    <t>09:39</t>
  </si>
  <si>
    <t>➖ Chiqim</t>
  </si>
  <si>
    <t>20:02</t>
  </si>
  <si>
    <t>2026-10-24</t>
  </si>
  <si>
    <t>Shanba</t>
  </si>
  <si>
    <t>08:59</t>
  </si>
  <si>
    <t>20:00</t>
  </si>
  <si>
    <t>zavod</t>
  </si>
  <si>
    <t>Завод продукта</t>
  </si>
  <si>
    <t>zavod produkta 10 kunlik</t>
  </si>
  <si>
    <t>09:19</t>
  </si>
  <si>
    <t>📋 Vazifalarim</t>
  </si>
  <si>
    <t>16:48</t>
  </si>
  <si>
    <t>09:11</t>
  </si>
  <si>
    <t>20:01</t>
  </si>
  <si>
    <t>2026-10-25</t>
  </si>
  <si>
    <t>Yakshanba</t>
  </si>
  <si>
    <t>10:09</t>
  </si>
  <si>
    <t>asalom alekum yaxshimisiz MirMuhammad aka 11:30da bita joyga otib kesam boladimi ogaynmi adasi otib qopti peshinga chiqarisharkan ushanga kechro keldm oldiga otib keldim peshinga diyishudi ishga otib kelaman dip keludim</t>
  </si>
  <si>
    <t>22:20</t>
  </si>
  <si>
    <t>10:14</t>
  </si>
  <si>
    <t>19:01</t>
  </si>
  <si>
    <t>11:02</t>
  </si>
  <si>
    <t>20:47</t>
  </si>
  <si>
    <t>2026-10-26</t>
  </si>
  <si>
    <t>Dushanba</t>
  </si>
  <si>
    <t>@erdanov_eee</t>
  </si>
  <si>
    <t>7606317262</t>
  </si>
  <si>
    <t>20:24</t>
  </si>
  <si>
    <t>09:13</t>
  </si>
  <si>
    <t>10:28</t>
  </si>
  <si>
    <t>potahadan kevoman</t>
  </si>
  <si>
    <t>19:34</t>
  </si>
  <si>
    <t>10:21</t>
  </si>
  <si>
    <t>19:14</t>
  </si>
  <si>
    <t>uy uchun</t>
  </si>
  <si>
    <t>09:59</t>
  </si>
  <si>
    <t>16:39</t>
  </si>
  <si>
    <t>2026-10-27</t>
  </si>
  <si>
    <t>Seshanba</t>
  </si>
  <si>
    <t>09:02</t>
  </si>
  <si>
    <t>08:51</t>
  </si>
  <si>
    <t>10:23</t>
  </si>
  <si>
    <t>09:01</t>
  </si>
  <si>
    <t>Йоллвр тирбанд экан ☺️</t>
  </si>
  <si>
    <t>ofis uchun obed</t>
  </si>
  <si>
    <t>oylik islom</t>
  </si>
  <si>
    <t>shaxsiy kiyimga</t>
  </si>
  <si>
    <t>oylik mirjamolaka</t>
  </si>
  <si>
    <t>komunal tolov gazga</t>
  </si>
  <si>
    <t>asbob uskuna eshik xonaga</t>
  </si>
  <si>
    <t>shaxsiy ovqatga</t>
  </si>
  <si>
    <t>uy uchun dori va ujin</t>
  </si>
  <si>
    <t>shaxsiy moshinaga spoller</t>
  </si>
  <si>
    <t>oylik shkurkachilaga</t>
  </si>
  <si>
    <t>👔 Shaxsiy va 🏠 Uy uchun xarajatlar — ishxona puliga qo'shilmaydi</t>
  </si>
  <si>
    <t>👔 Shaxsiy (tanlangan davr)</t>
  </si>
  <si>
    <t>🏠 Uy uchun (tanlangan davr)</t>
  </si>
  <si>
    <t>sovgaga</t>
  </si>
  <si>
    <t>Jami (tanlangan davr)</t>
  </si>
  <si>
    <t>Jami (hamma vaqt)</t>
  </si>
  <si>
    <t>asbob uskuna eshik ustanovka</t>
  </si>
  <si>
    <t>oylik dilmurodaka tugilgan kun</t>
  </si>
  <si>
    <t>📆 Oylar bo'yicha</t>
  </si>
  <si>
    <t>📋 Shu oydagi barcha yozuvlar (yangisi tepada)</t>
  </si>
  <si>
    <t>👔 Shaxsiy</t>
  </si>
  <si>
    <t>🏠 Uy uchun</t>
  </si>
  <si>
    <t>Jami</t>
  </si>
  <si>
    <t>Kim to'ladi</t>
  </si>
  <si>
    <t>shaxsiy sovga dilmurodaka</t>
  </si>
  <si>
    <t>oylik doston tugilgan kun dil</t>
  </si>
  <si>
    <t>oylik izzatilla tugilgan kun dil</t>
  </si>
  <si>
    <t>Kod</t>
  </si>
  <si>
    <t>Olingan summa</t>
  </si>
  <si>
    <t>Qoldiq (botda)</t>
  </si>
  <si>
    <t>Kiritilgan sana</t>
  </si>
  <si>
    <t>Kim kiritdi</t>
  </si>
  <si>
    <t>skmvhl23up</t>
  </si>
  <si>
    <t>7 125 USD (≈ 85 587 638 so'm)</t>
  </si>
  <si>
    <t>0.00 $</t>
  </si>
  <si>
    <t>✅ Kiritildi</t>
  </si>
  <si>
    <t>skmvkyvsnt</t>
  </si>
  <si>
    <t>1 390 USD (≈ 16 541 000 so'm)</t>
  </si>
  <si>
    <t>skmvkywsqh</t>
  </si>
  <si>
    <t>2 603 USD (≈ 30 975 700 so'm)</t>
  </si>
  <si>
    <t>oylik umid tugilgan kun dil</t>
  </si>
  <si>
    <t>skmvmgasi2</t>
  </si>
  <si>
    <t>372 USD (≈ 4 426 800 so'm)</t>
  </si>
  <si>
    <t>skmvmgbh4q</t>
  </si>
  <si>
    <t>2 020 USD (≈ 24 038 000 so'm)</t>
  </si>
  <si>
    <t>oylik islom tugilgan kun dil</t>
  </si>
  <si>
    <t>oylik elyor</t>
  </si>
  <si>
    <t>oylik dilmurodaka moshina arenda</t>
  </si>
  <si>
    <t>uy uchun adamga straflariga</t>
  </si>
  <si>
    <t>uy uchun dori</t>
  </si>
  <si>
    <t>oylik maftuna sentyabr oyligi</t>
  </si>
  <si>
    <t>labo kreditga</t>
  </si>
  <si>
    <t>zakaz material id begzod 395 list qora</t>
  </si>
  <si>
    <t>uy uchun bollga</t>
  </si>
  <si>
    <t>uy uchun bozor</t>
  </si>
  <si>
    <t>oylik mumina kartada.</t>
  </si>
  <si>
    <t>uy uchun pampers</t>
  </si>
  <si>
    <t>remont</t>
  </si>
  <si>
    <t>Remont avto</t>
  </si>
  <si>
    <t>Moy shineray</t>
  </si>
  <si>
    <t>shaxsiy obed</t>
  </si>
  <si>
    <t>Moyka</t>
  </si>
  <si>
    <t>Краска услуга</t>
  </si>
  <si>
    <t>70.000 яндекс обувница цехга</t>
  </si>
  <si>
    <t>Сувга Улугбек ака Жалол</t>
  </si>
  <si>
    <t>shaxsiy sartarosh</t>
  </si>
  <si>
    <t>Бензинга олинди</t>
  </si>
  <si>
    <t>офис аренда шоурум</t>
  </si>
  <si>
    <t>35 минг ойлик умид бейджик</t>
  </si>
  <si>
    <t>shaxsiy moyka</t>
  </si>
  <si>
    <t>smm forma ishxona bollaga</t>
  </si>
  <si>
    <t>Ужин 7 киши Дилмурод ака</t>
  </si>
  <si>
    <t>Дори учун суралди</t>
  </si>
  <si>
    <t>svet ishxona</t>
  </si>
  <si>
    <t>So'rov #6: Расход учун</t>
  </si>
  <si>
    <t>Пайнет</t>
  </si>
  <si>
    <t>So'rov #5: Расходша</t>
  </si>
  <si>
    <t>Обед 6 киши</t>
  </si>
  <si>
    <t>Сув Миржамол ака</t>
  </si>
  <si>
    <t>Стик олинди (Жумака)</t>
  </si>
  <si>
    <t>ofis uchun serverga tolov</t>
  </si>
  <si>
    <t>ming</t>
  </si>
  <si>
    <t>oylik elyor doriga</t>
  </si>
  <si>
    <t>shaxsiy ujin</t>
  </si>
  <si>
    <t>Ужин Улугбек ака Жалол</t>
  </si>
  <si>
    <t>Ужин 5 киши</t>
  </si>
  <si>
    <t>Элбек ака уйга боришга</t>
  </si>
  <si>
    <t>Ужин 2 киши Жума ога Миржамол ака</t>
  </si>
  <si>
    <t>Элбек ака уйга бориш</t>
  </si>
  <si>
    <t>Ровер кромка ручка жойи</t>
  </si>
  <si>
    <t>Обед 5 киши</t>
  </si>
  <si>
    <t>qoldiq</t>
  </si>
  <si>
    <t>Qoldiq to'lov (bitgan zakaz)</t>
  </si>
  <si>
    <t>Остатка яна колди 3022$</t>
  </si>
  <si>
    <t>фурнитура xurshid 383 texnika bonus</t>
  </si>
  <si>
    <t>So'rov #8: Расход учун</t>
  </si>
  <si>
    <t>So'rov #7: Расходга</t>
  </si>
  <si>
    <t>Обувница механизм</t>
  </si>
  <si>
    <t>Обед Улугбек ака Жамшид ака</t>
  </si>
  <si>
    <t>Жасур Комил аканикига бориш</t>
  </si>
  <si>
    <t>Салафан лезвия</t>
  </si>
  <si>
    <t>Мойка Лабо</t>
  </si>
  <si>
    <t>Авто шпаклевка</t>
  </si>
  <si>
    <t>Ужин 2 киши</t>
  </si>
  <si>
    <t>Ужин Улугбек ака</t>
  </si>
  <si>
    <t>Ужин 6 киши</t>
  </si>
  <si>
    <t>shaxsiy parkovka</t>
  </si>
  <si>
    <t>Свет ишхона</t>
  </si>
  <si>
    <t>Газ ишхона</t>
  </si>
  <si>
    <t>100%епилди</t>
  </si>
  <si>
    <t>Вайфай ишхона</t>
  </si>
  <si>
    <t>Клей наклейка самарез</t>
  </si>
  <si>
    <t>Обед 2 киши</t>
  </si>
  <si>
    <t>Обед Айва</t>
  </si>
  <si>
    <t>Картага перевод</t>
  </si>
  <si>
    <t>uy uchun oyimga</t>
  </si>
  <si>
    <t>Битган заказ</t>
  </si>
  <si>
    <t>70% тугирладила</t>
  </si>
  <si>
    <t>oyljk mirjamolaka</t>
  </si>
  <si>
    <t>zavod produkta</t>
  </si>
  <si>
    <t>uskuna jumaka shurik</t>
  </si>
  <si>
    <t>boshqa_kirim</t>
  </si>
  <si>
    <t>Boshqa kirim</t>
  </si>
  <si>
    <t>Zebo 353 ostatka 100%</t>
  </si>
  <si>
    <t>Сув стадион</t>
  </si>
  <si>
    <t>oylik elyor dori</t>
  </si>
  <si>
    <t>Аванс</t>
  </si>
  <si>
    <t>uy uchun sushi</t>
  </si>
  <si>
    <t>Элер куришга овкат</t>
  </si>
  <si>
    <t>Элер дори</t>
  </si>
  <si>
    <t>Сув Аквариумга</t>
  </si>
  <si>
    <t>Ручка доставка</t>
  </si>
  <si>
    <t>begzod 395 karkaz krovat</t>
  </si>
  <si>
    <t>Rasxod</t>
  </si>
  <si>
    <t>ofis uchun elektrik</t>
  </si>
  <si>
    <t>oylik umid 100%</t>
  </si>
  <si>
    <t>Timberzone listiga</t>
  </si>
  <si>
    <t>Сув болла</t>
  </si>
  <si>
    <t>Обедга олинди</t>
  </si>
  <si>
    <t>Картага ташалди</t>
  </si>
  <si>
    <t>Подсветка ойна йонидаги</t>
  </si>
  <si>
    <t>Ужин сув 2 киши</t>
  </si>
  <si>
    <t>oylik islom beshbarmoq</t>
  </si>
  <si>
    <t>Арра</t>
  </si>
  <si>
    <t>shaxsiy moshinaga A</t>
  </si>
  <si>
    <t>Обед 4 киши</t>
  </si>
  <si>
    <t>uy uchun safia</t>
  </si>
  <si>
    <t>cmm forma bollaga</t>
  </si>
  <si>
    <t>Ужин 4 киши</t>
  </si>
  <si>
    <t>Обед Жума ога</t>
  </si>
  <si>
    <t>shaxsiy bolla bilan</t>
  </si>
  <si>
    <t>Заправка</t>
  </si>
  <si>
    <t>Bitgan zakaz</t>
  </si>
  <si>
    <t>zakaz material xurshidaka dno</t>
  </si>
  <si>
    <t>Obed</t>
  </si>
  <si>
    <t>So'rov #9: харажатга</t>
  </si>
  <si>
    <t>Элбек ака клиент уйига бориш</t>
  </si>
  <si>
    <t>uy uchun domla</t>
  </si>
  <si>
    <t>Крафт пакет</t>
  </si>
  <si>
    <t>Обед Элер ака</t>
  </si>
  <si>
    <t>Qarzlaga</t>
  </si>
  <si>
    <t>oylik dilmurodaka shogirtga</t>
  </si>
  <si>
    <t>Цех запчасть котелга</t>
  </si>
  <si>
    <t>Распил</t>
  </si>
  <si>
    <t>Наклейка</t>
  </si>
  <si>
    <t>Лабо балон ямаш</t>
  </si>
  <si>
    <t>Матрас</t>
  </si>
  <si>
    <t>Матрас карз</t>
  </si>
  <si>
    <t>Тош</t>
  </si>
  <si>
    <t>Ойна подсветка</t>
  </si>
  <si>
    <t>Краска астар раствор</t>
  </si>
  <si>
    <t>ГАИ взятка лабо рекламасига</t>
  </si>
  <si>
    <t>Элбек ака сехдан уйига бориш</t>
  </si>
  <si>
    <t>Кромка ровер</t>
  </si>
  <si>
    <t>shaxsiy zaryadka uy bozor</t>
  </si>
  <si>
    <t>Кромка обувница</t>
  </si>
  <si>
    <t>Паста шпаклевка</t>
  </si>
  <si>
    <t>Элер ака обед</t>
  </si>
  <si>
    <t>Кромка</t>
  </si>
  <si>
    <t>oylik dilmurod elbek</t>
  </si>
  <si>
    <t>Тулик епилди</t>
  </si>
  <si>
    <t>Яна 2022$ остаток</t>
  </si>
  <si>
    <t>mind shaxsiy ujin</t>
  </si>
  <si>
    <t>Pul oldim (mijozdan qoldiq)</t>
  </si>
  <si>
    <t>Обед 3 киши</t>
  </si>
  <si>
    <t>list zakaz material nodiraka emanga listiga</t>
  </si>
  <si>
    <t>zakaz material alisher394 list eman</t>
  </si>
  <si>
    <t>Eman listiga</t>
  </si>
  <si>
    <t>Бензин</t>
  </si>
  <si>
    <t>Обед</t>
  </si>
  <si>
    <t>Avans 70% 28 chida togirlidi</t>
  </si>
  <si>
    <t>Qogan 70% ni zamerda beralla</t>
  </si>
  <si>
    <t>oylik dostonaka oktyabr oylik</t>
  </si>
  <si>
    <t>cmm targetga</t>
  </si>
  <si>
    <t>Ужин 2 киши 20.10</t>
  </si>
  <si>
    <t>Обед 2 киши (Мохир)</t>
  </si>
  <si>
    <t>usluga nodir 389 rover</t>
  </si>
  <si>
    <t>uy uchun kasha</t>
  </si>
  <si>
    <t>Арра чах</t>
  </si>
  <si>
    <t>Обед 2 киши Улугбек ака Ислом (Распил)</t>
  </si>
  <si>
    <t>So'rov #10: Харажатга</t>
  </si>
  <si>
    <t>заказ материал xamid 397</t>
  </si>
  <si>
    <t>oylik umid avns</t>
  </si>
  <si>
    <t>Кош</t>
  </si>
  <si>
    <t>Камин</t>
  </si>
  <si>
    <t>Anans</t>
  </si>
  <si>
    <t>ofis uchun saytga xusniddinga</t>
  </si>
  <si>
    <t>uy uchun farangizga</t>
  </si>
  <si>
    <t>Стик</t>
  </si>
  <si>
    <t>Улугбек ака Ислом</t>
  </si>
  <si>
    <t>otkazma</t>
  </si>
  <si>
    <t>Xodimlar o'rtasida o'tkazma</t>
  </si>
  <si>
    <t>Rahbarga topshirdi: 395 · БЕКЗОД (#408)</t>
  </si>
  <si>
    <t>#418: Rahbarga topshirdi: 395 · БЕКЗОД (#408)</t>
  </si>
  <si>
    <t>Rahbarga topshirdi: 403 · Ezoza opa (#407)</t>
  </si>
  <si>
    <t>#420: Rahbarga topshirdi: 403 · Ezoza opa (#407)</t>
  </si>
  <si>
    <t>oylik bugalter</t>
  </si>
  <si>
    <t>70% togirlandi</t>
  </si>
  <si>
    <t>So'rov #11: Харажатга</t>
  </si>
  <si>
    <t>Обед Элер ака Ровшан</t>
  </si>
  <si>
    <t>oylik ulugbekaka</t>
  </si>
  <si>
    <t>Петля доставка</t>
  </si>
  <si>
    <t>uy uchun suvga</t>
  </si>
  <si>
    <t>Rahbarga topshirdi: 404 · ФЕРУЗА ОПА (#432)</t>
  </si>
  <si>
    <t>#434: Rahbarga topshirdi: 404 · ФЕРУЗА ОПА (#432)</t>
  </si>
  <si>
    <t>Rahbarga topshirdi: 397 · XAMID AKA (#433)</t>
  </si>
  <si>
    <t>#436: Rahbarga topshirdi: 397 · XAMID AKA (#433)</t>
  </si>
  <si>
    <t>uy uchun svet</t>
  </si>
  <si>
    <t>Обед 24.10.26</t>
  </si>
  <si>
    <t>Астар раствор</t>
  </si>
  <si>
    <t>Краска</t>
  </si>
  <si>
    <t>Штраф чанган Жумака</t>
  </si>
  <si>
    <t>smm reklama terget</t>
  </si>
  <si>
    <t>oylik mirjamol</t>
  </si>
  <si>
    <t>shaxsiy fudboll</t>
  </si>
  <si>
    <t>Элбек ака такси футболдан кегн</t>
  </si>
  <si>
    <t>moshina doverenost</t>
  </si>
  <si>
    <t>Райхоникига бензин</t>
  </si>
  <si>
    <t>Обед 8 киши</t>
  </si>
  <si>
    <t>shaxsiy  obed</t>
  </si>
  <si>
    <t>islom oylik obed look</t>
  </si>
  <si>
    <t>shaxsiy xayriya</t>
  </si>
  <si>
    <t>ofis uchun obed va paynet</t>
  </si>
  <si>
    <t>So'rov #12: Харажатга</t>
  </si>
  <si>
    <t>So'rov #13: Расход учун</t>
  </si>
  <si>
    <t>ofis uchun obrazec</t>
  </si>
  <si>
    <t>Ужин 7 киши</t>
  </si>
  <si>
    <t>Подсветка лимон</t>
  </si>
  <si>
    <t>Аквариум сув</t>
  </si>
  <si>
    <t>Етмаганига ташалди</t>
  </si>
  <si>
    <t>Обед 2 киши Жума ога Жалол (Распил)</t>
  </si>
  <si>
    <t>Подписка KlingAi видео генератция учун</t>
  </si>
  <si>
    <t>Обед Элбек ака</t>
  </si>
  <si>
    <t>Мдф декор овал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</si>
</sst>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.mm.yyyy"/>
    <numFmt numFmtId="165" formatCode="#,##0&quot; so'm&quot;"/>
    <numFmt numFmtId="166" formatCode="#,##0&quot; so'm&quot;;[Red]-#,##0&quot; so'm&quot;"/>
    <numFmt numFmtId="167" formatCode="#,##0.##&quot; so'm&quot;"/>
    <numFmt numFmtId="168" formatCode="#,##0;[Red]-#,##0"/>
    <numFmt numFmtId="169" formatCode="0&quot; marta&quot;"/>
    <numFmt numFmtId="170" formatCode="hh:mm"/>
    <numFmt numFmtId="171" formatCode="0%;[Red]-0%"/>
    <numFmt numFmtId="172" formatCode="mmm yyyy"/>
    <numFmt numFmtId="173" formatCode="0.0%"/>
    <numFmt numFmtId="174" formatCode="#,##0.##"/>
    <numFmt numFmtId="175" formatCode="yyyy-mm-dd h:mm"/>
    <numFmt numFmtId="176" formatCode="yyyy-mm-dd hh:mm"/>
    <numFmt numFmtId="177" formatCode="#,##0;-#,##0;&quot;—&quot;"/>
  </numFmts>
  <fonts count="56">
    <font>
      <sz val="10.0"/>
      <color rgb="FF000000"/>
      <name val="Arial"/>
      <scheme val="minor"/>
    </font>
    <font>
      <b/>
      <sz val="17.0"/>
      <color rgb="FFFFFFFF"/>
      <name val="Montserrat"/>
    </font>
    <font>
      <color theme="1"/>
      <name val="Montserrat"/>
    </font>
    <font>
      <i/>
      <sz val="10.0"/>
      <color rgb="FF135A3D"/>
      <name val="Montserrat"/>
    </font>
    <font>
      <b/>
      <sz val="10.0"/>
      <color rgb="FF135A3D"/>
      <name val="Montserrat"/>
    </font>
    <font>
      <b/>
      <sz val="14.0"/>
      <color rgb="FF1F2C27"/>
      <name val="Montserrat"/>
    </font>
    <font/>
    <font>
      <i/>
      <sz val="9.0"/>
      <color rgb="FF6B7A74"/>
      <name val="Montserrat"/>
    </font>
    <font>
      <b/>
      <sz val="11.0"/>
      <color rgb="FF1F2D26"/>
      <name val="Montserrat"/>
    </font>
    <font>
      <b/>
      <color rgb="FF13593D"/>
      <name val="Montserrat"/>
    </font>
    <font>
      <b/>
      <sz val="11.0"/>
      <color rgb="FF1F2C27"/>
      <name val="Montserrat"/>
    </font>
    <font>
      <b/>
      <sz val="9.0"/>
      <color rgb="FFFFFFFF"/>
      <name val="Montserrat"/>
    </font>
    <font>
      <b/>
      <sz val="11.0"/>
      <color theme="1"/>
      <name val="Montserrat"/>
    </font>
    <font>
      <b/>
      <sz val="15.0"/>
      <color rgb="FF1F2C27"/>
      <name val="Montserrat"/>
    </font>
    <font>
      <b/>
      <color rgb="FF135A3D"/>
      <name val="Montserrat"/>
    </font>
    <font>
      <b/>
      <sz val="10.0"/>
      <color theme="1"/>
      <name val="Montserrat"/>
    </font>
    <font>
      <b/>
      <sz val="11.0"/>
      <color rgb="FF1E8448"/>
      <name val="Montserrat"/>
    </font>
    <font>
      <b/>
      <sz val="12.0"/>
      <color rgb="FF0A3C2D"/>
      <name val="Montserrat"/>
    </font>
    <font>
      <b/>
      <sz val="10.0"/>
      <color rgb="FFFFFFFF"/>
      <name val="Montserrat"/>
    </font>
    <font>
      <b/>
      <color theme="1"/>
      <name val="Montserrat"/>
    </font>
    <font>
      <b/>
      <sz val="13.0"/>
      <color theme="1"/>
      <name val="Montserrat"/>
    </font>
    <font>
      <b/>
      <sz val="14.0"/>
      <color rgb="FF0A3C2D"/>
      <name val="Montserrat"/>
    </font>
    <font>
      <b/>
      <color rgb="FFFFFFFF"/>
      <name val="Montserrat"/>
    </font>
    <font>
      <b/>
      <sz val="16.0"/>
      <color rgb="FFFFFFFF"/>
      <name val="Montserrat"/>
    </font>
    <font>
      <b/>
      <color rgb="FF0B3D2E"/>
      <name val="Montserrat"/>
    </font>
    <font>
      <i/>
      <color rgb="FF6B7C74"/>
      <name val="Montserrat"/>
    </font>
    <font>
      <b/>
      <sz val="15.0"/>
      <color rgb="FFB03A2E"/>
      <name val="Montserrat"/>
    </font>
    <font>
      <b/>
      <sz val="15.0"/>
      <color rgb="FF1E8449"/>
      <name val="Montserrat"/>
    </font>
    <font>
      <b/>
      <sz val="15.0"/>
      <color rgb="FF1F5F8B"/>
      <name val="Montserrat"/>
    </font>
    <font>
      <b/>
      <sz val="15.0"/>
      <color rgb="FF6C3483"/>
      <name val="Montserrat"/>
    </font>
    <font>
      <b/>
      <sz val="15.0"/>
      <color rgb="FF3D5361"/>
      <name val="Montserrat"/>
    </font>
    <font>
      <b/>
      <sz val="15.0"/>
      <color rgb="FF6E4B3A"/>
      <name val="Montserrat"/>
    </font>
    <font>
      <b/>
      <sz val="12.0"/>
      <color rgb="FF0B3D2E"/>
      <name val="Montserrat"/>
    </font>
    <font>
      <color rgb="FF6B7C74"/>
      <name val="Montserrat"/>
    </font>
    <font>
      <sz val="10.0"/>
      <color theme="1"/>
      <name val="Montserrat"/>
    </font>
    <font>
      <b/>
      <sz val="14.0"/>
      <color theme="1"/>
      <name val="Montserrat"/>
    </font>
    <font>
      <sz val="10.0"/>
      <color rgb="FF0A3C2D"/>
      <name val="Montserrat"/>
    </font>
    <font>
      <b/>
      <sz val="10.0"/>
      <color rgb="FF0A3C2D"/>
      <name val="Montserrat"/>
    </font>
    <font>
      <sz val="10.0"/>
      <color rgb="FF6B7B74"/>
      <name val="Montserrat"/>
    </font>
    <font>
      <b/>
      <sz val="16.0"/>
      <color rgb="FF1E8448"/>
      <name val="Montserrat"/>
    </font>
    <font>
      <b/>
      <sz val="16.0"/>
      <color rgb="FF117964"/>
      <name val="Montserrat"/>
    </font>
    <font>
      <b/>
      <sz val="16.0"/>
      <color rgb="FF1F5F8A"/>
      <name val="Montserrat"/>
    </font>
    <font>
      <b/>
      <sz val="16.0"/>
      <color rgb="FF6C3483"/>
      <name val="Montserrat"/>
    </font>
    <font>
      <b/>
      <sz val="16.0"/>
      <color rgb="FFAF392D"/>
      <name val="Montserrat"/>
    </font>
    <font>
      <b/>
      <sz val="16.0"/>
      <color rgb="FFC8A127"/>
      <name val="Montserrat"/>
    </font>
    <font>
      <b/>
      <sz val="11.0"/>
      <color rgb="FF0A3C2D"/>
      <name val="Montserrat"/>
    </font>
    <font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  <name val="Montserrat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0.0"/>
      <color rgb="FF13593D"/>
      <name val="Montserrat"/>
    </font>
    <font>
      <i/>
      <sz val="9.0"/>
      <color rgb="FF6A7B73"/>
      <name val="Montserrat"/>
    </font>
    <font>
      <b/>
      <sz val="15.0"/>
      <color rgb="FF1F2D26"/>
      <name val="Montserrat"/>
    </font>
    <font>
      <b/>
      <sz val="12.0"/>
      <color rgb="FF0A3C2E"/>
      <name val="Montserrat"/>
    </font>
    <font>
      <b/>
      <color rgb="FF0A3C2E"/>
      <name val="Montserrat"/>
    </font>
  </fonts>
  <fills count="31">
    <fill>
      <patternFill patternType="none"/>
    </fill>
    <fill>
      <patternFill patternType="lightGray"/>
    </fill>
    <fill>
      <patternFill patternType="solid">
        <fgColor rgb="FF0A3C2D"/>
        <bgColor rgb="FF0A3C2D"/>
      </patternFill>
    </fill>
    <fill>
      <patternFill patternType="solid">
        <fgColor rgb="FFE8F3EB"/>
        <bgColor rgb="FFE8F3EB"/>
      </patternFill>
    </fill>
    <fill>
      <patternFill patternType="solid">
        <fgColor rgb="FFFFF0C8"/>
        <bgColor rgb="FFFFF0C8"/>
      </patternFill>
    </fill>
    <fill>
      <patternFill patternType="solid">
        <fgColor rgb="FFFFF1C8"/>
        <bgColor rgb="FFFFF1C8"/>
      </patternFill>
    </fill>
    <fill>
      <patternFill patternType="solid">
        <fgColor rgb="FF6C3483"/>
        <bgColor rgb="FF6C3483"/>
      </patternFill>
    </fill>
    <fill>
      <patternFill patternType="solid">
        <fgColor rgb="FFAF392D"/>
        <bgColor rgb="FFAF392D"/>
      </patternFill>
    </fill>
    <fill>
      <patternFill patternType="solid">
        <fgColor rgb="FF1F5F8A"/>
        <bgColor rgb="FF1F5F8A"/>
      </patternFill>
    </fill>
    <fill>
      <patternFill patternType="solid">
        <fgColor rgb="FF3C5260"/>
        <bgColor rgb="FF3C5260"/>
      </patternFill>
    </fill>
    <fill>
      <patternFill patternType="solid">
        <fgColor rgb="FF117964"/>
        <bgColor rgb="FF117964"/>
      </patternFill>
    </fill>
    <fill>
      <patternFill patternType="solid">
        <fgColor rgb="FF1E8448"/>
        <bgColor rgb="FF1E8448"/>
      </patternFill>
    </fill>
    <fill>
      <patternFill patternType="solid">
        <fgColor rgb="FFD9EEDE"/>
        <bgColor rgb="FFD9EEDE"/>
      </patternFill>
    </fill>
    <fill>
      <patternFill patternType="solid">
        <fgColor rgb="FFFFFFFF"/>
        <bgColor rgb="FFFFFFFF"/>
      </patternFill>
    </fill>
    <fill>
      <patternFill patternType="solid">
        <fgColor rgb="FF0B3D2E"/>
        <bgColor rgb="FF0B3D2E"/>
      </patternFill>
    </fill>
    <fill>
      <patternFill patternType="solid">
        <fgColor rgb="FFFFF1C9"/>
        <bgColor rgb="FFFFF1C9"/>
      </patternFill>
    </fill>
    <fill>
      <patternFill patternType="solid">
        <fgColor rgb="FFB03A2E"/>
        <bgColor rgb="FFB03A2E"/>
      </patternFill>
    </fill>
    <fill>
      <patternFill patternType="solid">
        <fgColor rgb="FF1E8449"/>
        <bgColor rgb="FF1E8449"/>
      </patternFill>
    </fill>
    <fill>
      <patternFill patternType="solid">
        <fgColor rgb="FF1F5F8B"/>
        <bgColor rgb="FF1F5F8B"/>
      </patternFill>
    </fill>
    <fill>
      <patternFill patternType="solid">
        <fgColor rgb="FF3D5361"/>
        <bgColor rgb="FF3D5361"/>
      </patternFill>
    </fill>
    <fill>
      <patternFill patternType="solid">
        <fgColor rgb="FF6E4B3A"/>
        <bgColor rgb="FF6E4B3A"/>
      </patternFill>
    </fill>
    <fill>
      <patternFill patternType="solid">
        <fgColor rgb="FFE8F3EC"/>
        <bgColor rgb="FFE8F3EC"/>
      </patternFill>
    </fill>
    <fill>
      <patternFill patternType="solid">
        <fgColor rgb="FFF3F8F5"/>
        <bgColor rgb="FFF3F8F5"/>
      </patternFill>
    </fill>
    <fill>
      <patternFill patternType="solid">
        <fgColor rgb="FFC8A127"/>
        <bgColor rgb="FFC8A127"/>
      </patternFill>
    </fill>
    <fill>
      <patternFill patternType="solid">
        <fgColor rgb="FF305496"/>
        <bgColor rgb="FF305496"/>
      </patternFill>
    </fill>
    <fill>
      <patternFill patternType="solid">
        <fgColor rgb="FFD8E5FF"/>
        <bgColor rgb="FFD8E5FF"/>
      </patternFill>
    </fill>
    <fill>
      <patternFill patternType="solid">
        <fgColor rgb="FF0A3C2E"/>
        <bgColor rgb="FF0A3C2E"/>
      </patternFill>
    </fill>
    <fill>
      <patternFill patternType="solid">
        <fgColor rgb="FF3C5361"/>
        <bgColor rgb="FF3C5361"/>
      </patternFill>
    </fill>
    <fill>
      <patternFill patternType="solid">
        <fgColor rgb="FF6E4A3A"/>
        <bgColor rgb="FF6E4A3A"/>
      </patternFill>
    </fill>
    <fill>
      <patternFill patternType="solid">
        <fgColor rgb="FF6B3382"/>
        <bgColor rgb="FF6B3382"/>
      </patternFill>
    </fill>
    <fill>
      <patternFill patternType="solid">
        <fgColor rgb="FFE7F3EC"/>
        <bgColor rgb="FFE7F3EC"/>
      </patternFill>
    </fill>
  </fills>
  <borders count="33">
    <border/>
    <border>
      <left style="medium">
        <color rgb="FFC8A127"/>
      </left>
      <top style="medium">
        <color rgb="FFC8A127"/>
      </top>
      <bottom style="medium">
        <color rgb="FFC8A127"/>
      </bottom>
    </border>
    <border>
      <top style="medium">
        <color rgb="FFC8A127"/>
      </top>
      <bottom style="medium">
        <color rgb="FFC8A127"/>
      </bottom>
    </border>
    <border>
      <right style="medium">
        <color rgb="FFC8A127"/>
      </right>
      <top style="medium">
        <color rgb="FFC8A127"/>
      </top>
      <bottom style="medium">
        <color rgb="FFC8A127"/>
      </bottom>
    </border>
    <border>
      <left style="medium">
        <color rgb="FFC8A226"/>
      </left>
      <right style="medium">
        <color rgb="FFC8A226"/>
      </right>
      <bottom style="medium">
        <color rgb="FFC8A226"/>
      </bottom>
    </border>
    <border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  <border>
      <left style="medium">
        <color rgb="FFB03A2E"/>
      </left>
      <bottom style="medium">
        <color rgb="FFB03A2E"/>
      </bottom>
    </border>
    <border>
      <right style="medium">
        <color rgb="FFB03A2E"/>
      </right>
      <bottom style="medium">
        <color rgb="FFB03A2E"/>
      </bottom>
    </border>
    <border>
      <left style="medium">
        <color rgb="FF1E8449"/>
      </left>
      <bottom style="medium">
        <color rgb="FF1E8449"/>
      </bottom>
    </border>
    <border>
      <right style="medium">
        <color rgb="FF1E8449"/>
      </right>
      <bottom style="medium">
        <color rgb="FF1E8449"/>
      </bottom>
    </border>
    <border>
      <left style="medium">
        <color rgb="FF1F5F8B"/>
      </left>
      <bottom style="medium">
        <color rgb="FF1F5F8B"/>
      </bottom>
    </border>
    <border>
      <right style="medium">
        <color rgb="FF1F5F8B"/>
      </right>
      <bottom style="medium">
        <color rgb="FF1F5F8B"/>
      </bottom>
    </border>
    <border>
      <left style="medium">
        <color rgb="FF6C3483"/>
      </left>
      <bottom style="medium">
        <color rgb="FF6C3483"/>
      </bottom>
    </border>
    <border>
      <right style="medium">
        <color rgb="FF6C3483"/>
      </right>
      <bottom style="medium">
        <color rgb="FF6C3483"/>
      </bottom>
    </border>
    <border>
      <left style="medium">
        <color rgb="FF3D5361"/>
      </left>
      <bottom style="medium">
        <color rgb="FF3D5361"/>
      </bottom>
    </border>
    <border>
      <right style="medium">
        <color rgb="FF3D5361"/>
      </right>
      <bottom style="medium">
        <color rgb="FF3D5361"/>
      </bottom>
    </border>
    <border>
      <left style="medium">
        <color rgb="FF6E4B3A"/>
      </left>
      <bottom style="medium">
        <color rgb="FF6E4B3A"/>
      </bottom>
    </border>
    <border>
      <right style="medium">
        <color rgb="FF6E4B3A"/>
      </right>
      <bottom style="medium">
        <color rgb="FF6E4B3A"/>
      </bottom>
    </border>
    <border>
      <left style="thin">
        <color rgb="FFC8A127"/>
      </left>
      <right style="thin">
        <color rgb="FFC8A127"/>
      </right>
      <top style="thin">
        <color rgb="FFC8A127"/>
      </top>
      <bottom style="thin">
        <color rgb="FFC8A127"/>
      </bottom>
    </border>
    <border>
      <left style="medium">
        <color rgb="FF1E8448"/>
      </left>
      <top style="medium">
        <color rgb="FF1E8448"/>
      </top>
      <bottom style="medium">
        <color rgb="FF1E8448"/>
      </bottom>
    </border>
    <border>
      <right style="medium">
        <color rgb="FF1E8448"/>
      </right>
      <top style="medium">
        <color rgb="FF1E8448"/>
      </top>
      <bottom style="medium">
        <color rgb="FF1E8448"/>
      </bottom>
    </border>
    <border>
      <left style="medium">
        <color rgb="FF117964"/>
      </left>
      <top style="medium">
        <color rgb="FF117964"/>
      </top>
      <bottom style="medium">
        <color rgb="FF117964"/>
      </bottom>
    </border>
    <border>
      <right style="medium">
        <color rgb="FF117964"/>
      </right>
      <top style="medium">
        <color rgb="FF117964"/>
      </top>
      <bottom style="medium">
        <color rgb="FF117964"/>
      </bottom>
    </border>
    <border>
      <left style="medium">
        <color rgb="FF1F5F8A"/>
      </left>
      <top style="medium">
        <color rgb="FF1F5F8A"/>
      </top>
      <bottom style="medium">
        <color rgb="FF1F5F8A"/>
      </bottom>
    </border>
    <border>
      <right style="medium">
        <color rgb="FF1F5F8A"/>
      </right>
      <top style="medium">
        <color rgb="FF1F5F8A"/>
      </top>
      <bottom style="medium">
        <color rgb="FF1F5F8A"/>
      </bottom>
    </border>
    <border>
      <left style="medium">
        <color rgb="FF6C3483"/>
      </left>
      <top style="medium">
        <color rgb="FF6C3483"/>
      </top>
      <bottom style="medium">
        <color rgb="FF6C3483"/>
      </bottom>
    </border>
    <border>
      <right style="medium">
        <color rgb="FF6C3483"/>
      </right>
      <top style="medium">
        <color rgb="FF6C3483"/>
      </top>
      <bottom style="medium">
        <color rgb="FF6C3483"/>
      </bottom>
    </border>
    <border>
      <left style="medium">
        <color rgb="FFAF392D"/>
      </left>
      <top style="medium">
        <color rgb="FFAF392D"/>
      </top>
      <bottom style="medium">
        <color rgb="FFAF392D"/>
      </bottom>
    </border>
    <border>
      <right style="medium">
        <color rgb="FFAF392D"/>
      </right>
      <top style="medium">
        <color rgb="FFAF392D"/>
      </top>
      <bottom style="medium">
        <color rgb="FFAF392D"/>
      </bottom>
    </border>
    <border>
      <left style="medium">
        <color rgb="FFC8A226"/>
      </left>
      <right style="medium">
        <color rgb="FFC8A226"/>
      </right>
      <top style="medium">
        <color rgb="FFC8A226"/>
      </top>
      <bottom style="medium">
        <color rgb="FFC8A226"/>
      </bottom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Font="1"/>
    <xf borderId="0" fillId="3" fontId="3" numFmtId="0" xfId="0" applyAlignment="1" applyFill="1" applyFont="1">
      <alignment readingOrder="0" vertical="center"/>
    </xf>
    <xf borderId="0" fillId="0" fontId="4" numFmtId="0" xfId="0" applyAlignment="1" applyFont="1">
      <alignment readingOrder="0" vertical="center"/>
    </xf>
    <xf borderId="1" fillId="4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readingOrder="0" vertical="center"/>
    </xf>
    <xf borderId="4" fillId="5" fontId="8" numFmtId="164" xfId="0" applyAlignment="1" applyBorder="1" applyFill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4" numFmtId="0" xfId="0" applyAlignment="1" applyFont="1">
      <alignment horizontal="right" readingOrder="0" vertical="center"/>
    </xf>
    <xf borderId="5" fillId="6" fontId="11" numFmtId="0" xfId="0" applyAlignment="1" applyBorder="1" applyFill="1" applyFont="1">
      <alignment horizontal="center" readingOrder="0" shrinkToFit="0" vertical="center" wrapText="1"/>
    </xf>
    <xf borderId="6" fillId="7" fontId="11" numFmtId="0" xfId="0" applyAlignment="1" applyBorder="1" applyFill="1" applyFont="1">
      <alignment horizontal="center" readingOrder="0" shrinkToFit="0" vertical="center" wrapText="1"/>
    </xf>
    <xf borderId="6" fillId="8" fontId="11" numFmtId="0" xfId="0" applyAlignment="1" applyBorder="1" applyFill="1" applyFont="1">
      <alignment horizontal="center" readingOrder="0" shrinkToFit="0" vertical="center" wrapText="1"/>
    </xf>
    <xf borderId="7" fillId="9" fontId="11" numFmtId="0" xfId="0" applyAlignment="1" applyBorder="1" applyFill="1" applyFont="1">
      <alignment horizontal="center" readingOrder="0" shrinkToFit="0" vertical="center" wrapText="1"/>
    </xf>
    <xf borderId="0" fillId="0" fontId="12" numFmtId="165" xfId="0" applyAlignment="1" applyFont="1" applyNumberFormat="1">
      <alignment vertical="center"/>
    </xf>
    <xf borderId="5" fillId="3" fontId="13" numFmtId="166" xfId="0" applyAlignment="1" applyBorder="1" applyFill="1" applyFont="1" applyNumberFormat="1">
      <alignment horizontal="center" vertical="center"/>
    </xf>
    <xf borderId="0" fillId="0" fontId="14" numFmtId="0" xfId="0" applyFont="1"/>
    <xf borderId="0" fillId="0" fontId="15" numFmtId="0" xfId="0" applyFont="1"/>
    <xf borderId="0" fillId="6" fontId="11" numFmtId="0" xfId="0" applyAlignment="1" applyFill="1" applyFont="1">
      <alignment horizontal="center" readingOrder="0" shrinkToFit="0" vertical="center" wrapText="1"/>
    </xf>
    <xf borderId="5" fillId="0" fontId="6" numFmtId="0" xfId="0" applyBorder="1" applyFont="1"/>
    <xf borderId="6" fillId="3" fontId="13" numFmtId="166" xfId="0" applyAlignment="1" applyBorder="1" applyFill="1" applyFont="1" applyNumberFormat="1">
      <alignment horizontal="center" vertical="center"/>
    </xf>
    <xf borderId="7" fillId="8" fontId="11" numFmtId="0" xfId="0" applyAlignment="1" applyBorder="1" applyFill="1" applyFont="1">
      <alignment horizontal="center" readingOrder="0" shrinkToFit="0" vertical="center" wrapText="1"/>
    </xf>
    <xf borderId="7" fillId="10" fontId="11" numFmtId="0" xfId="0" applyAlignment="1" applyBorder="1" applyFill="1" applyFont="1">
      <alignment horizontal="center" readingOrder="0" shrinkToFit="0" vertical="center" wrapText="1"/>
    </xf>
    <xf borderId="0" fillId="0" fontId="12" numFmtId="167" xfId="0" applyAlignment="1" applyFont="1" applyNumberFormat="1">
      <alignment vertical="center"/>
    </xf>
    <xf borderId="0" fillId="3" fontId="13" numFmtId="168" xfId="0" applyAlignment="1" applyFill="1" applyFont="1" applyNumberFormat="1">
      <alignment horizontal="center" vertical="center"/>
    </xf>
    <xf borderId="7" fillId="3" fontId="13" numFmtId="169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right" readingOrder="0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7" fillId="3" fontId="13" numFmtId="168" xfId="0" applyAlignment="1" applyBorder="1" applyFill="1" applyFont="1" applyNumberFormat="1">
      <alignment horizontal="center" vertical="center"/>
    </xf>
    <xf borderId="0" fillId="8" fontId="11" numFmtId="0" xfId="0" applyAlignment="1" applyFill="1" applyFont="1">
      <alignment horizontal="center" readingOrder="0" shrinkToFit="0" vertical="center" wrapText="1"/>
    </xf>
    <xf borderId="7" fillId="7" fontId="11" numFmtId="0" xfId="0" applyAlignment="1" applyBorder="1" applyFill="1" applyFont="1">
      <alignment horizontal="center" readingOrder="0" shrinkToFit="0" vertical="center" wrapText="1"/>
    </xf>
    <xf borderId="0" fillId="0" fontId="2" numFmtId="164" xfId="0" applyFont="1" applyNumberFormat="1"/>
    <xf borderId="7" fillId="11" fontId="11" numFmtId="0" xfId="0" applyAlignment="1" applyBorder="1" applyFill="1" applyFont="1">
      <alignment horizontal="center" readingOrder="0" shrinkToFit="0" vertical="center" wrapText="1"/>
    </xf>
    <xf borderId="0" fillId="0" fontId="19" numFmtId="3" xfId="0" applyFont="1" applyNumberFormat="1"/>
    <xf borderId="0" fillId="0" fontId="2" numFmtId="0" xfId="0" applyFont="1"/>
    <xf borderId="0" fillId="0" fontId="2" numFmtId="170" xfId="0" applyFont="1" applyNumberFormat="1"/>
    <xf borderId="7" fillId="3" fontId="13" numFmtId="49" xfId="0" applyAlignment="1" applyBorder="1" applyFill="1" applyFont="1" applyNumberFormat="1">
      <alignment horizontal="center" vertical="center"/>
    </xf>
    <xf borderId="0" fillId="3" fontId="20" numFmtId="166" xfId="0" applyAlignment="1" applyFill="1" applyFont="1" applyNumberForma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7" fillId="3" fontId="20" numFmtId="166" xfId="0" applyAlignment="1" applyBorder="1" applyFill="1" applyFont="1" applyNumberFormat="1">
      <alignment horizontal="center" shrinkToFit="0" vertical="center" wrapText="1"/>
    </xf>
    <xf borderId="0" fillId="0" fontId="2" numFmtId="3" xfId="0" applyFont="1" applyNumberFormat="1"/>
    <xf borderId="0" fillId="0" fontId="18" numFmtId="0" xfId="0" applyAlignment="1" applyFont="1">
      <alignment horizontal="center" shrinkToFit="0" vertical="center" wrapText="1"/>
    </xf>
    <xf borderId="7" fillId="12" fontId="21" numFmtId="166" xfId="0" applyAlignment="1" applyBorder="1" applyFill="1" applyFont="1" applyNumberFormat="1">
      <alignment horizontal="center" shrinkToFit="0" vertical="center" wrapText="1"/>
    </xf>
    <xf borderId="0" fillId="13" fontId="2" numFmtId="0" xfId="0" applyAlignment="1" applyFill="1" applyFont="1">
      <alignment horizontal="center" readingOrder="0"/>
    </xf>
    <xf borderId="7" fillId="3" fontId="13" numFmtId="171" xfId="0" applyAlignment="1" applyBorder="1" applyFill="1" applyFont="1" applyNumberFormat="1">
      <alignment horizontal="center" vertical="center"/>
    </xf>
    <xf borderId="0" fillId="0" fontId="22" numFmtId="0" xfId="0" applyAlignment="1" applyFont="1">
      <alignment horizontal="center"/>
    </xf>
    <xf borderId="0" fillId="0" fontId="22" numFmtId="3" xfId="0" applyAlignment="1" applyFont="1" applyNumberFormat="1">
      <alignment horizontal="center"/>
    </xf>
    <xf borderId="0" fillId="0" fontId="2" numFmtId="0" xfId="0" applyFont="1"/>
    <xf borderId="0" fillId="0" fontId="2" numFmtId="0" xfId="0" applyFont="1"/>
    <xf borderId="0" fillId="0" fontId="15" numFmtId="3" xfId="0" applyFont="1" applyNumberFormat="1"/>
    <xf borderId="0" fillId="14" fontId="23" numFmtId="0" xfId="0" applyAlignment="1" applyFill="1" applyFont="1">
      <alignment readingOrder="0" vertical="center"/>
    </xf>
    <xf borderId="0" fillId="0" fontId="24" numFmtId="0" xfId="0" applyAlignment="1" applyFont="1">
      <alignment readingOrder="0"/>
    </xf>
    <xf borderId="8" fillId="15" fontId="19" numFmtId="164" xfId="0" applyAlignment="1" applyBorder="1" applyFill="1" applyFont="1" applyNumberFormat="1">
      <alignment horizontal="center" readingOrder="0"/>
    </xf>
    <xf borderId="0" fillId="0" fontId="24" numFmtId="0" xfId="0" applyAlignment="1" applyFont="1">
      <alignment horizontal="right" readingOrder="0"/>
    </xf>
    <xf borderId="0" fillId="0" fontId="25" numFmtId="0" xfId="0" applyAlignment="1" applyFont="1">
      <alignment readingOrder="0"/>
    </xf>
    <xf borderId="0" fillId="16" fontId="22" numFmtId="0" xfId="0" applyAlignment="1" applyFill="1" applyFont="1">
      <alignment horizontal="center" readingOrder="0" vertical="center"/>
    </xf>
    <xf borderId="0" fillId="17" fontId="22" numFmtId="0" xfId="0" applyAlignment="1" applyFill="1" applyFont="1">
      <alignment horizontal="center" readingOrder="0" vertical="center"/>
    </xf>
    <xf borderId="0" fillId="18" fontId="22" numFmtId="0" xfId="0" applyAlignment="1" applyFill="1" applyFont="1">
      <alignment horizontal="center" readingOrder="0" vertical="center"/>
    </xf>
    <xf borderId="0" fillId="6" fontId="22" numFmtId="0" xfId="0" applyAlignment="1" applyFill="1" applyFont="1">
      <alignment horizontal="center" readingOrder="0" vertical="center"/>
    </xf>
    <xf borderId="0" fillId="19" fontId="22" numFmtId="0" xfId="0" applyAlignment="1" applyFill="1" applyFont="1">
      <alignment horizontal="center" readingOrder="0" vertical="center"/>
    </xf>
    <xf borderId="0" fillId="20" fontId="22" numFmtId="0" xfId="0" applyAlignment="1" applyFill="1" applyFont="1">
      <alignment horizontal="center" readingOrder="0" vertical="center"/>
    </xf>
    <xf borderId="9" fillId="21" fontId="26" numFmtId="166" xfId="0" applyAlignment="1" applyBorder="1" applyFill="1" applyFont="1" applyNumberFormat="1">
      <alignment horizontal="center" vertical="center"/>
    </xf>
    <xf borderId="10" fillId="0" fontId="6" numFmtId="0" xfId="0" applyBorder="1" applyFont="1"/>
    <xf borderId="11" fillId="21" fontId="27" numFmtId="166" xfId="0" applyAlignment="1" applyBorder="1" applyFill="1" applyFont="1" applyNumberFormat="1">
      <alignment horizontal="center" vertical="center"/>
    </xf>
    <xf borderId="12" fillId="0" fontId="6" numFmtId="0" xfId="0" applyBorder="1" applyFont="1"/>
    <xf borderId="13" fillId="21" fontId="28" numFmtId="166" xfId="0" applyAlignment="1" applyBorder="1" applyFill="1" applyFont="1" applyNumberFormat="1">
      <alignment horizontal="center" vertical="center"/>
    </xf>
    <xf borderId="14" fillId="0" fontId="6" numFmtId="0" xfId="0" applyBorder="1" applyFont="1"/>
    <xf borderId="15" fillId="21" fontId="29" numFmtId="166" xfId="0" applyAlignment="1" applyBorder="1" applyFill="1" applyFont="1" applyNumberFormat="1">
      <alignment horizontal="center" vertical="center"/>
    </xf>
    <xf borderId="16" fillId="0" fontId="6" numFmtId="0" xfId="0" applyBorder="1" applyFont="1"/>
    <xf borderId="17" fillId="21" fontId="30" numFmtId="166" xfId="0" applyAlignment="1" applyBorder="1" applyFill="1" applyFont="1" applyNumberFormat="1">
      <alignment horizontal="center" vertical="center"/>
    </xf>
    <xf borderId="18" fillId="0" fontId="6" numFmtId="0" xfId="0" applyBorder="1" applyFont="1"/>
    <xf borderId="19" fillId="21" fontId="31" numFmtId="166" xfId="0" applyAlignment="1" applyBorder="1" applyFill="1" applyFont="1" applyNumberFormat="1">
      <alignment horizontal="center" vertical="center"/>
    </xf>
    <xf borderId="20" fillId="0" fontId="6" numFmtId="0" xfId="0" applyBorder="1" applyFont="1"/>
    <xf borderId="0" fillId="0" fontId="32" numFmtId="0" xfId="0" applyAlignment="1" applyFont="1">
      <alignment readingOrder="0"/>
    </xf>
    <xf borderId="0" fillId="14" fontId="22" numFmtId="0" xfId="0" applyAlignment="1" applyFill="1" applyFont="1">
      <alignment horizontal="center" readingOrder="0" vertical="center"/>
    </xf>
    <xf borderId="0" fillId="22" fontId="2" numFmtId="0" xfId="0" applyAlignment="1" applyFill="1" applyFont="1">
      <alignment readingOrder="0"/>
    </xf>
    <xf borderId="0" fillId="22" fontId="2" numFmtId="3" xfId="0" applyFill="1" applyFont="1" applyNumberFormat="1"/>
    <xf borderId="0" fillId="0" fontId="2" numFmtId="49" xfId="0" applyFont="1" applyNumberFormat="1"/>
    <xf borderId="0" fillId="0" fontId="2" numFmtId="49" xfId="0" applyFont="1" applyNumberFormat="1"/>
    <xf borderId="0" fillId="22" fontId="2" numFmtId="0" xfId="0" applyFill="1" applyFont="1"/>
    <xf borderId="0" fillId="22" fontId="2" numFmtId="9" xfId="0" applyFill="1" applyFont="1" applyNumberFormat="1"/>
    <xf borderId="0" fillId="0" fontId="2" numFmtId="0" xfId="0" applyAlignment="1" applyFont="1">
      <alignment readingOrder="0"/>
    </xf>
    <xf borderId="0" fillId="0" fontId="2" numFmtId="3" xfId="0" applyFont="1" applyNumberFormat="1"/>
    <xf borderId="0" fillId="0" fontId="2" numFmtId="9" xfId="0" applyFont="1" applyNumberFormat="1"/>
    <xf borderId="0" fillId="22" fontId="2" numFmtId="0" xfId="0" applyFill="1" applyFont="1"/>
    <xf borderId="0" fillId="21" fontId="24" numFmtId="0" xfId="0" applyAlignment="1" applyFill="1" applyFont="1">
      <alignment readingOrder="0"/>
    </xf>
    <xf borderId="0" fillId="21" fontId="24" numFmtId="3" xfId="0" applyFill="1" applyFont="1" applyNumberFormat="1"/>
    <xf borderId="0" fillId="21" fontId="24" numFmtId="0" xfId="0" applyFill="1" applyFont="1"/>
    <xf borderId="0" fillId="21" fontId="24" numFmtId="9" xfId="0" applyFill="1" applyFont="1" applyNumberFormat="1"/>
    <xf borderId="0" fillId="14" fontId="22" numFmtId="3" xfId="0" applyAlignment="1" applyFill="1" applyFont="1" applyNumberFormat="1">
      <alignment horizontal="center" readingOrder="0" vertical="center"/>
    </xf>
    <xf borderId="0" fillId="22" fontId="33" numFmtId="0" xfId="0" applyAlignment="1" applyFill="1" applyFont="1">
      <alignment readingOrder="0"/>
    </xf>
    <xf borderId="0" fillId="0" fontId="2" numFmtId="168" xfId="0" applyFont="1" applyNumberFormat="1"/>
    <xf borderId="0" fillId="22" fontId="2" numFmtId="168" xfId="0" applyFill="1" applyFont="1" applyNumberFormat="1"/>
    <xf borderId="0" fillId="14" fontId="22" numFmtId="168" xfId="0" applyAlignment="1" applyFill="1" applyFont="1" applyNumberFormat="1">
      <alignment horizontal="center" readingOrder="0" vertical="center"/>
    </xf>
    <xf borderId="0" fillId="22" fontId="33" numFmtId="168" xfId="0" applyAlignment="1" applyFill="1" applyFont="1" applyNumberFormat="1">
      <alignment horizontal="right" readingOrder="0"/>
    </xf>
    <xf borderId="0" fillId="21" fontId="24" numFmtId="168" xfId="0" applyFill="1" applyFont="1" applyNumberFormat="1"/>
    <xf borderId="0" fillId="22" fontId="2" numFmtId="168" xfId="0" applyAlignment="1" applyFill="1" applyFont="1" applyNumberFormat="1">
      <alignment readingOrder="0"/>
    </xf>
    <xf borderId="0" fillId="0" fontId="2" numFmtId="164" xfId="0" applyFont="1" applyNumberFormat="1"/>
    <xf borderId="0" fillId="0" fontId="19" numFmtId="3" xfId="0" applyFont="1" applyNumberFormat="1"/>
    <xf borderId="0" fillId="0" fontId="2" numFmtId="170" xfId="0" applyFont="1" applyNumberFormat="1"/>
    <xf borderId="0" fillId="0" fontId="2" numFmtId="3" xfId="0" applyFont="1" applyNumberFormat="1"/>
    <xf borderId="0" fillId="0" fontId="2" numFmtId="168" xfId="0" applyAlignment="1" applyFont="1" applyNumberFormat="1">
      <alignment readingOrder="0"/>
    </xf>
    <xf borderId="0" fillId="0" fontId="15" numFmtId="3" xfId="0" applyFont="1" applyNumberFormat="1"/>
    <xf borderId="0" fillId="0" fontId="18" numFmtId="0" xfId="0" applyAlignment="1" applyFont="1">
      <alignment horizontal="center" readingOrder="0" vertical="center"/>
    </xf>
    <xf borderId="0" fillId="0" fontId="34" numFmtId="0" xfId="0" applyAlignment="1" applyFont="1">
      <alignment vertical="center"/>
    </xf>
    <xf borderId="0" fillId="2" fontId="18" numFmtId="0" xfId="0" applyAlignment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0" fillId="0" fontId="34" numFmtId="164" xfId="0" applyAlignment="1" applyFont="1" applyNumberFormat="1">
      <alignment horizontal="center" readingOrder="0" vertical="center"/>
    </xf>
    <xf borderId="0" fillId="0" fontId="34" numFmtId="164" xfId="0" applyAlignment="1" applyFont="1" applyNumberFormat="1">
      <alignment horizontal="center" vertical="center"/>
    </xf>
    <xf borderId="0" fillId="0" fontId="34" numFmtId="0" xfId="0" applyAlignment="1" applyFont="1">
      <alignment vertical="center"/>
    </xf>
    <xf borderId="0" fillId="3" fontId="12" numFmtId="0" xfId="0" applyAlignment="1" applyFill="1" applyFont="1">
      <alignment readingOrder="0" vertical="center"/>
    </xf>
    <xf borderId="0" fillId="3" fontId="35" numFmtId="0" xfId="0" applyAlignment="1" applyFill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22" fontId="2" numFmtId="172" xfId="0" applyFill="1" applyFont="1" applyNumberFormat="1"/>
    <xf borderId="0" fillId="0" fontId="2" numFmtId="172" xfId="0" applyFont="1" applyNumberFormat="1"/>
    <xf borderId="0" fillId="2" fontId="23" numFmtId="0" xfId="0" applyAlignment="1" applyFill="1" applyFont="1">
      <alignment readingOrder="0" vertical="center"/>
    </xf>
    <xf borderId="0" fillId="3" fontId="36" numFmtId="0" xfId="0" applyAlignment="1" applyFill="1" applyFont="1">
      <alignment readingOrder="0" vertical="center"/>
    </xf>
    <xf borderId="0" fillId="0" fontId="37" numFmtId="0" xfId="0" applyAlignment="1" applyFont="1">
      <alignment readingOrder="0" vertical="center"/>
    </xf>
    <xf borderId="21" fillId="4" fontId="15" numFmtId="164" xfId="0" applyAlignment="1" applyBorder="1" applyFill="1" applyFont="1" applyNumberFormat="1">
      <alignment horizontal="center" readingOrder="0" vertical="center"/>
    </xf>
    <xf borderId="0" fillId="0" fontId="37" numFmtId="0" xfId="0" applyAlignment="1" applyFont="1">
      <alignment horizontal="right" readingOrder="0" vertical="center"/>
    </xf>
    <xf borderId="0" fillId="0" fontId="38" numFmtId="0" xfId="0" applyAlignment="1" applyFont="1">
      <alignment readingOrder="0" vertical="center"/>
    </xf>
    <xf borderId="0" fillId="11" fontId="18" numFmtId="0" xfId="0" applyAlignment="1" applyFill="1" applyFont="1">
      <alignment horizontal="center" readingOrder="0" shrinkToFit="0" vertical="center" wrapText="1"/>
    </xf>
    <xf borderId="0" fillId="10" fontId="18" numFmtId="0" xfId="0" applyAlignment="1" applyFill="1" applyFont="1">
      <alignment horizontal="center" readingOrder="0" shrinkToFit="0" vertical="center" wrapText="1"/>
    </xf>
    <xf borderId="0" fillId="8" fontId="18" numFmtId="0" xfId="0" applyAlignment="1" applyFill="1" applyFont="1">
      <alignment horizontal="center" readingOrder="0" shrinkToFit="0" vertical="center" wrapText="1"/>
    </xf>
    <xf borderId="0" fillId="6" fontId="18" numFmtId="0" xfId="0" applyAlignment="1" applyFill="1" applyFont="1">
      <alignment horizontal="center" readingOrder="0" shrinkToFit="0" vertical="center" wrapText="1"/>
    </xf>
    <xf borderId="0" fillId="7" fontId="18" numFmtId="0" xfId="0" applyAlignment="1" applyFill="1" applyFont="1">
      <alignment horizontal="center" readingOrder="0" shrinkToFit="0" vertical="center" wrapText="1"/>
    </xf>
    <xf borderId="0" fillId="23" fontId="18" numFmtId="0" xfId="0" applyAlignment="1" applyFill="1" applyFont="1">
      <alignment horizontal="center" readingOrder="0" shrinkToFit="0" vertical="center" wrapText="1"/>
    </xf>
    <xf borderId="22" fillId="3" fontId="39" numFmtId="3" xfId="0" applyAlignment="1" applyBorder="1" applyFill="1" applyFont="1" applyNumberFormat="1">
      <alignment horizontal="center" vertical="center"/>
    </xf>
    <xf borderId="23" fillId="0" fontId="6" numFmtId="0" xfId="0" applyBorder="1" applyFont="1"/>
    <xf borderId="24" fillId="3" fontId="40" numFmtId="3" xfId="0" applyAlignment="1" applyBorder="1" applyFill="1" applyFont="1" applyNumberFormat="1">
      <alignment horizontal="center" vertical="center"/>
    </xf>
    <xf borderId="25" fillId="0" fontId="6" numFmtId="0" xfId="0" applyBorder="1" applyFont="1"/>
    <xf borderId="26" fillId="3" fontId="41" numFmtId="3" xfId="0" applyAlignment="1" applyBorder="1" applyFill="1" applyFont="1" applyNumberFormat="1">
      <alignment horizontal="center" vertical="center"/>
    </xf>
    <xf borderId="27" fillId="0" fontId="6" numFmtId="0" xfId="0" applyBorder="1" applyFont="1"/>
    <xf borderId="28" fillId="3" fontId="42" numFmtId="3" xfId="0" applyAlignment="1" applyBorder="1" applyFill="1" applyFont="1" applyNumberFormat="1">
      <alignment horizontal="center" vertical="center"/>
    </xf>
    <xf borderId="29" fillId="0" fontId="6" numFmtId="0" xfId="0" applyBorder="1" applyFont="1"/>
    <xf borderId="30" fillId="3" fontId="43" numFmtId="3" xfId="0" applyAlignment="1" applyBorder="1" applyFill="1" applyFont="1" applyNumberFormat="1">
      <alignment horizontal="center" vertical="center"/>
    </xf>
    <xf borderId="31" fillId="0" fontId="6" numFmtId="0" xfId="0" applyBorder="1" applyFont="1"/>
    <xf borderId="1" fillId="3" fontId="44" numFmtId="3" xfId="0" applyAlignment="1" applyBorder="1" applyFill="1" applyFont="1" applyNumberFormat="1">
      <alignment horizontal="center" vertical="center"/>
    </xf>
    <xf borderId="0" fillId="0" fontId="45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34" numFmtId="0" xfId="0" applyAlignment="1" applyFont="1">
      <alignment horizontal="center" vertical="center"/>
    </xf>
    <xf borderId="0" fillId="0" fontId="34" numFmtId="173" xfId="0" applyAlignment="1" applyFont="1" applyNumberFormat="1">
      <alignment horizontal="center" vertical="center"/>
    </xf>
    <xf borderId="0" fillId="0" fontId="15" numFmtId="3" xfId="0" applyAlignment="1" applyFont="1" applyNumberFormat="1">
      <alignment vertical="center"/>
    </xf>
    <xf borderId="0" fillId="0" fontId="46" numFmtId="3" xfId="0" applyFont="1" applyNumberFormat="1"/>
    <xf borderId="0" fillId="0" fontId="46" numFmtId="164" xfId="0" applyFont="1" applyNumberFormat="1"/>
    <xf borderId="0" fillId="0" fontId="46" numFmtId="170" xfId="0" applyFont="1" applyNumberFormat="1"/>
    <xf borderId="0" fillId="0" fontId="47" numFmtId="3" xfId="0" applyFont="1" applyNumberFormat="1"/>
    <xf borderId="0" fillId="0" fontId="18" numFmtId="49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5" numFmtId="49" xfId="0" applyAlignment="1" applyFont="1" applyNumberFormat="1">
      <alignment horizontal="center" readingOrder="0" shrinkToFit="0" vertical="center" wrapText="1"/>
    </xf>
    <xf borderId="0" fillId="0" fontId="18" numFmtId="3" xfId="0" applyAlignment="1" applyFont="1" applyNumberFormat="1">
      <alignment horizontal="center" readingOrder="0" shrinkToFit="0" vertical="center" wrapText="1"/>
    </xf>
    <xf borderId="0" fillId="0" fontId="15" numFmtId="3" xfId="0" applyAlignment="1" applyFont="1" applyNumberFormat="1">
      <alignment horizontal="center" readingOrder="0" shrinkToFit="0" vertical="center" wrapText="1"/>
    </xf>
    <xf borderId="0" fillId="0" fontId="18" numFmtId="168" xfId="0" applyAlignment="1" applyFont="1" applyNumberFormat="1">
      <alignment horizontal="center" readingOrder="0" shrinkToFit="0" vertical="center" wrapText="1"/>
    </xf>
    <xf borderId="0" fillId="0" fontId="18" numFmtId="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46" numFmtId="0" xfId="0" applyAlignment="1" applyFont="1">
      <alignment horizontal="left" readingOrder="0" shrinkToFit="0" vertical="center" wrapText="0"/>
    </xf>
    <xf borderId="0" fillId="0" fontId="34" numFmtId="49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164" xfId="0" applyAlignment="1" applyFont="1" applyNumberFormat="1">
      <alignment readingOrder="0" shrinkToFit="0" vertical="center" wrapText="0"/>
    </xf>
    <xf borderId="0" fillId="0" fontId="34" numFmtId="0" xfId="0" applyAlignment="1" applyFont="1">
      <alignment shrinkToFit="0" vertical="center" wrapText="0"/>
    </xf>
    <xf borderId="0" fillId="0" fontId="34" numFmtId="20" xfId="0" applyAlignment="1" applyFont="1" applyNumberFormat="1">
      <alignment horizontal="center"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3" xfId="0" applyAlignment="1" applyFont="1" applyNumberFormat="1">
      <alignment shrinkToFit="0" vertical="center" wrapText="0"/>
    </xf>
    <xf borderId="0" fillId="0" fontId="34" numFmtId="4" xfId="0" applyAlignment="1" applyFont="1" applyNumberFormat="1">
      <alignment shrinkToFit="0" vertical="center" wrapText="0"/>
    </xf>
    <xf borderId="0" fillId="0" fontId="34" numFmtId="49" xfId="0" applyAlignment="1" applyFont="1" applyNumberFormat="1">
      <alignment horizontal="center"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46" numFmtId="0" xfId="0" applyAlignment="1" applyFont="1">
      <alignment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9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horizontal="center" shrinkToFit="0" vertical="center" wrapText="0"/>
    </xf>
    <xf borderId="0" fillId="0" fontId="34" numFmtId="0" xfId="0" applyAlignment="1" applyFont="1">
      <alignment shrinkToFit="0" vertical="center" wrapText="0"/>
    </xf>
    <xf borderId="0" fillId="0" fontId="34" numFmtId="170" xfId="0" applyAlignment="1" applyFont="1" applyNumberFormat="1">
      <alignment horizontal="center"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64" xfId="0" applyAlignment="1" applyFont="1" applyNumberFormat="1">
      <alignment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164" xfId="0" applyAlignment="1" applyFont="1" applyNumberFormat="1">
      <alignment readingOrder="0" shrinkToFit="0" vertical="center" wrapText="0"/>
    </xf>
    <xf borderId="0" fillId="0" fontId="34" numFmtId="170" xfId="0" applyAlignment="1" applyFont="1" applyNumberFormat="1">
      <alignment horizontal="center"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3" xfId="0" applyAlignment="1" applyFont="1" applyNumberFormat="1">
      <alignment shrinkToFit="0" vertical="center" wrapText="0"/>
    </xf>
    <xf borderId="0" fillId="0" fontId="34" numFmtId="4" xfId="0" applyAlignment="1" applyFont="1" applyNumberFormat="1">
      <alignment shrinkToFit="0" vertical="center" wrapText="0"/>
    </xf>
    <xf borderId="0" fillId="0" fontId="34" numFmtId="49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horizontal="center" shrinkToFit="0" vertical="center" wrapText="0"/>
    </xf>
    <xf quotePrefix="1" borderId="0" fillId="0" fontId="34" numFmtId="0" xfId="0" applyAlignment="1" applyFont="1">
      <alignment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4" numFmtId="3" xfId="0" applyAlignment="1" applyFont="1" applyNumberForma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22" fontId="2" numFmtId="0" xfId="0" applyAlignment="1" applyFill="1" applyFont="1">
      <alignment horizontal="center" readingOrder="0" shrinkToFit="0" vertical="top" wrapText="1"/>
    </xf>
    <xf borderId="0" fillId="22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14" fontId="22" numFmtId="164" xfId="0" applyAlignment="1" applyFill="1" applyFont="1" applyNumberFormat="1">
      <alignment horizontal="center" readingOrder="0" vertical="center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34" numFmtId="49" xfId="0" applyAlignment="1" applyFont="1" applyNumberFormat="1">
      <alignment readingOrder="0"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168" xfId="0" applyAlignment="1" applyFont="1" applyNumberFormat="1">
      <alignment shrinkToFit="0" vertical="center" wrapText="0"/>
    </xf>
    <xf borderId="0" fillId="0" fontId="34" numFmtId="9" xfId="0" applyAlignment="1" applyFont="1" applyNumberFormat="1">
      <alignment horizontal="center" shrinkToFit="0" vertical="center" wrapText="0"/>
    </xf>
    <xf borderId="0" fillId="0" fontId="34" numFmtId="49" xfId="0" applyAlignment="1" applyFont="1" applyNumberFormat="1">
      <alignment horizontal="center" vertical="center"/>
    </xf>
    <xf borderId="0" fillId="0" fontId="34" numFmtId="3" xfId="0" applyAlignment="1" applyFont="1" applyNumberFormat="1">
      <alignment vertical="center"/>
    </xf>
    <xf borderId="0" fillId="0" fontId="34" numFmtId="0" xfId="0" applyAlignment="1" applyFont="1">
      <alignment horizontal="center" vertical="center"/>
    </xf>
    <xf borderId="0" fillId="0" fontId="34" numFmtId="164" xfId="0" applyAlignment="1" applyFont="1" applyNumberFormat="1">
      <alignment horizontal="center" vertical="center"/>
    </xf>
    <xf borderId="0" fillId="0" fontId="34" numFmtId="168" xfId="0" applyAlignment="1" applyFont="1" applyNumberFormat="1">
      <alignment vertical="center"/>
    </xf>
    <xf borderId="0" fillId="0" fontId="34" numFmtId="168" xfId="0" applyAlignment="1" applyFont="1" applyNumberFormat="1">
      <alignment vertical="center"/>
    </xf>
    <xf borderId="0" fillId="0" fontId="34" numFmtId="9" xfId="0" applyAlignment="1" applyFont="1" applyNumberFormat="1">
      <alignment horizontal="center" vertical="center"/>
    </xf>
    <xf borderId="0" fillId="0" fontId="34" numFmtId="3" xfId="0" applyAlignment="1" applyFont="1" applyNumberFormat="1">
      <alignment vertical="center"/>
    </xf>
    <xf borderId="0" fillId="0" fontId="34" numFmtId="14" xfId="0" applyAlignment="1" applyFont="1" applyNumberFormat="1">
      <alignment horizontal="center" readingOrder="0" vertical="center"/>
    </xf>
    <xf borderId="0" fillId="0" fontId="34" numFmtId="174" xfId="0" applyAlignment="1" applyFont="1" applyNumberFormat="1">
      <alignment readingOrder="0" vertical="center"/>
    </xf>
    <xf borderId="0" fillId="0" fontId="34" numFmtId="0" xfId="0" applyAlignment="1" applyFont="1">
      <alignment horizontal="center" readingOrder="0" vertical="center"/>
    </xf>
    <xf borderId="0" fillId="0" fontId="34" numFmtId="173" xfId="0" applyAlignment="1" applyFont="1" applyNumberFormat="1">
      <alignment horizontal="center" readingOrder="0" vertical="center"/>
    </xf>
    <xf borderId="0" fillId="0" fontId="15" numFmtId="3" xfId="0" applyAlignment="1" applyFont="1" applyNumberFormat="1">
      <alignment readingOrder="0" vertical="center"/>
    </xf>
    <xf borderId="0" fillId="0" fontId="34" numFmtId="174" xfId="0" applyAlignment="1" applyFont="1" applyNumberFormat="1">
      <alignment vertical="center"/>
    </xf>
    <xf borderId="0" fillId="0" fontId="34" numFmtId="0" xfId="0" applyAlignment="1" applyFont="1">
      <alignment readingOrder="0" vertical="center"/>
    </xf>
    <xf borderId="0" fillId="0" fontId="34" numFmtId="175" xfId="0" applyAlignment="1" applyFont="1" applyNumberFormat="1">
      <alignment readingOrder="0" vertical="center"/>
    </xf>
    <xf borderId="0" fillId="0" fontId="34" numFmtId="176" xfId="0" applyAlignment="1" applyFont="1" applyNumberFormat="1">
      <alignment readingOrder="0" vertical="center"/>
    </xf>
    <xf borderId="0" fillId="0" fontId="46" numFmtId="0" xfId="0" applyAlignment="1" applyFont="1">
      <alignment readingOrder="0" shrinkToFit="0" vertical="center" wrapText="0"/>
    </xf>
    <xf borderId="0" fillId="0" fontId="18" numFmtId="49" xfId="0" applyAlignment="1" applyFont="1" applyNumberFormat="1">
      <alignment horizontal="center" readingOrder="0" vertical="center"/>
    </xf>
    <xf borderId="0" fillId="0" fontId="34" numFmtId="49" xfId="0" applyAlignment="1" applyFont="1" applyNumberFormat="1">
      <alignment vertical="center"/>
    </xf>
    <xf borderId="0" fillId="0" fontId="38" numFmtId="0" xfId="0" applyAlignment="1" applyFont="1">
      <alignment readingOrder="0" shrinkToFit="0" vertical="center" wrapText="1"/>
    </xf>
    <xf borderId="0" fillId="0" fontId="48" numFmtId="0" xfId="0" applyAlignment="1" applyFont="1">
      <alignment readingOrder="0" vertical="center"/>
    </xf>
    <xf borderId="0" fillId="0" fontId="38" numFmtId="0" xfId="0" applyAlignment="1" applyFont="1">
      <alignment shrinkToFit="0" vertical="center" wrapText="1"/>
    </xf>
    <xf borderId="0" fillId="24" fontId="49" numFmtId="49" xfId="0" applyAlignment="1" applyFill="1" applyFont="1" applyNumberFormat="1">
      <alignment horizontal="center" readingOrder="0" shrinkToFit="0" wrapText="1"/>
    </xf>
    <xf borderId="0" fillId="24" fontId="49" numFmtId="0" xfId="0" applyAlignment="1" applyFill="1" applyFont="1">
      <alignment horizontal="center" readingOrder="0" shrinkToFit="0" wrapText="1"/>
    </xf>
    <xf borderId="0" fillId="24" fontId="49" numFmtId="49" xfId="0" applyAlignment="1" applyFill="1" applyFont="1" applyNumberFormat="1">
      <alignment readingOrder="0"/>
    </xf>
    <xf borderId="0" fillId="24" fontId="49" numFmtId="0" xfId="0" applyAlignment="1" applyFill="1" applyFont="1">
      <alignment readingOrder="0"/>
    </xf>
    <xf borderId="0" fillId="25" fontId="50" numFmtId="0" xfId="0" applyFill="1" applyFont="1"/>
    <xf borderId="0" fillId="25" fontId="50" numFmtId="0" xfId="0" applyAlignment="1" applyFill="1" applyFont="1">
      <alignment readingOrder="0"/>
    </xf>
    <xf borderId="0" fillId="0" fontId="46" numFmtId="49" xfId="0" applyAlignment="1" applyFont="1" applyNumberFormat="1">
      <alignment readingOrder="0"/>
    </xf>
    <xf borderId="0" fillId="0" fontId="46" numFmtId="0" xfId="0" applyAlignment="1" applyFont="1">
      <alignment readingOrder="0"/>
    </xf>
    <xf borderId="0" fillId="25" fontId="50" numFmtId="49" xfId="0" applyAlignment="1" applyFill="1" applyFont="1" applyNumberFormat="1">
      <alignment readingOrder="0"/>
    </xf>
    <xf borderId="0" fillId="0" fontId="46" numFmtId="49" xfId="0" applyFont="1" applyNumberFormat="1"/>
    <xf borderId="0" fillId="0" fontId="46" numFmtId="0" xfId="0" applyAlignment="1" applyFont="1">
      <alignment readingOrder="0"/>
    </xf>
    <xf borderId="0" fillId="26" fontId="1" numFmtId="0" xfId="0" applyAlignment="1" applyFill="1" applyFont="1">
      <alignment horizontal="left" readingOrder="0" vertical="center"/>
    </xf>
    <xf borderId="0" fillId="0" fontId="51" numFmtId="0" xfId="0" applyAlignment="1" applyFont="1">
      <alignment readingOrder="0" vertical="center"/>
    </xf>
    <xf borderId="32" fillId="5" fontId="8" numFmtId="164" xfId="0" applyAlignment="1" applyBorder="1" applyFill="1" applyFont="1" applyNumberFormat="1">
      <alignment horizontal="center" readingOrder="0" vertical="center"/>
    </xf>
    <xf borderId="0" fillId="0" fontId="52" numFmtId="0" xfId="0" applyAlignment="1" applyFont="1">
      <alignment readingOrder="0" vertical="center"/>
    </xf>
    <xf borderId="0" fillId="27" fontId="11" numFmtId="0" xfId="0" applyAlignment="1" applyFill="1" applyFont="1">
      <alignment horizontal="center" readingOrder="0" shrinkToFit="0" vertical="center" wrapText="1"/>
    </xf>
    <xf borderId="7" fillId="28" fontId="11" numFmtId="0" xfId="0" applyAlignment="1" applyBorder="1" applyFill="1" applyFont="1">
      <alignment horizontal="center" readingOrder="0" shrinkToFit="0" vertical="center" wrapText="1"/>
    </xf>
    <xf borderId="7" fillId="16" fontId="11" numFmtId="0" xfId="0" applyAlignment="1" applyBorder="1" applyFill="1" applyFont="1">
      <alignment horizontal="center" readingOrder="0" shrinkToFit="0" vertical="center" wrapText="1"/>
    </xf>
    <xf borderId="7" fillId="29" fontId="11" numFmtId="0" xfId="0" applyAlignment="1" applyBorder="1" applyFill="1" applyFont="1">
      <alignment horizontal="center" readingOrder="0" shrinkToFit="0" vertical="center" wrapText="1"/>
    </xf>
    <xf borderId="0" fillId="30" fontId="53" numFmtId="166" xfId="0" applyAlignment="1" applyFill="1" applyFont="1" applyNumberFormat="1">
      <alignment horizontal="center" vertical="center"/>
    </xf>
    <xf borderId="7" fillId="30" fontId="53" numFmtId="166" xfId="0" applyAlignment="1" applyBorder="1" applyFill="1" applyFont="1" applyNumberFormat="1">
      <alignment horizontal="center" vertical="center"/>
    </xf>
    <xf borderId="0" fillId="0" fontId="54" numFmtId="0" xfId="0" applyAlignment="1" applyFont="1">
      <alignment readingOrder="0" vertical="bottom"/>
    </xf>
    <xf borderId="0" fillId="0" fontId="54" numFmtId="0" xfId="0" applyAlignment="1" applyFont="1">
      <alignment vertical="bottom"/>
    </xf>
    <xf borderId="0" fillId="0" fontId="19" numFmtId="172" xfId="0" applyFont="1" applyNumberFormat="1"/>
    <xf borderId="0" fillId="0" fontId="2" numFmtId="177" xfId="0" applyAlignment="1" applyFont="1" applyNumberFormat="1">
      <alignment horizontal="right"/>
    </xf>
    <xf borderId="0" fillId="0" fontId="2" numFmtId="14" xfId="0" applyAlignment="1" applyFont="1" applyNumberFormat="1">
      <alignment readingOrder="0"/>
    </xf>
    <xf borderId="0" fillId="5" fontId="55" numFmtId="172" xfId="0" applyFill="1" applyFont="1" applyNumberFormat="1"/>
    <xf borderId="0" fillId="5" fontId="55" numFmtId="177" xfId="0" applyAlignment="1" applyFill="1" applyFont="1" applyNumberFormat="1">
      <alignment horizontal="right"/>
    </xf>
    <xf borderId="0" fillId="0" fontId="46" numFmtId="0" xfId="0" applyAlignment="1" applyFont="1">
      <alignment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vertical="center"/>
    </xf>
    <xf borderId="0" fillId="0" fontId="34" numFmtId="0" xfId="0" applyAlignment="1" applyFont="1">
      <alignment shrinkToFit="0" vertical="center" wrapText="0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0A3C2D"/>
          <bgColor rgb="FF0A3C2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8F5"/>
          <bgColor rgb="FFF3F8F5"/>
        </patternFill>
      </fill>
      <border/>
    </dxf>
    <dxf>
      <font>
        <color rgb="FF996B0C"/>
      </font>
      <fill>
        <patternFill patternType="solid">
          <fgColor rgb="FFFFF0C8"/>
          <bgColor rgb="FFFFF0C8"/>
        </patternFill>
      </fill>
      <border/>
    </dxf>
    <dxf>
      <font>
        <color rgb="FFAF392D"/>
      </font>
      <fill>
        <patternFill patternType="solid">
          <fgColor rgb="FFF9DDD9"/>
          <bgColor rgb="FFF9DDD9"/>
        </patternFill>
      </fill>
      <border/>
    </dxf>
    <dxf>
      <font>
        <color rgb="FF1E8448"/>
      </font>
      <fill>
        <patternFill patternType="solid">
          <fgColor rgb="FFD9EEDE"/>
          <bgColor rgb="FFD9EEDE"/>
        </patternFill>
      </fill>
      <border/>
    </dxf>
    <dxf>
      <font>
        <color rgb="FFBF1919"/>
      </font>
      <fill>
        <patternFill patternType="solid">
          <fgColor rgb="FFF9E0DD"/>
          <bgColor rgb="FFF9E0DD"/>
        </patternFill>
      </fill>
      <border/>
    </dxf>
    <dxf>
      <border>
        <left style="thin">
          <color rgb="FF0A3C2D"/>
        </left>
        <right style="thin">
          <color rgb="FF0A3C2D"/>
        </right>
        <top style="thin">
          <color rgb="FF0A3C2D"/>
        </top>
        <bottom style="thin">
          <color rgb="FF0A3C2D"/>
        </bottom>
      </border>
    </dxf>
    <dxf>
      <font>
        <b/>
        <color rgb="FF1E8448"/>
      </font>
      <fill>
        <patternFill patternType="none"/>
      </fill>
      <border/>
    </dxf>
    <dxf>
      <font>
        <b/>
        <color rgb="FFAF392D"/>
      </font>
      <fill>
        <patternFill patternType="none"/>
      </fill>
      <border/>
    </dxf>
    <dxf>
      <font/>
      <fill>
        <patternFill patternType="solid">
          <fgColor rgb="FF0A3C2E"/>
          <bgColor rgb="FF0A3C2E"/>
        </patternFill>
      </fill>
      <border/>
    </dxf>
    <dxf>
      <font/>
      <fill>
        <patternFill patternType="solid">
          <fgColor rgb="FFF3F7F5"/>
          <bgColor rgb="FFF3F7F5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A9B"/>
          <bgColor rgb="FFFFEA9B"/>
        </patternFill>
      </fill>
      <border/>
    </dxf>
    <dxf>
      <font/>
      <fill>
        <patternFill patternType="solid">
          <fgColor rgb="FFFFC6CE"/>
          <bgColor rgb="FFFFC6CE"/>
        </patternFill>
      </fill>
      <border/>
    </dxf>
    <dxf>
      <font>
        <strike/>
        <color rgb="FF9E9E9E"/>
      </font>
      <fill>
        <patternFill patternType="solid">
          <fgColor rgb="FFEDEDED"/>
          <bgColor rgb="FFEDEDED"/>
        </patternFill>
      </fill>
      <border/>
    </dxf>
  </dxfs>
  <tableStyles count="19">
    <tableStyle count="3" pivot="0" name="Mijoz kartasi-style">
      <tableStyleElement dxfId="1" type="headerRow"/>
      <tableStyleElement dxfId="2" type="firstRowStripe"/>
      <tableStyleElement dxfId="3" type="secondRowStripe"/>
    </tableStyle>
    <tableStyle count="3" pivot="0" name="Ishchi kartasi-style">
      <tableStyleElement dxfId="1" type="headerRow"/>
      <tableStyleElement dxfId="2" type="firstRowStripe"/>
      <tableStyleElement dxfId="3" type="secondRowStripe"/>
    </tableStyle>
    <tableStyle count="3" pivot="0" name="Xarajat puli-style">
      <tableStyleElement dxfId="1" type="headerRow"/>
      <tableStyleElement dxfId="2" type="firstRowStripe"/>
      <tableStyleElement dxfId="3" type="secondRowStripe"/>
    </tableStyle>
    <tableStyle count="3" pivot="0" name="Mijoz kartasi-style 2">
      <tableStyleElement dxfId="1" type="headerRow"/>
      <tableStyleElement dxfId="2" type="firstRowStripe"/>
      <tableStyleElement dxfId="3" type="secondRowStripe"/>
    </tableStyle>
    <tableStyle count="3" pivot="0" name="Xarajat puli-style 2">
      <tableStyleElement dxfId="1" type="headerRow"/>
      <tableStyleElement dxfId="2" type="firstRowStripe"/>
      <tableStyleElement dxfId="3" type="secondRowStripe"/>
    </tableStyle>
    <tableStyle count="3" pivot="0" name="Ishchi kartasi-style 2">
      <tableStyleElement dxfId="1" type="headerRow"/>
      <tableStyleElement dxfId="2" type="firstRowStripe"/>
      <tableStyleElement dxfId="3" type="secondRowStripe"/>
    </tableStyle>
    <tableStyle count="3" pivot="0" name="Xarajat puli-style 3">
      <tableStyleElement dxfId="1" type="headerRow"/>
      <tableStyleElement dxfId="2" type="firstRowStripe"/>
      <tableStyleElement dxfId="3" type="secondRowStripe"/>
    </tableStyle>
    <tableStyle count="3" pivot="0" name="Ishchi kartasi-style 3">
      <tableStyleElement dxfId="1" type="headerRow"/>
      <tableStyleElement dxfId="2" type="firstRowStripe"/>
      <tableStyleElement dxfId="3" type="secondRowStripe"/>
    </tableStyle>
    <tableStyle count="3" pivot="0" name="Kafolat xatlari-style">
      <tableStyleElement dxfId="1" type="headerRow"/>
      <tableStyleElement dxfId="2" type="firstRowStripe"/>
      <tableStyleElement dxfId="3" type="secondRowStripe"/>
    </tableStyle>
    <tableStyle count="3" pivot="0" name="Bonus hisoboti-style">
      <tableStyleElement dxfId="1" type="headerRow"/>
      <tableStyleElement dxfId="2" type="firstRowStripe"/>
      <tableStyleElement dxfId="3" type="secondRowStripe"/>
    </tableStyle>
    <tableStyle count="4" pivot="0" name="Buyurtmalar-style">
      <tableStyleElement dxfId="1" type="headerRow"/>
      <tableStyleElement dxfId="2" type="firstRowStripe"/>
      <tableStyleElement dxfId="3" type="secondRowStripe"/>
      <tableStyleElement dxfId="8" size="0" type="wholeTable"/>
    </tableStyle>
    <tableStyle count="4" pivot="0" name="Amallar-style">
      <tableStyleElement dxfId="1" type="headerRow"/>
      <tableStyleElement dxfId="2" type="firstRowStripe"/>
      <tableStyleElement dxfId="3" type="secondRowStripe"/>
      <tableStyleElement dxfId="8" size="0" type="wholeTable"/>
    </tableStyle>
    <tableStyle count="3" pivot="0" name="Ishchilar-style">
      <tableStyleElement dxfId="1" type="headerRow"/>
      <tableStyleElement dxfId="2" type="firstRowStripe"/>
      <tableStyleElement dxfId="3" type="secondRowStripe"/>
    </tableStyle>
    <tableStyle count="3" pivot="0" name="Bonuslar-style">
      <tableStyleElement dxfId="1" type="headerRow"/>
      <tableStyleElement dxfId="2" type="firstRowStripe"/>
      <tableStyleElement dxfId="3" type="secondRowStripe"/>
    </tableStyle>
    <tableStyle count="3" pivot="0" name="Xodimlar-style">
      <tableStyleElement dxfId="1" type="headerRow"/>
      <tableStyleElement dxfId="2" type="firstRowStripe"/>
      <tableStyleElement dxfId="3" type="secondRowStripe"/>
    </tableStyle>
    <tableStyle count="3" pivot="0" name="Oylik hisob-style">
      <tableStyleElement dxfId="1" type="headerRow"/>
      <tableStyleElement dxfId="2" type="firstRowStripe"/>
      <tableStyleElement dxfId="3" type="secondRowStripe"/>
    </tableStyle>
    <tableStyle count="3" pivot="0" name="Sozlamalar-style">
      <tableStyleElement dxfId="1" type="headerRow"/>
      <tableStyleElement dxfId="2" type="firstRowStripe"/>
      <tableStyleElement dxfId="3" type="secondRowStripe"/>
    </tableStyle>
    <tableStyle count="3" pivot="0" name="Shaxsiy va uy-style">
      <tableStyleElement dxfId="11" type="headerRow"/>
      <tableStyleElement dxfId="2" type="firstRowStripe"/>
      <tableStyleElement dxfId="12" type="secondRowStripe"/>
    </tableStyle>
    <tableStyle count="3" pivot="0" name="Shaxsiy va uy-style 2">
      <tableStyleElement dxfId="11" type="headerRow"/>
      <tableStyleElement dxfId="2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Xarajatlar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0968F"/>
              </a:solidFill>
            </c:spPr>
          </c:dPt>
          <c:dPt>
            <c:idx val="1"/>
            <c:spPr>
              <a:solidFill>
                <a:srgbClr val="D9D400"/>
              </a:solidFill>
            </c:spPr>
          </c:dPt>
          <c:dPt>
            <c:idx val="2"/>
            <c:spPr>
              <a:solidFill>
                <a:srgbClr val="0A7E8C"/>
              </a:solidFill>
            </c:spPr>
          </c:dPt>
          <c:dPt>
            <c:idx val="3"/>
            <c:spPr>
              <a:solidFill>
                <a:srgbClr val="94A84B"/>
              </a:solidFill>
            </c:spPr>
          </c:dPt>
          <c:dPt>
            <c:idx val="4"/>
            <c:spPr>
              <a:solidFill>
                <a:srgbClr val="7B4FA0"/>
              </a:solidFill>
            </c:spPr>
          </c:dPt>
          <c:dPt>
            <c:idx val="5"/>
            <c:spPr>
              <a:solidFill>
                <a:srgbClr val="F57C00"/>
              </a:solidFill>
            </c:spPr>
          </c:dPt>
          <c:dPt>
            <c:idx val="6"/>
            <c:spPr>
              <a:solidFill>
                <a:srgbClr val="5D6D7E"/>
              </a:solidFill>
            </c:spPr>
          </c:dPt>
          <c:dPt>
            <c:idx val="7"/>
            <c:spPr>
              <a:solidFill>
                <a:srgbClr val="1E88E5"/>
              </a:solidFill>
            </c:spPr>
          </c:dPt>
          <c:dPt>
            <c:idx val="8"/>
            <c:spPr>
              <a:solidFill>
                <a:srgbClr val="26A69A"/>
              </a:solidFill>
            </c:spPr>
          </c:dPt>
          <c:dPt>
            <c:idx val="9"/>
            <c:spPr>
              <a:solidFill>
                <a:srgbClr val="E6C200"/>
              </a:solidFill>
            </c:spPr>
          </c:dPt>
          <c:dPt>
            <c:idx val="10"/>
            <c:spPr>
              <a:solidFill>
                <a:srgbClr val="8B5A4B"/>
              </a:solidFill>
            </c:spPr>
          </c:dPt>
          <c:dPt>
            <c:idx val="11"/>
            <c:spPr>
              <a:solidFill>
                <a:srgbClr val="6A00F4"/>
              </a:solidFill>
            </c:spPr>
          </c:dPt>
          <c:dPt>
            <c:idx val="12"/>
            <c:spPr>
              <a:solidFill>
                <a:srgbClr val="C0392B"/>
              </a:solidFill>
            </c:spPr>
          </c:dPt>
          <c:dPt>
            <c:idx val="13"/>
            <c:spPr>
              <a:solidFill>
                <a:srgbClr val="AD1457"/>
              </a:solidFill>
            </c:spPr>
          </c:dPt>
          <c:dPt>
            <c:idx val="14"/>
            <c:spPr>
              <a:solidFill>
                <a:srgbClr val="BDBDB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Xulosa!$A$9:$A$23</c:f>
            </c:strRef>
          </c:cat>
          <c:val>
            <c:numRef>
              <c:f>Xulosa!$B$9:$B$23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Daromad va xarajat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Xulosa!$B$67</c:f>
            </c:strRef>
          </c:tx>
          <c:spPr>
            <a:solidFill>
              <a:srgbClr val="1E8449"/>
            </a:solidFill>
            <a:ln cmpd="sng">
              <a:noFill/>
            </a:ln>
          </c:spPr>
          <c:invertIfNegative val="0"/>
          <c:cat>
            <c:strRef>
              <c:f>Xulosa!$A$68:$A$79</c:f>
            </c:strRef>
          </c:cat>
          <c:val>
            <c:numRef>
              <c:f>Xulosa!$B$68:$B$79</c:f>
              <c:numCache/>
            </c:numRef>
          </c:val>
        </c:ser>
        <c:ser>
          <c:idx val="1"/>
          <c:order val="1"/>
          <c:tx>
            <c:strRef>
              <c:f>Xulosa!$C$67</c:f>
            </c:strRef>
          </c:tx>
          <c:spPr>
            <a:solidFill>
              <a:srgbClr val="B03A2E"/>
            </a:solidFill>
            <a:ln cmpd="sng">
              <a:noFill/>
            </a:ln>
          </c:spPr>
          <c:invertIfNegative val="0"/>
          <c:cat>
            <c:strRef>
              <c:f>Xulosa!$A$68:$A$79</c:f>
            </c:strRef>
          </c:cat>
          <c:val>
            <c:numRef>
              <c:f>Xulosa!$C$68:$C$79</c:f>
              <c:numCache/>
            </c:numRef>
          </c:val>
        </c:ser>
        <c:axId val="1688098298"/>
        <c:axId val="627043226"/>
      </c:barChart>
      <c:catAx>
        <c:axId val="1688098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043226"/>
      </c:catAx>
      <c:valAx>
        <c:axId val="627043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0982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0</xdr:rowOff>
    </xdr:from>
    <xdr:ext cx="4953000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66</xdr:row>
      <xdr:rowOff>0</xdr:rowOff>
    </xdr:from>
    <xdr:ext cx="5905500" cy="3048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D400" displayName="Table_2" name="Table_2" id="3">
  <tableColumns count="4">
    <tableColumn name="Sana" id="1"/>
    <tableColumn name="Summa (so'm)" id="2"/>
    <tableColumn name="Dollarda" id="3"/>
    <tableColumn name="Sabab / izoh" id="4"/>
  </tableColumns>
  <tableStyleInfo name="Xarajat puli-style" showColumnStripes="0" showFirstColumn="1" showLastColumn="1" showRowStripes="1"/>
</table>
</file>

<file path=xl/tables/table2.xml><?xml version="1.0" encoding="utf-8"?>
<table xmlns="http://schemas.openxmlformats.org/spreadsheetml/2006/main" ref="F10:K400" displayName="Table_5" name="Table_5" id="5">
  <tableColumns count="6">
    <tableColumn name="Sana" id="1"/>
    <tableColumn name="Vaqt" id="2"/>
    <tableColumn name="Turi" id="3"/>
    <tableColumn name="Summa (so'm)" id="4"/>
    <tableColumn name="Buyurtma ID" id="5"/>
    <tableColumn name="Izoh" id="6"/>
  </tableColumns>
  <tableStyleInfo name="Xarajat puli-style 2" showColumnStripes="0" showFirstColumn="1" showLastColumn="1" showRowStripes="1"/>
</table>
</file>

<file path=xl/tables/table3.xml><?xml version="1.0" encoding="utf-8"?>
<table xmlns="http://schemas.openxmlformats.org/spreadsheetml/2006/main" ref="M11:O400" displayName="Table_7" name="Table_7" id="7">
  <tableColumns count="3">
    <tableColumn name="Turi" id="1"/>
    <tableColumn name="Summa" id="2"/>
    <tableColumn name="Soni" id="3"/>
  </tableColumns>
  <tableStyleInfo name="Xarajat puli-style 3" showColumnStripes="0" showFirstColumn="1" showLastColumn="1" showRowStripes="1"/>
</table>
</file>

<file path=xl/tables/table4.xml><?xml version="1.0" encoding="utf-8"?>
<table xmlns="http://schemas.openxmlformats.org/spreadsheetml/2006/main" ref="A11:C400" displayName="Table_3" name="Table_3" id="2">
  <tableColumns count="3">
    <tableColumn name="Kim bergan" id="1"/>
    <tableColumn name="Summa" id="2"/>
    <tableColumn name="Soni" id="3"/>
  </tableColumns>
  <tableStyleInfo name="Ishchi kartasi-style" showColumnStripes="0" showFirstColumn="1" showLastColumn="1" showRowStripes="1"/>
</table>
</file>

<file path=xl/tables/table5.xml><?xml version="1.0" encoding="utf-8"?>
<table xmlns="http://schemas.openxmlformats.org/spreadsheetml/2006/main" ref="E11:J400" displayName="Table_4" name="Table_4" id="4">
  <tableColumns count="6">
    <tableColumn name="Sana" id="1"/>
    <tableColumn name="Vaqt" id="2"/>
    <tableColumn name="Summa (so'm)" id="3"/>
    <tableColumn name="Dollarda" id="4"/>
    <tableColumn name="Kim berdi" id="5"/>
    <tableColumn name="Izoh (nima uchun)" id="6"/>
  </tableColumns>
  <tableStyleInfo name="Ishchi kartasi-style 2" showColumnStripes="0" showFirstColumn="1" showLastColumn="1" showRowStripes="1"/>
</table>
</file>

<file path=xl/tables/table6.xml><?xml version="1.0" encoding="utf-8"?>
<table xmlns="http://schemas.openxmlformats.org/spreadsheetml/2006/main" ref="K11:K200" displayName="Table_8" name="Table_8" id="8">
  <tableColumns count="1">
    <tableColumn name="Turi" id="1"/>
  </tableColumns>
  <tableStyleInfo name="Ishchi kartasi-style 3" showColumnStripes="0" showFirstColumn="1" showLastColumn="1" showRowStripes="1"/>
</table>
</file>

<file path=xl/tables/table7.xml><?xml version="1.0" encoding="utf-8"?>
<table xmlns="http://schemas.openxmlformats.org/spreadsheetml/2006/main" ref="A11:C400" displayName="Table_1" name="Table_1" id="1">
  <tableColumns count="3">
    <tableColumn name="Turi" id="1"/>
    <tableColumn name="Summa" id="2"/>
    <tableColumn name="Soni" id="3"/>
  </tableColumns>
  <tableStyleInfo name="Mijoz kartasi-style" showColumnStripes="0" showFirstColumn="1" showLastColumn="1" showRowStripes="1"/>
</table>
</file>

<file path=xl/tables/table8.xml><?xml version="1.0" encoding="utf-8"?>
<table xmlns="http://schemas.openxmlformats.org/spreadsheetml/2006/main" ref="E11:K400" displayName="Table_6" name="Table_6" id="6">
  <tableColumns count="7">
    <tableColumn name="Sana" id="1"/>
    <tableColumn name="Vaqt" id="2"/>
    <tableColumn name="Xodim" id="3"/>
    <tableColumn name="Turi" id="4"/>
    <tableColumn name="Kategoriya" id="5"/>
    <tableColumn name="Summa (so'm)" id="6"/>
    <tableColumn name="Izoh" id="7"/>
  </tableColumns>
  <tableStyleInfo name="Mijoz kartasi-style 2" showColumnStripes="0" showFirstColumn="1" showLastColumn="1" showRowStripes="1"/>
</table>
</file>

<file path=xl/tables/table9.xml><?xml version="1.0" encoding="utf-8"?>
<table xmlns="http://schemas.openxmlformats.org/spreadsheetml/2006/main" ref="A1:G1000" displayName="Table_9" name="Table_9" id="9">
  <tableColumns count="7">
    <tableColumn name="Buyurtma ID" id="1"/>
    <tableColumn name="Mijoz" id="2"/>
    <tableColumn name="Готов sanasi" id="3"/>
    <tableColumn name="Holat" id="4"/>
    <tableColumn name="Berilgan sana" id="5"/>
    <tableColumn name="Kim berdi" id="6"/>
    <tableColumn name="Izoh" id="7"/>
  </tableColumns>
  <tableStyleInfo name="Kafolat xatlari-style" showColumnStripes="0" showFirstColumn="1" showLastColumn="1" showRowStripes="1"/>
</table>
</file>

<file path=xl/tables/table10.xml><?xml version="1.0" encoding="utf-8"?>
<table xmlns="http://schemas.openxmlformats.org/spreadsheetml/2006/main" ref="A10:H400" displayName="Table_10" name="Table_10" id="10">
  <tableColumns count="8">
    <tableColumn name="ID" id="1"/>
    <tableColumn name="Mijoz" id="2"/>
    <tableColumn name="Готов sanasi" id="3"/>
    <tableColumn name="Pul olingan" id="4"/>
    <tableColumn name="Necha kunda" id="5"/>
    <tableColumn name="Foiz" id="6"/>
    <tableColumn name="Bonus (so'm)" id="7"/>
    <tableColumn name="Holat" id="8"/>
  </tableColumns>
  <tableStyleInfo name="Bonus hisoboti-style" showColumnStripes="0" showFirstColumn="1" showLastColumn="1" showRowStripes="1"/>
</table>
</file>

<file path=xl/tables/table11.xml><?xml version="1.0" encoding="utf-8"?>
<table xmlns="http://schemas.openxmlformats.org/spreadsheetml/2006/main" ref="A1:S483" displayName="Table1" name="Table1" id="11">
  <tableColumns count="19">
    <tableColumn name="ID" id="1"/>
    <tableColumn name="Sana" id="2"/>
    <tableColumn name="Vaqt" id="3"/>
    <tableColumn name="Xodim ID" id="4"/>
    <tableColumn name="Xodim" id="5"/>
    <tableColumn name="Turi" id="6"/>
    <tableColumn name="Summa (so'm)" id="7"/>
    <tableColumn name="Valyuta" id="8"/>
    <tableColumn name="Asl summa" id="9"/>
    <tableColumn name="Kurs" id="10"/>
    <tableColumn name="Kategoriya kodi" id="11"/>
    <tableColumn name="Kategoriya" id="12"/>
    <tableColumn name="Buyurtma ID" id="13"/>
    <tableColumn name="Izoh" id="14"/>
    <tableColumn name="Chek" id="15"/>
    <tableColumn name="Kiritdi" id="16"/>
    <tableColumn name="O'chirildi" id="17"/>
    <tableColumn name="Ishchi (oylik)" id="18"/>
    <tableColumn name="Ish haqi turi" id="19"/>
  </tableColumns>
  <tableStyleInfo name="Amallar-style" showColumnStripes="0" showFirstColumn="1" showLastColumn="1" showRowStripes="1"/>
</table>
</file>

<file path=xl/tables/table12.xml><?xml version="1.0" encoding="utf-8"?>
<table xmlns="http://schemas.openxmlformats.org/spreadsheetml/2006/main" ref="A1:S44" displayName="Table2" name="Table2" id="12">
  <tableColumns count="19">
    <tableColumn name="ID" id="1"/>
    <tableColumn name="Mijoz" id="2"/>
    <tableColumn name="Telefon" id="3"/>
    <tableColumn name="Tavsif" id="4"/>
    <tableColumn name="Shartnoma (so'm)" id="5"/>
    <tableColumn name="Holat" id="6"/>
    <tableColumn name="Ochilgan" id="7"/>
    <tableColumn name="Yopilgan" id="8"/>
    <tableColumn name="Sarflandi" id="9"/>
    <tableColumn name="Avans olindi" id="10"/>
    <tableColumn name="Foyda" id="11"/>
    <tableColumn name="Sarf %" id="12"/>
    <tableColumn name="Mijoz qarzi" id="13"/>
    <tableColumn name="Sayt holati" id="14"/>
    <tableColumn name="Topshirish sanasi" id="15"/>
    <tableColumn name="Manzil" id="16"/>
    <tableColumn name="Итого (sayt)" id="17"/>
    <tableColumn name="Valyuta (sayt)" id="18"/>
    <tableColumn name="Mebel turi" id="19"/>
  </tableColumns>
  <tableStyleInfo name="Buyurtmalar-style" showColumnStripes="0" showFirstColumn="1" showLastColumn="1" showRowStripes="1"/>
</table>
</file>

<file path=xl/tables/table13.xml><?xml version="1.0" encoding="utf-8"?>
<table xmlns="http://schemas.openxmlformats.org/spreadsheetml/2006/main" ref="A1:C1007" displayName="Table_11" name="Table_11" id="13">
  <tableColumns count="3">
    <tableColumn name="Bo'lim" id="1"/>
    <tableColumn name="Ism" id="2"/>
    <tableColumn name="Lavozim" id="3"/>
  </tableColumns>
  <tableStyleInfo name="Ishchilar-style" showColumnStripes="0" showFirstColumn="1" showLastColumn="1" showRowStripes="1"/>
</table>
</file>

<file path=xl/tables/table14.xml><?xml version="1.0" encoding="utf-8"?>
<table xmlns="http://schemas.openxmlformats.org/spreadsheetml/2006/main" ref="A1:M1000" displayName="Table_12" name="Table_12" id="14">
  <tableColumns count="13">
    <tableColumn name="Готов sanasi" id="1"/>
    <tableColumn name="Buyurtma ID" id="2"/>
    <tableColumn name="Mijoz" id="3"/>
    <tableColumn name="Umumiy summa" id="4"/>
    <tableColumn name="Valyuta" id="5"/>
    <tableColumn name="Qoldiq (hozir)" id="6"/>
    <tableColumn name="Pul olingan sana" id="7"/>
    <tableColumn name="Kun" id="8"/>
    <tableColumn name="Foiz" id="9"/>
    <tableColumn name="Bonus (so'm)" id="10"/>
    <tableColumn name="Holat" id="11"/>
    <tableColumn name="Izoh" id="12"/>
    <tableColumn name="Kimga" id="13"/>
  </tableColumns>
  <tableStyleInfo name="Bonuslar-style" showColumnStripes="0" showFirstColumn="1" showLastColumn="1" showRowStripes="1"/>
</table>
</file>

<file path=xl/tables/table15.xml><?xml version="1.0" encoding="utf-8"?>
<table xmlns="http://schemas.openxmlformats.org/spreadsheetml/2006/main" ref="A1:E1000" displayName="Table_13" name="Table_13" id="15">
  <tableColumns count="5">
    <tableColumn name="Telegram ID" id="1"/>
    <tableColumn name="Ism" id="2"/>
    <tableColumn name="Username" id="3"/>
    <tableColumn name="Rol" id="4"/>
    <tableColumn name="Qo'shilgan" id="5"/>
  </tableColumns>
  <tableStyleInfo name="Xodimlar-style" showColumnStripes="0" showFirstColumn="1" showLastColumn="1" showRowStripes="1"/>
</table>
</file>

<file path=xl/tables/table16.xml><?xml version="1.0" encoding="utf-8"?>
<table xmlns="http://schemas.openxmlformats.org/spreadsheetml/2006/main" ref="A1:F1000" displayName="Table_14" name="Table_14" id="16">
  <tableColumns count="6">
    <tableColumn name="Xodim ID" id="1"/>
    <tableColumn name="Xodim" id="2"/>
    <tableColumn name="Oy" id="3"/>
    <tableColumn name="Topshirildi" id="4"/>
    <tableColumn name="Qoldiq" id="5"/>
    <tableColumn name="Izoh" id="6"/>
  </tableColumns>
  <tableStyleInfo name="Oylik hisob-style" showColumnStripes="0" showFirstColumn="1" showLastColumn="1" showRowStripes="1"/>
</table>
</file>

<file path=xl/tables/table17.xml><?xml version="1.0" encoding="utf-8"?>
<table xmlns="http://schemas.openxmlformats.org/spreadsheetml/2006/main" ref="A1:C1000" displayName="Table_15" name="Table_15" id="17">
  <tableColumns count="3">
    <tableColumn name="Kalit" id="1"/>
    <tableColumn name="Qiymat" id="2"/>
    <tableColumn name="Izoh" id="3"/>
  </tableColumns>
  <tableStyleInfo name="Sozlamalar-style" showColumnStripes="0" showFirstColumn="1" showLastColumn="1" showRowStripes="1"/>
</table>
</file>

<file path=xl/tables/table18.xml><?xml version="1.0" encoding="utf-8"?>
<table xmlns="http://schemas.openxmlformats.org/spreadsheetml/2006/main" ref="A9:D21" displayName="Table_16" name="Table_16" id="18">
  <tableColumns count="4">
    <tableColumn name="Oy" id="1"/>
    <tableColumn name="👔 Shaxsiy" id="2"/>
    <tableColumn name="🏠 Uy uchun" id="3"/>
    <tableColumn name="Jami" id="4"/>
  </tableColumns>
  <tableStyleInfo name="Shaxsiy va uy-style" showColumnStripes="0" showFirstColumn="1" showLastColumn="1" showRowStripes="1"/>
</table>
</file>

<file path=xl/tables/table19.xml><?xml version="1.0" encoding="utf-8"?>
<table xmlns="http://schemas.openxmlformats.org/spreadsheetml/2006/main" ref="F9:K400" displayName="Table_17" name="Table_17" id="19">
  <tableColumns count="6">
    <tableColumn name="Sana" id="1"/>
    <tableColumn name="Vaqt" id="2"/>
    <tableColumn name="Turi" id="3"/>
    <tableColumn name="Summa (so'm)" id="4"/>
    <tableColumn name="Kim to'ladi" id="5"/>
    <tableColumn name="Izoh" id="6"/>
  </tableColumns>
  <tableStyleInfo name="Shaxsiy va u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xn9SvV0pg0vxuf1NEKUpsSWXOUdERBaqQZosy5SHOOe66yeURc0wom3cH2oBvrN2mX/exec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3C2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13"/>
    <col customWidth="1" min="2" max="12" width="16.38"/>
  </cols>
  <sheetData>
    <row r="1" ht="34.5" customHeight="1">
      <c r="A1" s="57" t="s">
        <v>57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8" t="s">
        <v>14</v>
      </c>
      <c r="B2" s="59">
        <v>46296.0</v>
      </c>
      <c r="C2" s="60" t="s">
        <v>15</v>
      </c>
      <c r="D2" s="59">
        <v>46326.0</v>
      </c>
      <c r="E2" s="61" t="s">
        <v>58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62" t="s">
        <v>59</v>
      </c>
      <c r="C4" s="63" t="s">
        <v>60</v>
      </c>
      <c r="E4" s="64" t="s">
        <v>61</v>
      </c>
      <c r="G4" s="65" t="s">
        <v>62</v>
      </c>
      <c r="I4" s="66" t="s">
        <v>63</v>
      </c>
      <c r="K4" s="67" t="s">
        <v>64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1">
      <c r="A5" s="68">
        <f>-SUMIFS(Amallar!G:G,Amallar!F:F,"Chiqim",Amallar!K:K,"&lt;&gt;otkazma",Amallar!K:K,"&lt;&gt;rahbarga",Amallar!K:K,"&lt;&gt;uy",Amallar!Q:Q,"&lt;&gt;Ha",Amallar!B:B,"&gt;="&amp;INT($B$2),Amallar!B:B,"&lt;="&amp;$D$2)</f>
        <v>-401667092</v>
      </c>
      <c r="B5" s="69"/>
      <c r="C5" s="70">
        <f>SUMIFS(Amallar!G:G,Amallar!F:F,"Kirim",Amallar!K:K,"&lt;&gt;rahbar",Amallar!K:K,"&lt;&gt;otkazma",Amallar!Q:Q,"&lt;&gt;Ha",Amallar!B:B,"&gt;="&amp;INT($B$2),Amallar!B:B,"&lt;="&amp;$D$2)</f>
        <v>504450732</v>
      </c>
      <c r="D5" s="71"/>
      <c r="E5" s="72">
        <f>A5+C5</f>
        <v>102783640</v>
      </c>
      <c r="F5" s="73"/>
      <c r="G5" s="74">
        <f>SUMIFS(Amallar!G:G,Amallar!F:F,"Kirim",Amallar!K:K,"rahbar",Amallar!Q:Q,"&lt;&gt;Ha",Amallar!B:B,"&gt;="&amp;INT($B$2),Amallar!B:B,"&lt;="&amp;$D$2)</f>
        <v>115784414</v>
      </c>
      <c r="H5" s="75"/>
      <c r="I5" s="76">
        <f>SUMIFS(Amallar!G:G,Amallar!F:F,"Chiqim",Amallar!K:K,"rahbarga",Amallar!Q:Q,"&lt;&gt;Ha",Amallar!B:B,"&gt;="&amp;INT($B$2),Amallar!B:B,"&lt;="&amp;$D$2)</f>
        <v>21893470</v>
      </c>
      <c r="J5" s="77"/>
      <c r="K5" s="78">
        <f>SUMIFS(Amallar!G:G,Amallar!F:F,"Chiqim",Amallar!K:K,"uy",Amallar!Q:Q,"&lt;&gt;Ha",Amallar!B:B,"&gt;="&amp;INT($B$2),Amallar!B:B,"&lt;="&amp;$D$2)</f>
        <v>18866170</v>
      </c>
      <c r="L5" s="7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80" t="s">
        <v>65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81" t="s">
        <v>56</v>
      </c>
      <c r="B8" s="81" t="s">
        <v>66</v>
      </c>
      <c r="C8" s="81" t="s">
        <v>67</v>
      </c>
      <c r="D8" s="81" t="s">
        <v>68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82" t="s">
        <v>69</v>
      </c>
      <c r="B9" s="83">
        <f>SUMIFS(Amallar!G:G,Amallar!F:F,"Chiqim",Amallar!K:K,"oylik",Amallar!Q:Q,"&lt;&gt;Ha",Amallar!B:B,"&gt;="&amp;INT($B$2),Amallar!B:B,"&lt;="&amp;$D$2)</f>
        <v>139981627</v>
      </c>
      <c r="C9" s="86">
        <f>COUNTIFS(Amallar!F:F,"Chiqim",Amallar!K:K,"oylik",Amallar!Q:Q,"&lt;&gt;Ha",Amallar!B:B,"&gt;="&amp;INT($B$2),Amallar!B:B,"&lt;="&amp;$D$2)</f>
        <v>73</v>
      </c>
      <c r="D9" s="87">
        <f t="shared" ref="D9:D23" si="1">IFERROR(B9/-$A$5,0)</f>
        <v>0.3485016069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88" t="s">
        <v>70</v>
      </c>
      <c r="B10" s="89">
        <f>SUMIFS(Amallar!G:G,Amallar!F:F,"Chiqim",Amallar!K:K,"material",Amallar!Q:Q,"&lt;&gt;Ha",Amallar!B:B,"&gt;="&amp;INT($B$2),Amallar!B:B,"&lt;="&amp;$D$2)</f>
        <v>131612440</v>
      </c>
      <c r="C10" s="2">
        <f>COUNTIFS(Amallar!F:F,"Chiqim",Amallar!K:K,"material",Amallar!Q:Q,"&lt;&gt;Ha",Amallar!B:B,"&gt;="&amp;INT($B$2),Amallar!B:B,"&lt;="&amp;$D$2)</f>
        <v>15</v>
      </c>
      <c r="D10" s="90">
        <f t="shared" si="1"/>
        <v>0.3276654788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82" t="s">
        <v>71</v>
      </c>
      <c r="B11" s="83">
        <f>SUMIFS(Amallar!G:G,Amallar!F:F,"Chiqim",Amallar!K:K,"zavod",Amallar!Q:Q,"&lt;&gt;Ha",Amallar!B:B,"&gt;="&amp;INT($B$2),Amallar!B:B,"&lt;="&amp;$D$2)</f>
        <v>3600270</v>
      </c>
      <c r="C11" s="86">
        <f>COUNTIFS(Amallar!F:F,"Chiqim",Amallar!K:K,"zavod",Amallar!Q:Q,"&lt;&gt;Ha",Amallar!B:B,"&gt;="&amp;INT($B$2),Amallar!B:B,"&lt;="&amp;$D$2)</f>
        <v>4</v>
      </c>
      <c r="D11" s="87">
        <f t="shared" si="1"/>
        <v>0.008963318309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88" t="s">
        <v>72</v>
      </c>
      <c r="B12" s="89">
        <f>SUMIFS(Amallar!G:G,Amallar!F:F,"Chiqim",Amallar!K:K,"furnitura",Amallar!Q:Q,"&lt;&gt;Ha",Amallar!B:B,"&gt;="&amp;INT($B$2),Amallar!B:B,"&lt;="&amp;$D$2)</f>
        <v>27707896</v>
      </c>
      <c r="C12" s="2">
        <f>COUNTIFS(Amallar!F:F,"Chiqim",Amallar!K:K,"furnitura",Amallar!Q:Q,"&lt;&gt;Ha",Amallar!B:B,"&gt;="&amp;INT($B$2),Amallar!B:B,"&lt;="&amp;$D$2)</f>
        <v>25</v>
      </c>
      <c r="D12" s="90">
        <f t="shared" si="1"/>
        <v>0.06898224065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82" t="s">
        <v>73</v>
      </c>
      <c r="B13" s="83">
        <f>SUMIFS(Amallar!G:G,Amallar!F:F,"Chiqim",Amallar!K:K,"mashina",Amallar!Q:Q,"&lt;&gt;Ha",Amallar!B:B,"&gt;="&amp;INT($B$2),Amallar!B:B,"&lt;="&amp;$D$2)</f>
        <v>2676000</v>
      </c>
      <c r="C13" s="86">
        <f>COUNTIFS(Amallar!F:F,"Chiqim",Amallar!K:K,"mashina",Amallar!Q:Q,"&lt;&gt;Ha",Amallar!B:B,"&gt;="&amp;INT($B$2),Amallar!B:B,"&lt;="&amp;$D$2)</f>
        <v>13</v>
      </c>
      <c r="D13" s="87">
        <f t="shared" si="1"/>
        <v>0.006662233609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8" t="s">
        <v>74</v>
      </c>
      <c r="B14" s="89">
        <f>SUMIFS(Amallar!G:G,Amallar!F:F,"Chiqim",Amallar!K:K,"zapravka",Amallar!Q:Q,"&lt;&gt;Ha",Amallar!B:B,"&gt;="&amp;INT($B$2),Amallar!B:B,"&lt;="&amp;$D$2)</f>
        <v>6645000</v>
      </c>
      <c r="C14" s="2">
        <f>COUNTIFS(Amallar!F:F,"Chiqim",Amallar!K:K,"zapravka",Amallar!Q:Q,"&lt;&gt;Ha",Amallar!B:B,"&gt;="&amp;INT($B$2),Amallar!B:B,"&lt;="&amp;$D$2)</f>
        <v>24</v>
      </c>
      <c r="D14" s="90">
        <f t="shared" si="1"/>
        <v>0.01654355095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82" t="s">
        <v>75</v>
      </c>
      <c r="B15" s="83">
        <f>SUMIFS(Amallar!G:G,Amallar!F:F,"Chiqim",Amallar!K:K,"remont",Amallar!Q:Q,"&lt;&gt;Ha",Amallar!B:B,"&gt;="&amp;INT($B$2),Amallar!B:B,"&lt;="&amp;$D$2)</f>
        <v>550000</v>
      </c>
      <c r="C15" s="86">
        <f>COUNTIFS(Amallar!F:F,"Chiqim",Amallar!K:K,"remont",Amallar!Q:Q,"&lt;&gt;Ha",Amallar!B:B,"&gt;="&amp;INT($B$2),Amallar!B:B,"&lt;="&amp;$D$2)</f>
        <v>4</v>
      </c>
      <c r="D15" s="87">
        <f t="shared" si="1"/>
        <v>0.001369293156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88" t="s">
        <v>76</v>
      </c>
      <c r="B16" s="89">
        <f>SUMIFS(Amallar!G:G,Amallar!F:F,"Chiqim",Amallar!K:K,"kommunal",Amallar!Q:Q,"&lt;&gt;Ha",Amallar!B:B,"&gt;="&amp;INT($B$2),Amallar!B:B,"&lt;="&amp;$D$2)</f>
        <v>673921</v>
      </c>
      <c r="C16" s="2">
        <f>COUNTIFS(Amallar!F:F,"Chiqim",Amallar!K:K,"kommunal",Amallar!Q:Q,"&lt;&gt;Ha",Amallar!B:B,"&gt;="&amp;INT($B$2),Amallar!B:B,"&lt;="&amp;$D$2)</f>
        <v>12</v>
      </c>
      <c r="D16" s="90">
        <f t="shared" si="1"/>
        <v>0.001677809842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82" t="s">
        <v>77</v>
      </c>
      <c r="B17" s="83">
        <f>SUMIFS(Amallar!G:G,Amallar!F:F,"Chiqim",Amallar!K:K,"usluga",Amallar!Q:Q,"&lt;&gt;Ha",Amallar!B:B,"&gt;="&amp;INT($B$2),Amallar!B:B,"&lt;="&amp;$D$2)</f>
        <v>30830486</v>
      </c>
      <c r="C17" s="86">
        <f>COUNTIFS(Amallar!F:F,"Chiqim",Amallar!K:K,"usluga",Amallar!Q:Q,"&lt;&gt;Ha",Amallar!B:B,"&gt;="&amp;INT($B$2),Amallar!B:B,"&lt;="&amp;$D$2)</f>
        <v>17</v>
      </c>
      <c r="D17" s="87">
        <f t="shared" si="1"/>
        <v>0.0767563154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88" t="s">
        <v>78</v>
      </c>
      <c r="B18" s="89">
        <f>SUMIFS(Amallar!G:G,Amallar!F:F,"Chiqim",Amallar!K:K,"smm",Amallar!Q:Q,"&lt;&gt;Ha",Amallar!B:B,"&gt;="&amp;INT($B$2),Amallar!B:B,"&lt;="&amp;$D$2)</f>
        <v>9994057</v>
      </c>
      <c r="C18" s="2">
        <f>COUNTIFS(Amallar!F:F,"Chiqim",Amallar!K:K,"smm",Amallar!Q:Q,"&lt;&gt;Ha",Amallar!B:B,"&gt;="&amp;INT($B$2),Amallar!B:B,"&lt;="&amp;$D$2)</f>
        <v>12</v>
      </c>
      <c r="D18" s="90">
        <f t="shared" si="1"/>
        <v>0.02488144336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82" t="s">
        <v>79</v>
      </c>
      <c r="B19" s="83">
        <f>SUMIFS(Amallar!G:G,Amallar!F:F,"Chiqim",Amallar!K:K,"ofis",Amallar!Q:Q,"&lt;&gt;Ha",Amallar!B:B,"&gt;="&amp;INT($B$2),Amallar!B:B,"&lt;="&amp;$D$2)</f>
        <v>33499395</v>
      </c>
      <c r="C19" s="86">
        <f>COUNTIFS(Amallar!F:F,"Chiqim",Amallar!K:K,"ofis",Amallar!Q:Q,"&lt;&gt;Ha",Amallar!B:B,"&gt;="&amp;INT($B$2),Amallar!B:B,"&lt;="&amp;$D$2)</f>
        <v>26</v>
      </c>
      <c r="D19" s="87">
        <f t="shared" si="1"/>
        <v>0.08340089509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88" t="s">
        <v>80</v>
      </c>
      <c r="B20" s="89">
        <f>SUMIFS(Amallar!G:G,Amallar!F:F,"Chiqim",Amallar!K:K,"asbob",Amallar!Q:Q,"&lt;&gt;Ha",Amallar!B:B,"&gt;="&amp;INT($B$2),Amallar!B:B,"&lt;="&amp;$D$2)</f>
        <v>2450000</v>
      </c>
      <c r="C20" s="2">
        <f>COUNTIFS(Amallar!F:F,"Chiqim",Amallar!K:K,"asbob",Amallar!Q:Q,"&lt;&gt;Ha",Amallar!B:B,"&gt;="&amp;INT($B$2),Amallar!B:B,"&lt;="&amp;$D$2)</f>
        <v>4</v>
      </c>
      <c r="D20" s="90">
        <f t="shared" si="1"/>
        <v>0.006099578603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82" t="s">
        <v>81</v>
      </c>
      <c r="B21" s="83">
        <f>SUMIFS(Amallar!G:G,Amallar!F:F,"Chiqim",Amallar!K:K,"ovqat",Amallar!Q:Q,"&lt;&gt;Ha",Amallar!B:B,"&gt;="&amp;INT($B$2),Amallar!B:B,"&lt;="&amp;$D$2)</f>
        <v>11056000</v>
      </c>
      <c r="C21" s="86">
        <f>COUNTIFS(Amallar!F:F,"Chiqim",Amallar!K:K,"ovqat",Amallar!Q:Q,"&lt;&gt;Ha",Amallar!B:B,"&gt;="&amp;INT($B$2),Amallar!B:B,"&lt;="&amp;$D$2)</f>
        <v>115</v>
      </c>
      <c r="D21" s="87">
        <f t="shared" si="1"/>
        <v>0.02752528206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88" t="s">
        <v>82</v>
      </c>
      <c r="B22" s="89">
        <f>SUMIFS(Amallar!G:G,Amallar!F:F,"Chiqim",Amallar!K:K,"peredelka",Amallar!Q:Q,"&lt;&gt;Ha",Amallar!B:B,"&gt;="&amp;INT($B$2),Amallar!B:B,"&lt;="&amp;$D$2)</f>
        <v>0</v>
      </c>
      <c r="C22" s="2">
        <f>COUNTIFS(Amallar!F:F,"Chiqim",Amallar!K:K,"peredelka",Amallar!Q:Q,"&lt;&gt;Ha",Amallar!B:B,"&gt;="&amp;INT($B$2),Amallar!B:B,"&lt;="&amp;$D$2)</f>
        <v>0</v>
      </c>
      <c r="D22" s="90">
        <f t="shared" si="1"/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82" t="s">
        <v>83</v>
      </c>
      <c r="B23" s="83">
        <f>SUMIFS(Amallar!G:G,Amallar!F:F,"Chiqim",Amallar!K:K,"boshqa",Amallar!Q:Q,"&lt;&gt;Ha",Amallar!B:B,"&gt;="&amp;INT($B$2),Amallar!B:B,"&lt;="&amp;$D$2)</f>
        <v>390000</v>
      </c>
      <c r="C23" s="91">
        <f>COUNTIFS(Amallar!F:F,"Chiqim",Amallar!K:K,"boshqa",Amallar!Q:Q,"&lt;&gt;Ha",Amallar!B:B,"&gt;="&amp;INT($B$2),Amallar!B:B,"&lt;="&amp;$D$2)</f>
        <v>4</v>
      </c>
      <c r="D23" s="87">
        <f t="shared" si="1"/>
        <v>0.0009709533287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92" t="s">
        <v>84</v>
      </c>
      <c r="B24" s="93">
        <f t="shared" ref="B24:C24" si="2">SUM(B9:B23)</f>
        <v>401667092</v>
      </c>
      <c r="C24" s="94">
        <f t="shared" si="2"/>
        <v>348</v>
      </c>
      <c r="D24" s="95">
        <f>IF(B24&gt;0,1,0)</f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55"/>
      <c r="B25" s="89"/>
      <c r="C25" s="55"/>
      <c r="D25" s="5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80" t="s">
        <v>85</v>
      </c>
      <c r="B26" s="89"/>
      <c r="C26" s="55"/>
      <c r="D26" s="5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81" t="s">
        <v>42</v>
      </c>
      <c r="B27" s="96" t="s">
        <v>66</v>
      </c>
      <c r="C27" s="81" t="s">
        <v>67</v>
      </c>
      <c r="D27" s="81" t="s">
        <v>44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82" t="s">
        <v>86</v>
      </c>
      <c r="B28" s="83">
        <f>SUMIFS(Amallar!G:G,Amallar!F:F,"Kirim",Amallar!K:K,"avans",Amallar!Q:Q,"&lt;&gt;Ha",Amallar!B:B,"&gt;="&amp;INT($B$2),Amallar!B:B,"&lt;="&amp;$D$2)</f>
        <v>258528980</v>
      </c>
      <c r="C28" s="86">
        <f>COUNTIFS(Amallar!F:F,"Kirim",Amallar!K:K,"avans",Amallar!Q:Q,"&lt;&gt;Ha",Amallar!B:B,"&gt;="&amp;INT($B$2),Amallar!B:B,"&lt;="&amp;$D$2)</f>
        <v>8</v>
      </c>
      <c r="D28" s="9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88" t="s">
        <v>87</v>
      </c>
      <c r="B29" s="89">
        <f>SUMIFS(Amallar!G:G,Amallar!F:F,"Kirim",Amallar!K:K,"qoldiq",Amallar!Q:Q,"&lt;&gt;Ha",Amallar!B:B,"&gt;="&amp;INT($B$2),Amallar!B:B,"&lt;="&amp;$D$2)</f>
        <v>237189282</v>
      </c>
      <c r="C29" s="2">
        <f>COUNTIFS(Amallar!F:F,"Kirim",Amallar!K:K,"qoldiq",Amallar!Q:Q,"&lt;&gt;Ha",Amallar!B:B,"&gt;="&amp;INT($B$2),Amallar!B:B,"&lt;="&amp;$D$2)</f>
        <v>9</v>
      </c>
      <c r="D29" s="5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82" t="s">
        <v>88</v>
      </c>
      <c r="B30" s="83">
        <f>SUMIFS(Amallar!G:G,Amallar!F:F,"Kirim",Amallar!K:K,"rahbar",Amallar!Q:Q,"&lt;&gt;Ha",Amallar!B:B,"&gt;="&amp;INT($B$2),Amallar!B:B,"&lt;="&amp;$D$2)</f>
        <v>115784414</v>
      </c>
      <c r="C30" s="91">
        <f>COUNTIFS(Amallar!F:F,"Kirim",Amallar!K:K,"rahbar",Amallar!Q:Q,"&lt;&gt;Ha",Amallar!B:B,"&gt;="&amp;INT($B$2),Amallar!B:B,"&lt;="&amp;$D$2)</f>
        <v>23</v>
      </c>
      <c r="D30" s="97" t="s">
        <v>89</v>
      </c>
      <c r="E30" s="5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88" t="s">
        <v>90</v>
      </c>
      <c r="B31" s="89">
        <f>SUMIFS(Amallar!G:G,Amallar!F:F,"Kirim",Amallar!K:K,"qaytim",Amallar!Q:Q,"&lt;&gt;Ha",Amallar!B:B,"&gt;="&amp;INT($B$2),Amallar!B:B,"&lt;="&amp;$D$2)</f>
        <v>0</v>
      </c>
      <c r="C31" s="98">
        <f>COUNTIFS(Amallar!F:F,"Kirim",Amallar!K:K,"qaytim",Amallar!Q:Q,"&lt;&gt;Ha",Amallar!B:B,"&gt;="&amp;INT($B$2),Amallar!B:B,"&lt;="&amp;$D$2)</f>
        <v>0</v>
      </c>
      <c r="D31" s="9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82" t="s">
        <v>91</v>
      </c>
      <c r="B32" s="83">
        <f>SUMIFS(Amallar!G:G,Amallar!F:F,"Kirim",Amallar!K:K,"boshqa_kirim",Amallar!Q:Q,"&lt;&gt;Ha",Amallar!B:B,"&gt;="&amp;INT($B$2),Amallar!B:B,"&lt;="&amp;$D$2)</f>
        <v>8732470</v>
      </c>
      <c r="C32" s="99">
        <f>COUNTIFS(Amallar!F:F,"Kirim",Amallar!K:K,"boshqa_kirim",Amallar!Q:Q,"&lt;&gt;Ha",Amallar!B:B,"&gt;="&amp;INT($B$2),Amallar!B:B,"&lt;="&amp;$D$2)</f>
        <v>1</v>
      </c>
      <c r="D32" s="99"/>
      <c r="E32" s="5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55"/>
      <c r="B33" s="98"/>
      <c r="C33" s="98"/>
      <c r="D33" s="98"/>
      <c r="E33" s="5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80" t="s">
        <v>92</v>
      </c>
      <c r="B34" s="98"/>
      <c r="C34" s="98"/>
      <c r="D34" s="98"/>
      <c r="E34" s="5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81" t="s">
        <v>55</v>
      </c>
      <c r="B35" s="100" t="s">
        <v>93</v>
      </c>
      <c r="C35" s="100" t="s">
        <v>94</v>
      </c>
      <c r="D35" s="100" t="s">
        <v>95</v>
      </c>
      <c r="E35" s="81" t="s">
        <v>96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82" t="s">
        <v>97</v>
      </c>
      <c r="B36" s="99">
        <f>SUMIFS(Amallar!G:G,Amallar!D:D,443142649,Amallar!F:F,"Kirim",Amallar!Q:Q,"&lt;&gt;Ha",Amallar!B:B,"&gt;="&amp;INT($B$2),Amallar!B:B,"&lt;="&amp;$D$2)</f>
        <v>504450732</v>
      </c>
      <c r="C36" s="99">
        <f>SUMIFS(Amallar!G:G,Amallar!D:D,443142649,Amallar!F:F,"Chiqim",Amallar!K:K,"&lt;&gt;otkazma",Amallar!Q:Q,"&lt;&gt;Ha",Amallar!B:B,"&gt;="&amp;INT($B$2),Amallar!B:B,"&lt;="&amp;$D$2)</f>
        <v>327869325</v>
      </c>
      <c r="D36" s="101" t="s">
        <v>98</v>
      </c>
      <c r="E36" s="86" t="str">
        <f>"—"</f>
        <v>—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88" t="s">
        <v>99</v>
      </c>
      <c r="B37" s="98">
        <f>SUMIFS(Amallar!G:G,Amallar!D:D,254366051,Amallar!F:F,"Kirim",Amallar!Q:Q,"&lt;&gt;Ha",Amallar!B:B,"&gt;="&amp;INT($B$2),Amallar!B:B,"&lt;="&amp;$D$2)</f>
        <v>100257414</v>
      </c>
      <c r="C37" s="98">
        <f>SUMIFS(Amallar!G:G,Amallar!D:D,254366051,Amallar!F:F,"Chiqim",Amallar!K:K,"&lt;&gt;otkazma",Amallar!Q:Q,"&lt;&gt;Ha",Amallar!B:B,"&gt;="&amp;INT($B$2),Amallar!B:B,"&lt;="&amp;$D$2)</f>
        <v>99656407</v>
      </c>
      <c r="D37" s="98">
        <f>SUMIFS(Amallar!G:G,Amallar!D:D,254366051,Amallar!F:F,"Kirim",Amallar!Q:Q,"&lt;&gt;Ha")-SUMIFS(Amallar!G:G,Amallar!D:D,254366051,Amallar!F:F,"Chiqim",Amallar!Q:Q,"&lt;&gt;Ha")</f>
        <v>601007</v>
      </c>
      <c r="E37" s="2" t="str">
        <f>IF(COUNTIFS('Oylik hisob'!A:A,254366051,'Oylik hisob'!C:C,TEXT($B$2,"yyyy-mm"))&gt;0,"✅ topshirdi","⏳ yo'q")</f>
        <v>⏳ yo'q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82" t="s">
        <v>100</v>
      </c>
      <c r="B38" s="99">
        <f>SUMIFS(Amallar!G:G,Amallar!D:D,6156487883,Amallar!F:F,"Kirim",Amallar!Q:Q,"&lt;&gt;Ha",Amallar!B:B,"&gt;="&amp;INT($B$2),Amallar!B:B,"&lt;="&amp;$D$2)</f>
        <v>91508500</v>
      </c>
      <c r="C38" s="99">
        <f>SUMIFS(Amallar!G:G,Amallar!D:D,6156487883,Amallar!F:F,"Chiqim",Amallar!K:K,"&lt;&gt;otkazma",Amallar!Q:Q,"&lt;&gt;Ha",Amallar!B:B,"&gt;="&amp;INT($B$2),Amallar!B:B,"&lt;="&amp;$D$2)</f>
        <v>14901000</v>
      </c>
      <c r="D38" s="99">
        <f>SUMIFS(Amallar!G:G,Amallar!D:D,6156487883,Amallar!F:F,"Kirim",Amallar!Q:Q,"&lt;&gt;Ha")-SUMIFS(Amallar!G:G,Amallar!D:D,6156487883,Amallar!F:F,"Chiqim",Amallar!Q:Q,"&lt;&gt;Ha")</f>
        <v>626000</v>
      </c>
      <c r="E38" s="86" t="str">
        <f>IF(COUNTIFS('Oylik hisob'!A:A,6156487883,'Oylik hisob'!C:C,TEXT($B$2,"yyyy-mm"))&gt;0,"✅ topshirdi","⏳ yo'q")</f>
        <v>⏳ yo'q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92" t="s">
        <v>84</v>
      </c>
      <c r="B39" s="102">
        <f t="shared" ref="B39:D39" si="3">SUM(B36:B38)</f>
        <v>696216646</v>
      </c>
      <c r="C39" s="102">
        <f t="shared" si="3"/>
        <v>442426732</v>
      </c>
      <c r="D39" s="102">
        <f t="shared" si="3"/>
        <v>1227007</v>
      </c>
      <c r="E39" s="2" t="str">
        <f>IF(C39=-$A$5+$I$5+$K$5,"✅ xarajatlar bilan teng","⚠️ farq: "&amp;TEXT(-$A$5+$I$5+$K$5-C39,"#,##0"))</f>
        <v>✅ xarajatlar bilan teng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80" t="s">
        <v>101</v>
      </c>
      <c r="B40" s="98"/>
      <c r="C40" s="98"/>
      <c r="D40" s="9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81" t="s">
        <v>102</v>
      </c>
      <c r="B41" s="100" t="s">
        <v>93</v>
      </c>
      <c r="C41" s="100" t="s">
        <v>103</v>
      </c>
      <c r="D41" s="100" t="s">
        <v>104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82" t="s">
        <v>10</v>
      </c>
      <c r="B42" s="83">
        <f>SUMIFS(Amallar!G:G,Amallar!F:F,"Chiqim",Amallar!K:K,"oylik",Amallar!R:R,"Dilmurod",Amallar!Q:Q,"&lt;&gt;Ha",Amallar!B:B,"&gt;="&amp;INT($B$2),Amallar!B:B,"&lt;="&amp;$D$2)</f>
        <v>20991106</v>
      </c>
      <c r="C42" s="103" t="s">
        <v>105</v>
      </c>
      <c r="D42" s="103" t="s">
        <v>106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88" t="s">
        <v>107</v>
      </c>
      <c r="B43" s="89">
        <f>SUMIFS(Amallar!G:G,Amallar!F:F,"Chiqim",Amallar!K:K,"oylik",Amallar!R:R,"Jamshid",Amallar!Q:Q,"&lt;&gt;Ha",Amallar!B:B,"&gt;="&amp;INT($B$2),Amallar!B:B,"&lt;="&amp;$D$2)</f>
        <v>20000</v>
      </c>
      <c r="C43" s="108" t="s">
        <v>105</v>
      </c>
      <c r="D43" s="108" t="s">
        <v>108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82" t="s">
        <v>109</v>
      </c>
      <c r="B44" s="83">
        <f>SUMIFS(Amallar!G:G,Amallar!F:F,"Chiqim",Amallar!K:K,"oylik",Amallar!R:R,"Jalol",Amallar!Q:Q,"&lt;&gt;Ha",Amallar!B:B,"&gt;="&amp;INT($B$2),Amallar!B:B,"&lt;="&amp;$D$2)</f>
        <v>820000</v>
      </c>
      <c r="C44" s="103" t="s">
        <v>105</v>
      </c>
      <c r="D44" s="103" t="s">
        <v>108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88" t="s">
        <v>110</v>
      </c>
      <c r="B45" s="89">
        <f>SUMIFS(Amallar!G:G,Amallar!F:F,"Chiqim",Amallar!K:K,"oylik",Amallar!R:R,"Nurilla",Amallar!Q:Q,"&lt;&gt;Ha",Amallar!B:B,"&gt;="&amp;INT($B$2),Amallar!B:B,"&lt;="&amp;$D$2)</f>
        <v>20000</v>
      </c>
      <c r="C45" s="108" t="s">
        <v>105</v>
      </c>
      <c r="D45" s="108" t="s">
        <v>108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82" t="s">
        <v>111</v>
      </c>
      <c r="B46" s="83">
        <f>SUMIFS(Amallar!G:G,Amallar!F:F,"Chiqim",Amallar!K:K,"oylik",Amallar!R:R,"👥 1-komanda (butun komanda)",Amallar!Q:Q,"&lt;&gt;Ha",Amallar!B:B,"&gt;="&amp;INT($B$2),Amallar!B:B,"&lt;="&amp;$D$2)</f>
        <v>0</v>
      </c>
      <c r="C46" s="103" t="s">
        <v>105</v>
      </c>
      <c r="D46" s="9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88" t="s">
        <v>112</v>
      </c>
      <c r="B47" s="89">
        <f>SUMIFS(Amallar!G:G,Amallar!F:F,"Chiqim",Amallar!K:K,"oylik",Amallar!R:R,"Mirjamol",Amallar!Q:Q,"&lt;&gt;Ha",Amallar!B:B,"&gt;="&amp;INT($B$2),Amallar!B:B,"&lt;="&amp;$D$2)</f>
        <v>6014120</v>
      </c>
      <c r="C47" s="108" t="s">
        <v>113</v>
      </c>
      <c r="D47" s="108" t="s">
        <v>106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82" t="s">
        <v>114</v>
      </c>
      <c r="B48" s="83">
        <f>SUMIFS(Amallar!G:G,Amallar!F:F,"Chiqim",Amallar!K:K,"oylik",Amallar!R:R,"Baxodir",Amallar!Q:Q,"&lt;&gt;Ha",Amallar!B:B,"&gt;="&amp;INT($B$2),Amallar!B:B,"&lt;="&amp;$D$2)</f>
        <v>0</v>
      </c>
      <c r="C48" s="103" t="s">
        <v>113</v>
      </c>
      <c r="D48" s="103" t="s">
        <v>108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88" t="s">
        <v>115</v>
      </c>
      <c r="B49" s="89">
        <f>SUMIFS(Amallar!G:G,Amallar!F:F,"Chiqim",Amallar!K:K,"oylik",Amallar!R:R,"👥 2-komanda (butun komanda)",Amallar!Q:Q,"&lt;&gt;Ha",Amallar!B:B,"&gt;="&amp;INT($B$2),Amallar!B:B,"&lt;="&amp;$D$2)</f>
        <v>0</v>
      </c>
      <c r="C49" s="108" t="s">
        <v>113</v>
      </c>
      <c r="D49" s="9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82" t="s">
        <v>116</v>
      </c>
      <c r="B50" s="83">
        <f>SUMIFS(Amallar!G:G,Amallar!F:F,"Chiqim",Amallar!K:K,"oylik",Amallar!R:R,"Jumaka",Amallar!Q:Q,"&lt;&gt;Ha",Amallar!B:B,"&gt;="&amp;INT($B$2),Amallar!B:B,"&lt;="&amp;$D$2)</f>
        <v>5469240</v>
      </c>
      <c r="C50" s="103" t="s">
        <v>117</v>
      </c>
      <c r="D50" s="9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88" t="s">
        <v>118</v>
      </c>
      <c r="B51" s="89">
        <f>SUMIFS(Amallar!G:G,Amallar!F:F,"Chiqim",Amallar!K:K,"oylik",Amallar!R:R,"Ulug'bek aka",Amallar!Q:Q,"&lt;&gt;Ha",Amallar!B:B,"&gt;="&amp;INT($B$2),Amallar!B:B,"&lt;="&amp;$D$2)</f>
        <v>4970000</v>
      </c>
      <c r="C51" s="108" t="s">
        <v>117</v>
      </c>
      <c r="D51" s="108" t="s">
        <v>119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82" t="s">
        <v>120</v>
      </c>
      <c r="B52" s="83">
        <f>SUMIFS(Amallar!G:G,Amallar!F:F,"Chiqim",Amallar!K:K,"oylik",Amallar!R:R,"Elyor",Amallar!Q:Q,"&lt;&gt;Ha",Amallar!B:B,"&gt;="&amp;INT($B$2),Amallar!B:B,"&lt;="&amp;$D$2)</f>
        <v>2225840</v>
      </c>
      <c r="C52" s="103" t="s">
        <v>117</v>
      </c>
      <c r="D52" s="9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88" t="s">
        <v>121</v>
      </c>
      <c r="B53" s="89">
        <f>SUMIFS(Amallar!G:G,Amallar!F:F,"Chiqim",Amallar!K:K,"oylik",Amallar!R:R,"Muxabbat opa",Amallar!Q:Q,"&lt;&gt;Ha",Amallar!B:B,"&gt;="&amp;INT($B$2),Amallar!B:B,"&lt;="&amp;$D$2)</f>
        <v>6290000</v>
      </c>
      <c r="C53" s="108" t="s">
        <v>117</v>
      </c>
      <c r="D53" s="108" t="s">
        <v>122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82" t="s">
        <v>123</v>
      </c>
      <c r="B54" s="83">
        <f>SUMIFS(Amallar!G:G,Amallar!F:F,"Chiqim",Amallar!K:K,"oylik",Amallar!R:R,"Axmadilla",Amallar!Q:Q,"&lt;&gt;Ha",Amallar!B:B,"&gt;="&amp;INT($B$2),Amallar!B:B,"&lt;="&amp;$D$2)</f>
        <v>5948950</v>
      </c>
      <c r="C54" s="103" t="s">
        <v>124</v>
      </c>
      <c r="D54" s="103" t="s">
        <v>122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88" t="s">
        <v>125</v>
      </c>
      <c r="B55" s="89">
        <f>SUMIFS(Amallar!G:G,Amallar!F:F,"Chiqim",Amallar!K:K,"oylik",Amallar!R:R,"Jasur",Amallar!Q:Q,"&lt;&gt;Ha",Amallar!B:B,"&gt;="&amp;INT($B$2),Amallar!B:B,"&lt;="&amp;$D$2)</f>
        <v>3589370</v>
      </c>
      <c r="C55" s="88" t="s">
        <v>124</v>
      </c>
      <c r="D55" s="88" t="s">
        <v>122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82" t="s">
        <v>126</v>
      </c>
      <c r="B56" s="83">
        <f>SUMIFS(Amallar!G:G,Amallar!F:F,"Chiqim",Amallar!K:K,"oylik",Amallar!R:R,"Islom",Amallar!Q:Q,"&lt;&gt;Ha",Amallar!B:B,"&gt;="&amp;INT($B$2),Amallar!B:B,"&lt;="&amp;$D$2)</f>
        <v>41758030</v>
      </c>
      <c r="C56" s="82" t="s">
        <v>127</v>
      </c>
      <c r="D56" s="82" t="s">
        <v>128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88" t="s">
        <v>129</v>
      </c>
      <c r="B57" s="89">
        <f>SUMIFS(Amallar!G:G,Amallar!F:F,"Chiqim",Amallar!K:K,"oylik",Amallar!R:R,"Umid",Amallar!Q:Q,"&lt;&gt;Ha",Amallar!B:B,"&gt;="&amp;INT($B$2),Amallar!B:B,"&lt;="&amp;$D$2)</f>
        <v>11459720</v>
      </c>
      <c r="C57" s="88" t="s">
        <v>127</v>
      </c>
      <c r="D57" s="88" t="s">
        <v>130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82" t="s">
        <v>131</v>
      </c>
      <c r="B58" s="83">
        <f>SUMIFS(Amallar!G:G,Amallar!F:F,"Chiqim",Amallar!K:K,"oylik",Amallar!R:R,"Maftuna",Amallar!Q:Q,"&lt;&gt;Ha",Amallar!B:B,"&gt;="&amp;INT($B$2),Amallar!B:B,"&lt;="&amp;$D$2)</f>
        <v>7186332</v>
      </c>
      <c r="C58" s="82" t="s">
        <v>127</v>
      </c>
      <c r="D58" s="82" t="s">
        <v>137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88" t="s">
        <v>139</v>
      </c>
      <c r="B59" s="89">
        <f>SUMIFS(Amallar!G:G,Amallar!F:F,"Chiqim",Amallar!K:K,"oylik",Amallar!R:R,"Nafisa",Amallar!Q:Q,"&lt;&gt;Ha",Amallar!B:B,"&gt;="&amp;INT($B$2),Amallar!B:B,"&lt;="&amp;$D$2)</f>
        <v>7312719</v>
      </c>
      <c r="C59" s="88" t="s">
        <v>127</v>
      </c>
      <c r="D59" s="88" t="s">
        <v>144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82" t="s">
        <v>145</v>
      </c>
      <c r="B60" s="83">
        <f>SUMIFS(Amallar!G:G,Amallar!F:F,"Chiqim",Amallar!K:K,"oylik",Amallar!R:R,"Mumina",Amallar!Q:Q,"&lt;&gt;Ha",Amallar!B:B,"&gt;="&amp;INT($B$2),Amallar!B:B,"&lt;="&amp;$D$2)</f>
        <v>4146200</v>
      </c>
      <c r="C60" s="82" t="s">
        <v>127</v>
      </c>
      <c r="D60" s="82" t="s">
        <v>152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88" t="s">
        <v>155</v>
      </c>
      <c r="B61" s="89">
        <f>SUMIFS(Amallar!G:G,Amallar!F:F,"Chiqim",Amallar!K:K,"oylik",Amallar!R:R,"Izzatilla",Amallar!Q:Q,"&lt;&gt;Ha",Amallar!B:B,"&gt;="&amp;INT($B$2),Amallar!B:B,"&lt;="&amp;$D$2)</f>
        <v>120000</v>
      </c>
      <c r="C61" s="88" t="s">
        <v>127</v>
      </c>
      <c r="D61" s="88" t="s">
        <v>170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82" t="s">
        <v>175</v>
      </c>
      <c r="B62" s="83">
        <f>SUMIFS(Amallar!G:G,Amallar!F:F,"Chiqim",Amallar!K:K,"oylik",Amallar!R:R,"Doston",Amallar!Q:Q,"&lt;&gt;Ha",Amallar!B:B,"&gt;="&amp;INT($B$2),Amallar!B:B,"&lt;="&amp;$D$2)</f>
        <v>8070000</v>
      </c>
      <c r="C62" s="82" t="s">
        <v>127</v>
      </c>
      <c r="D62" s="82" t="s">
        <v>188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88" t="s">
        <v>193</v>
      </c>
      <c r="B63" s="89">
        <f>SUMIFS(Amallar!G:G,Amallar!F:F,"Chiqim",Amallar!K:K,"oylik",Amallar!R:R,"",Amallar!Q:Q,"&lt;&gt;Ha",Amallar!B:B,"&gt;="&amp;INT($B$2),Amallar!B:B,"&lt;="&amp;$D$2)</f>
        <v>0</v>
      </c>
      <c r="C63" s="55"/>
      <c r="D63" s="5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92" t="s">
        <v>205</v>
      </c>
      <c r="B64" s="93">
        <f>SUM(B42:B63)</f>
        <v>136411627</v>
      </c>
      <c r="C64" s="55"/>
      <c r="D64" s="5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55"/>
      <c r="B65" s="8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80" t="s">
        <v>206</v>
      </c>
      <c r="B66" s="89"/>
      <c r="C66" s="55"/>
      <c r="D66" s="5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81" t="s">
        <v>207</v>
      </c>
      <c r="B67" s="100" t="s">
        <v>208</v>
      </c>
      <c r="C67" s="100" t="s">
        <v>209</v>
      </c>
      <c r="D67" s="100" t="s">
        <v>210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121">
        <f>EDATE($B$2,-11)</f>
        <v>45962</v>
      </c>
      <c r="B68" s="99">
        <f>SUMIFS(Amallar!G:G,Amallar!F:F,"Kirim",Amallar!K:K,"&lt;&gt;rahbar",Amallar!K:K,"&lt;&gt;otkazma",Amallar!Q:Q,"&lt;&gt;Ha",Amallar!B:B,"&gt;="&amp;A68,Amallar!B:B,"&lt;="&amp;EOMONTH(A68,0))</f>
        <v>0</v>
      </c>
      <c r="C68" s="99">
        <f>SUMIFS(Amallar!G:G,Amallar!F:F,"Chiqim",Amallar!K:K,"&lt;&gt;otkazma",Amallar!K:K,"&lt;&gt;rahbarga",Amallar!K:K,"&lt;&gt;uy",Amallar!Q:Q,"&lt;&gt;Ha",Amallar!B:B,"&gt;="&amp;A68,Amallar!B:B,"&lt;="&amp;EOMONTH(A68,0))</f>
        <v>0</v>
      </c>
      <c r="D68" s="99">
        <f t="shared" ref="D68:D79" si="4">B68-C68</f>
        <v>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122">
        <f>EDATE($B$2,-10)</f>
        <v>45992</v>
      </c>
      <c r="B69" s="98">
        <f>SUMIFS(Amallar!G:G,Amallar!F:F,"Kirim",Amallar!K:K,"&lt;&gt;rahbar",Amallar!K:K,"&lt;&gt;otkazma",Amallar!Q:Q,"&lt;&gt;Ha",Amallar!B:B,"&gt;="&amp;A69,Amallar!B:B,"&lt;="&amp;EOMONTH(A69,0))</f>
        <v>0</v>
      </c>
      <c r="C69" s="98">
        <f>SUMIFS(Amallar!G:G,Amallar!F:F,"Chiqim",Amallar!K:K,"&lt;&gt;otkazma",Amallar!K:K,"&lt;&gt;rahbarga",Amallar!K:K,"&lt;&gt;uy",Amallar!Q:Q,"&lt;&gt;Ha",Amallar!B:B,"&gt;="&amp;A69,Amallar!B:B,"&lt;="&amp;EOMONTH(A69,0))</f>
        <v>0</v>
      </c>
      <c r="D69" s="98">
        <f t="shared" si="4"/>
        <v>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121">
        <f>EDATE($B$2,-9)</f>
        <v>46023</v>
      </c>
      <c r="B70" s="99">
        <f>SUMIFS(Amallar!G:G,Amallar!F:F,"Kirim",Amallar!K:K,"&lt;&gt;rahbar",Amallar!K:K,"&lt;&gt;otkazma",Amallar!Q:Q,"&lt;&gt;Ha",Amallar!B:B,"&gt;="&amp;A70,Amallar!B:B,"&lt;="&amp;EOMONTH(A70,0))</f>
        <v>0</v>
      </c>
      <c r="C70" s="99">
        <f>SUMIFS(Amallar!G:G,Amallar!F:F,"Chiqim",Amallar!K:K,"&lt;&gt;otkazma",Amallar!K:K,"&lt;&gt;rahbarga",Amallar!K:K,"&lt;&gt;uy",Amallar!Q:Q,"&lt;&gt;Ha",Amallar!B:B,"&gt;="&amp;A70,Amallar!B:B,"&lt;="&amp;EOMONTH(A70,0))</f>
        <v>0</v>
      </c>
      <c r="D70" s="99">
        <f t="shared" si="4"/>
        <v>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122">
        <f>EDATE($B$2,-8)</f>
        <v>46054</v>
      </c>
      <c r="B71" s="98">
        <f>SUMIFS(Amallar!G:G,Amallar!F:F,"Kirim",Amallar!K:K,"&lt;&gt;rahbar",Amallar!K:K,"&lt;&gt;otkazma",Amallar!Q:Q,"&lt;&gt;Ha",Amallar!B:B,"&gt;="&amp;A71,Amallar!B:B,"&lt;="&amp;EOMONTH(A71,0))</f>
        <v>0</v>
      </c>
      <c r="C71" s="98">
        <f>SUMIFS(Amallar!G:G,Amallar!F:F,"Chiqim",Amallar!K:K,"&lt;&gt;otkazma",Amallar!K:K,"&lt;&gt;rahbarga",Amallar!K:K,"&lt;&gt;uy",Amallar!Q:Q,"&lt;&gt;Ha",Amallar!B:B,"&gt;="&amp;A71,Amallar!B:B,"&lt;="&amp;EOMONTH(A71,0))</f>
        <v>0</v>
      </c>
      <c r="D71" s="98">
        <f t="shared" si="4"/>
        <v>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121">
        <f>EDATE($B$2,-7)</f>
        <v>46082</v>
      </c>
      <c r="B72" s="99">
        <f>SUMIFS(Amallar!G:G,Amallar!F:F,"Kirim",Amallar!K:K,"&lt;&gt;rahbar",Amallar!K:K,"&lt;&gt;otkazma",Amallar!Q:Q,"&lt;&gt;Ha",Amallar!B:B,"&gt;="&amp;A72,Amallar!B:B,"&lt;="&amp;EOMONTH(A72,0))</f>
        <v>0</v>
      </c>
      <c r="C72" s="99">
        <f>SUMIFS(Amallar!G:G,Amallar!F:F,"Chiqim",Amallar!K:K,"&lt;&gt;otkazma",Amallar!K:K,"&lt;&gt;rahbarga",Amallar!K:K,"&lt;&gt;uy",Amallar!Q:Q,"&lt;&gt;Ha",Amallar!B:B,"&gt;="&amp;A72,Amallar!B:B,"&lt;="&amp;EOMONTH(A72,0))</f>
        <v>0</v>
      </c>
      <c r="D72" s="99">
        <f t="shared" si="4"/>
        <v>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122">
        <f>EDATE($B$2,-6)</f>
        <v>46113</v>
      </c>
      <c r="B73" s="98">
        <f>SUMIFS(Amallar!G:G,Amallar!F:F,"Kirim",Amallar!K:K,"&lt;&gt;rahbar",Amallar!K:K,"&lt;&gt;otkazma",Amallar!Q:Q,"&lt;&gt;Ha",Amallar!B:B,"&gt;="&amp;A73,Amallar!B:B,"&lt;="&amp;EOMONTH(A73,0))</f>
        <v>0</v>
      </c>
      <c r="C73" s="98">
        <f>SUMIFS(Amallar!G:G,Amallar!F:F,"Chiqim",Amallar!K:K,"&lt;&gt;otkazma",Amallar!K:K,"&lt;&gt;rahbarga",Amallar!K:K,"&lt;&gt;uy",Amallar!Q:Q,"&lt;&gt;Ha",Amallar!B:B,"&gt;="&amp;A73,Amallar!B:B,"&lt;="&amp;EOMONTH(A73,0))</f>
        <v>0</v>
      </c>
      <c r="D73" s="98">
        <f t="shared" si="4"/>
        <v>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121">
        <f>EDATE($B$2,-5)</f>
        <v>46143</v>
      </c>
      <c r="B74" s="99">
        <f>SUMIFS(Amallar!G:G,Amallar!F:F,"Kirim",Amallar!K:K,"&lt;&gt;rahbar",Amallar!K:K,"&lt;&gt;otkazma",Amallar!Q:Q,"&lt;&gt;Ha",Amallar!B:B,"&gt;="&amp;A74,Amallar!B:B,"&lt;="&amp;EOMONTH(A74,0))</f>
        <v>0</v>
      </c>
      <c r="C74" s="99">
        <f>SUMIFS(Amallar!G:G,Amallar!F:F,"Chiqim",Amallar!K:K,"&lt;&gt;otkazma",Amallar!K:K,"&lt;&gt;rahbarga",Amallar!K:K,"&lt;&gt;uy",Amallar!Q:Q,"&lt;&gt;Ha",Amallar!B:B,"&gt;="&amp;A74,Amallar!B:B,"&lt;="&amp;EOMONTH(A74,0))</f>
        <v>0</v>
      </c>
      <c r="D74" s="99">
        <f t="shared" si="4"/>
        <v>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122">
        <f>EDATE($B$2,-4)</f>
        <v>46174</v>
      </c>
      <c r="B75" s="98">
        <f>SUMIFS(Amallar!G:G,Amallar!F:F,"Kirim",Amallar!K:K,"&lt;&gt;rahbar",Amallar!K:K,"&lt;&gt;otkazma",Amallar!Q:Q,"&lt;&gt;Ha",Amallar!B:B,"&gt;="&amp;A75,Amallar!B:B,"&lt;="&amp;EOMONTH(A75,0))</f>
        <v>0</v>
      </c>
      <c r="C75" s="98">
        <f>SUMIFS(Amallar!G:G,Amallar!F:F,"Chiqim",Amallar!K:K,"&lt;&gt;otkazma",Amallar!K:K,"&lt;&gt;rahbarga",Amallar!K:K,"&lt;&gt;uy",Amallar!Q:Q,"&lt;&gt;Ha",Amallar!B:B,"&gt;="&amp;A75,Amallar!B:B,"&lt;="&amp;EOMONTH(A75,0))</f>
        <v>0</v>
      </c>
      <c r="D75" s="98">
        <f t="shared" si="4"/>
        <v>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121">
        <f>EDATE($B$2,-3)</f>
        <v>46204</v>
      </c>
      <c r="B76" s="99">
        <f>SUMIFS(Amallar!G:G,Amallar!F:F,"Kirim",Amallar!K:K,"&lt;&gt;rahbar",Amallar!K:K,"&lt;&gt;otkazma",Amallar!Q:Q,"&lt;&gt;Ha",Amallar!B:B,"&gt;="&amp;A76,Amallar!B:B,"&lt;="&amp;EOMONTH(A76,0))</f>
        <v>0</v>
      </c>
      <c r="C76" s="99">
        <f>SUMIFS(Amallar!G:G,Amallar!F:F,"Chiqim",Amallar!K:K,"&lt;&gt;otkazma",Amallar!K:K,"&lt;&gt;rahbarga",Amallar!K:K,"&lt;&gt;uy",Amallar!Q:Q,"&lt;&gt;Ha",Amallar!B:B,"&gt;="&amp;A76,Amallar!B:B,"&lt;="&amp;EOMONTH(A76,0))</f>
        <v>0</v>
      </c>
      <c r="D76" s="99">
        <f t="shared" si="4"/>
        <v>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122">
        <f>EDATE($B$2,-2)</f>
        <v>46235</v>
      </c>
      <c r="B77" s="98">
        <f>SUMIFS(Amallar!G:G,Amallar!F:F,"Kirim",Amallar!K:K,"&lt;&gt;rahbar",Amallar!K:K,"&lt;&gt;otkazma",Amallar!Q:Q,"&lt;&gt;Ha",Amallar!B:B,"&gt;="&amp;A77,Amallar!B:B,"&lt;="&amp;EOMONTH(A77,0))</f>
        <v>0</v>
      </c>
      <c r="C77" s="98">
        <f>SUMIFS(Amallar!G:G,Amallar!F:F,"Chiqim",Amallar!K:K,"&lt;&gt;otkazma",Amallar!K:K,"&lt;&gt;rahbarga",Amallar!K:K,"&lt;&gt;uy",Amallar!Q:Q,"&lt;&gt;Ha",Amallar!B:B,"&gt;="&amp;A77,Amallar!B:B,"&lt;="&amp;EOMONTH(A77,0))</f>
        <v>0</v>
      </c>
      <c r="D77" s="98">
        <f t="shared" si="4"/>
        <v>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121">
        <f>EDATE($B$2,-1)</f>
        <v>46266</v>
      </c>
      <c r="B78" s="99">
        <f>SUMIFS(Amallar!G:G,Amallar!F:F,"Kirim",Amallar!K:K,"&lt;&gt;rahbar",Amallar!K:K,"&lt;&gt;otkazma",Amallar!Q:Q,"&lt;&gt;Ha",Amallar!B:B,"&gt;="&amp;A78,Amallar!B:B,"&lt;="&amp;EOMONTH(A78,0))</f>
        <v>0</v>
      </c>
      <c r="C78" s="99">
        <f>SUMIFS(Amallar!G:G,Amallar!F:F,"Chiqim",Amallar!K:K,"&lt;&gt;otkazma",Amallar!K:K,"&lt;&gt;rahbarga",Amallar!K:K,"&lt;&gt;uy",Amallar!Q:Q,"&lt;&gt;Ha",Amallar!B:B,"&gt;="&amp;A78,Amallar!B:B,"&lt;="&amp;EOMONTH(A78,0))</f>
        <v>0</v>
      </c>
      <c r="D78" s="99">
        <f t="shared" si="4"/>
        <v>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2">
        <f>EDATE($B$2,0)</f>
        <v>46296</v>
      </c>
      <c r="B79" s="98">
        <f>SUMIFS(Amallar!G:G,Amallar!F:F,"Kirim",Amallar!K:K,"&lt;&gt;rahbar",Amallar!K:K,"&lt;&gt;otkazma",Amallar!Q:Q,"&lt;&gt;Ha",Amallar!B:B,"&gt;="&amp;A79,Amallar!B:B,"&lt;="&amp;EOMONTH(A79,0))</f>
        <v>504450732</v>
      </c>
      <c r="C79" s="98">
        <f>SUMIFS(Amallar!G:G,Amallar!F:F,"Chiqim",Amallar!K:K,"&lt;&gt;otkazma",Amallar!K:K,"&lt;&gt;rahbarga",Amallar!K:K,"&lt;&gt;uy",Amallar!Q:Q,"&lt;&gt;Ha",Amallar!B:B,"&gt;="&amp;A79,Amallar!B:B,"&lt;="&amp;EOMONTH(A79,0))</f>
        <v>401667092</v>
      </c>
      <c r="D79" s="98">
        <f t="shared" si="4"/>
        <v>102783640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2"/>
      <c r="B80" s="98"/>
      <c r="C80" s="98"/>
      <c r="D80" s="9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2"/>
      <c r="B81" s="98"/>
      <c r="C81" s="98"/>
      <c r="D81" s="9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5:B5"/>
    <mergeCell ref="C5:D5"/>
    <mergeCell ref="E5:F5"/>
    <mergeCell ref="G5:H5"/>
    <mergeCell ref="I5:J5"/>
    <mergeCell ref="K5:L5"/>
    <mergeCell ref="A1:L1"/>
    <mergeCell ref="A4:B4"/>
    <mergeCell ref="C4:D4"/>
    <mergeCell ref="E4:F4"/>
    <mergeCell ref="G4:H4"/>
    <mergeCell ref="I4:J4"/>
    <mergeCell ref="K4:L4"/>
  </mergeCells>
  <dataValidations>
    <dataValidation type="custom" allowBlank="1" showDropDown="1" showErrorMessage="1" sqref="B2 D2">
      <formula1>OR(NOT(ISERROR(DATEVALUE(B2))), AND(ISNUMBER(B2), LEFT(CELL("format", B2))="D"))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38"/>
    <col customWidth="1" min="2" max="2" width="20.75"/>
    <col customWidth="1" min="3" max="3" width="22.5"/>
    <col customWidth="1" min="4" max="4" width="28.88"/>
    <col customWidth="1" min="5" max="5" width="3.13"/>
    <col customWidth="1" min="6" max="6" width="12.0"/>
    <col customWidth="1" min="7" max="7" width="7.63"/>
    <col customWidth="1" min="8" max="8" width="17.63"/>
    <col customWidth="1" min="9" max="9" width="13.88"/>
    <col customWidth="1" min="10" max="10" width="11.38"/>
    <col customWidth="1" min="11" max="11" width="35.13"/>
    <col customWidth="1" min="12" max="12" width="3.13"/>
    <col customWidth="1" min="13" max="13" width="18.88"/>
    <col customWidth="1" min="14" max="15" width="12.63"/>
    <col hidden="1" min="16" max="16" width="12.63"/>
  </cols>
  <sheetData>
    <row r="1" ht="36.0" customHeight="1">
      <c r="A1" s="1" t="s">
        <v>2</v>
      </c>
      <c r="P1" s="2" t="str">
        <f>IFERROR(__xludf.DUMMYFUNCTION("IFERROR(FILTER(Xodimlar!B2:B500,Xodimlar!D2:D500=""xodim""),"""")"),"°°•• Gafurov Islom ••°°")</f>
        <v>°°•• Gafurov Islom ••°°</v>
      </c>
    </row>
    <row r="2" ht="21.0" customHeight="1">
      <c r="A2" s="3" t="s">
        <v>3</v>
      </c>
      <c r="P2" s="2" t="str">
        <f>IFERROR(__xludf.DUMMYFUNCTION("""COMPUTED_VALUE"""),"Umid Yusupov")</f>
        <v>Umid Yusupov</v>
      </c>
    </row>
    <row r="3" ht="27.0" customHeight="1">
      <c r="A3" s="4" t="s">
        <v>4</v>
      </c>
      <c r="B3" s="5" t="s">
        <v>8</v>
      </c>
      <c r="C3" s="6"/>
      <c r="D3" s="7"/>
      <c r="E3" s="8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 t="str">
        <f>IFERROR(__xludf.DUMMYFUNCTION("""COMPUTED_VALUE"""),"Maftuna Turgʻunboyeva")</f>
        <v>Maftuna Turgʻunboyeva</v>
      </c>
    </row>
    <row r="4" ht="27.0" customHeight="1">
      <c r="A4" s="4" t="s">
        <v>14</v>
      </c>
      <c r="B4" s="9">
        <v>46023.0</v>
      </c>
      <c r="C4" s="10" t="s">
        <v>15</v>
      </c>
      <c r="D4" s="9">
        <v>46387.0</v>
      </c>
      <c r="E4" s="8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 t="str">
        <f>IFERROR(__xludf.DUMMYFUNCTION("""COMPUTED_VALUE"""),"NAFISA")</f>
        <v>NAFISA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2.5" customHeight="1">
      <c r="A6" s="13" t="s">
        <v>20</v>
      </c>
      <c r="B6" s="14" t="s">
        <v>21</v>
      </c>
      <c r="C6" s="15" t="s">
        <v>22</v>
      </c>
      <c r="D6" s="16" t="s">
        <v>24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ht="31.5" customHeight="1">
      <c r="A7" s="18">
        <f>SUMIFS(Amallar!G:G,Amallar!E:E,$B$3,Amallar!F:F,"Kirim",Amallar!K:K,"rahbar",Amallar!Q:Q,"&lt;&gt;Ha",Amallar!B:B,"&gt;="&amp;$B$4,Amallar!B:B,"&lt;"&amp;($D$4+1))</f>
        <v>100257414</v>
      </c>
      <c r="B7" s="23">
        <f>SUMIFS(Amallar!G:G,Amallar!E:E,$B$3,Amallar!F:F,"Chiqim",Amallar!Q:Q,"&lt;&gt;Ha",Amallar!B:B,"&gt;="&amp;$B$4,Amallar!B:B,"&lt;"&amp;($D$4+1))</f>
        <v>99656407</v>
      </c>
      <c r="C7" s="23">
        <f>SUMIFS(Amallar!G:G,Amallar!E:E,$B$3,Amallar!F:F,"Kirim",Amallar!Q:Q,"&lt;&gt;Ha")-SUMIFS(Amallar!G:G,Amallar!E:E,$B$3,Amallar!F:F,"Chiqim",Amallar!Q:Q,"&lt;&gt;Ha")</f>
        <v>601007</v>
      </c>
      <c r="D7" s="28">
        <f>COUNTIFS(Amallar!E:E,$B$3,Amallar!F:F,"Kirim",Amallar!K:K,"rahbar",Amallar!Q:Q,"&lt;&gt;Ha",Amallar!B:B,"&gt;="&amp;$B$4,Amallar!B:B,"&lt;"&amp;($D$4+1))</f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22.5" customHeight="1">
      <c r="A9" s="31" t="s">
        <v>34</v>
      </c>
      <c r="B9" s="32"/>
      <c r="C9" s="32"/>
      <c r="D9" s="32"/>
      <c r="E9" s="32"/>
      <c r="F9" s="31" t="s">
        <v>35</v>
      </c>
      <c r="G9" s="32"/>
      <c r="H9" s="32"/>
      <c r="I9" s="32"/>
      <c r="J9" s="32"/>
      <c r="K9" s="32"/>
      <c r="L9" s="32"/>
      <c r="M9" s="31" t="s">
        <v>36</v>
      </c>
      <c r="N9" s="32"/>
      <c r="O9" s="32"/>
      <c r="P9" s="2"/>
    </row>
    <row r="10" ht="25.5" customHeight="1">
      <c r="A10" s="33" t="s">
        <v>37</v>
      </c>
      <c r="B10" s="33" t="s">
        <v>38</v>
      </c>
      <c r="C10" s="33" t="s">
        <v>39</v>
      </c>
      <c r="D10" s="33" t="s">
        <v>40</v>
      </c>
      <c r="E10" s="34"/>
      <c r="F10" s="33" t="s">
        <v>37</v>
      </c>
      <c r="G10" s="33" t="s">
        <v>41</v>
      </c>
      <c r="H10" s="33" t="s">
        <v>42</v>
      </c>
      <c r="I10" s="33" t="s">
        <v>38</v>
      </c>
      <c r="J10" s="33" t="s">
        <v>43</v>
      </c>
      <c r="K10" s="33" t="s">
        <v>44</v>
      </c>
      <c r="L10" s="2"/>
      <c r="M10" s="2"/>
      <c r="N10" s="2"/>
      <c r="O10" s="2"/>
      <c r="P10" s="2"/>
    </row>
    <row r="11" ht="18.0" customHeight="1">
      <c r="A11" s="38">
        <f>IFERROR(__xludf.DUMMYFUNCTION("IFERROR(ARRAYFORMULA(SORT(FILTER({Amallar!B2:B500,Amallar!G2:G500,IF(Amallar!H2:H500=""USD"",Amallar!I2:I500&amp;"" $"",""""),Amallar!N2:N500},Amallar!E2:E500=$B$3,Amallar!F2:F500=""Kirim"",Amallar!K2:K500=""rahbar"",Amallar!Q2:Q500&lt;&gt;""Ha"",Amallar!B2:B500&gt;=$"&amp;"B$4,Amallar!B2:B500&lt;$D$4+1),1,FALSE)),""— yozuv yo'q"")"),46321.0)</f>
        <v>46321</v>
      </c>
      <c r="B11" s="40">
        <f>IFERROR(__xludf.DUMMYFUNCTION("""COMPUTED_VALUE"""),1200000.0)</f>
        <v>1200000</v>
      </c>
      <c r="C11" s="41" t="str">
        <f>IFERROR(__xludf.DUMMYFUNCTION("""COMPUTED_VALUE"""),"")</f>
        <v/>
      </c>
      <c r="D11" s="41" t="str">
        <f>IFERROR(__xludf.DUMMYFUNCTION("""COMPUTED_VALUE"""),"So'rov #12: Харажатга")</f>
        <v>So'rov #12: Харажатга</v>
      </c>
      <c r="E11" s="2"/>
      <c r="F11" s="38">
        <f>IFERROR(__xludf.DUMMYFUNCTION("IFERROR(SORT(FILTER({Amallar!B2:B500,Amallar!C2:C500,Amallar!L2:L500,Amallar!G2:G500,Amallar!M2:M500,Amallar!N2:N500},Amallar!E2:E500=$B$3,Amallar!F2:F500=""Chiqim"",Amallar!Q2:Q500&lt;&gt;""Ha"",Amallar!B2:B500&gt;=$B$4,Amallar!B2:B500&lt;$D$4+1),1,FALSE,2,FALSE),"""&amp;"— sarf yo'q"")"),46322.0)</f>
        <v>46322</v>
      </c>
      <c r="G11" s="42">
        <f>IFERROR(__xludf.DUMMYFUNCTION("""COMPUTED_VALUE"""),0.6493055555555556)</f>
        <v>0.6493055556</v>
      </c>
      <c r="H11" s="41" t="str">
        <f>IFERROR(__xludf.DUMMYFUNCTION("""COMPUTED_VALUE"""),"Заказ материал")</f>
        <v>Заказ материал</v>
      </c>
      <c r="I11" s="40">
        <f>IFERROR(__xludf.DUMMYFUNCTION("""COMPUTED_VALUE"""),516000.0)</f>
        <v>516000</v>
      </c>
      <c r="J11" s="41">
        <f>IFERROR(__xludf.DUMMYFUNCTION("""COMPUTED_VALUE"""),389.0)</f>
        <v>389</v>
      </c>
      <c r="K11" s="41" t="str">
        <f>IFERROR(__xludf.DUMMYFUNCTION("""COMPUTED_VALUE"""),"Мдф декор овал")</f>
        <v>Мдф декор овал</v>
      </c>
      <c r="L11" s="2"/>
      <c r="M11" s="45" t="str">
        <f>IFERROR(__xludf.DUMMYFUNCTION("IFERROR(QUERY(FILTER({Amallar!L2:L500,Amallar!G2:G500},Amallar!E2:E500=$B$3,Amallar!F2:F500=""Chiqim"",Amallar!Q2:Q500&lt;&gt;""Ha"",Amallar!B2:B500&gt;=$B$4,Amallar!B2:B500&lt;$D$4+1),""select Col1, sum(Col2), count(Col2) group by Col1 order by sum(Col2) desc label "&amp;"Col1 'Turi', sum(Col2) 'Summa', count(Col2) 'Soni'"",0),""—"")"),"Turi")</f>
        <v>Turi</v>
      </c>
      <c r="N11" s="45" t="str">
        <f>IFERROR(__xludf.DUMMYFUNCTION("""COMPUTED_VALUE"""),"Summa")</f>
        <v>Summa</v>
      </c>
      <c r="O11" s="45" t="str">
        <f>IFERROR(__xludf.DUMMYFUNCTION("""COMPUTED_VALUE"""),"Soni")</f>
        <v>Soni</v>
      </c>
      <c r="P11" s="2"/>
    </row>
    <row r="12" ht="18.0" customHeight="1">
      <c r="A12" s="38">
        <f>IFERROR(__xludf.DUMMYFUNCTION("""COMPUTED_VALUE"""),46319.0)</f>
        <v>46319</v>
      </c>
      <c r="B12" s="40">
        <f>IFERROR(__xludf.DUMMYFUNCTION("""COMPUTED_VALUE"""),3570000.0)</f>
        <v>3570000</v>
      </c>
      <c r="C12" s="41" t="str">
        <f>IFERROR(__xludf.DUMMYFUNCTION("""COMPUTED_VALUE"""),"300 $")</f>
        <v>300 $</v>
      </c>
      <c r="D12" s="41" t="str">
        <f>IFERROR(__xludf.DUMMYFUNCTION("""COMPUTED_VALUE"""),"So'rov #11: Харажатга")</f>
        <v>So'rov #11: Харажатга</v>
      </c>
      <c r="E12" s="2"/>
      <c r="F12" s="38">
        <f>IFERROR(__xludf.DUMMYFUNCTION("""COMPUTED_VALUE"""),46322.0)</f>
        <v>46322</v>
      </c>
      <c r="G12" s="42">
        <f>IFERROR(__xludf.DUMMYFUNCTION("""COMPUTED_VALUE"""),0.6145833333333334)</f>
        <v>0.6145833333</v>
      </c>
      <c r="H12" s="41" t="str">
        <f>IFERROR(__xludf.DUMMYFUNCTION("""COMPUTED_VALUE"""),"Ovqat")</f>
        <v>Ovqat</v>
      </c>
      <c r="I12" s="40">
        <f>IFERROR(__xludf.DUMMYFUNCTION("""COMPUTED_VALUE"""),35000.0)</f>
        <v>35000</v>
      </c>
      <c r="J12" s="41"/>
      <c r="K12" s="41" t="str">
        <f>IFERROR(__xludf.DUMMYFUNCTION("""COMPUTED_VALUE"""),"Обед озим")</f>
        <v>Обед озим</v>
      </c>
      <c r="L12" s="2"/>
      <c r="M12" s="41" t="str">
        <f>IFERROR(__xludf.DUMMYFUNCTION("""COMPUTED_VALUE"""),"Заказ материал")</f>
        <v>Заказ материал</v>
      </c>
      <c r="N12" s="47">
        <f>IFERROR(__xludf.DUMMYFUNCTION("""COMPUTED_VALUE"""),4.0786E7)</f>
        <v>40786000</v>
      </c>
      <c r="O12" s="41">
        <f>IFERROR(__xludf.DUMMYFUNCTION("""COMPUTED_VALUE"""),4.0)</f>
        <v>4</v>
      </c>
      <c r="P12" s="2"/>
    </row>
    <row r="13" ht="18.0" customHeight="1">
      <c r="A13" s="38">
        <f>IFERROR(__xludf.DUMMYFUNCTION("""COMPUTED_VALUE"""),46318.0)</f>
        <v>46318</v>
      </c>
      <c r="B13" s="40">
        <f>IFERROR(__xludf.DUMMYFUNCTION("""COMPUTED_VALUE"""),1200000.0)</f>
        <v>1200000</v>
      </c>
      <c r="C13" s="41" t="str">
        <f>IFERROR(__xludf.DUMMYFUNCTION("""COMPUTED_VALUE"""),"")</f>
        <v/>
      </c>
      <c r="D13" s="41" t="str">
        <f>IFERROR(__xludf.DUMMYFUNCTION("""COMPUTED_VALUE"""),"So'rov #10: Харажатга")</f>
        <v>So'rov #10: Харажатга</v>
      </c>
      <c r="E13" s="2"/>
      <c r="F13" s="38">
        <f>IFERROR(__xludf.DUMMYFUNCTION("""COMPUTED_VALUE"""),46321.0)</f>
        <v>46321</v>
      </c>
      <c r="G13" s="42">
        <f>IFERROR(__xludf.DUMMYFUNCTION("""COMPUTED_VALUE"""),0.8965277777777778)</f>
        <v>0.8965277778</v>
      </c>
      <c r="H13" s="41" t="str">
        <f>IFERROR(__xludf.DUMMYFUNCTION("""COMPUTED_VALUE"""),"Ойлик (ish haqi)")</f>
        <v>Ойлик (ish haqi)</v>
      </c>
      <c r="I13" s="40">
        <f>IFERROR(__xludf.DUMMYFUNCTION("""COMPUTED_VALUE"""),200000.0)</f>
        <v>200000</v>
      </c>
      <c r="J13" s="41"/>
      <c r="K13" s="41" t="str">
        <f>IFERROR(__xludf.DUMMYFUNCTION("""COMPUTED_VALUE"""),"Ойлик")</f>
        <v>Ойлик</v>
      </c>
      <c r="L13" s="2"/>
      <c r="M13" s="41" t="str">
        <f>IFERROR(__xludf.DUMMYFUNCTION("""COMPUTED_VALUE"""),"Usluga (xizmatlar)")</f>
        <v>Usluga (xizmatlar)</v>
      </c>
      <c r="N13" s="47">
        <f>IFERROR(__xludf.DUMMYFUNCTION("""COMPUTED_VALUE"""),3.0612486E7)</f>
        <v>30612486</v>
      </c>
      <c r="O13" s="41">
        <f>IFERROR(__xludf.DUMMYFUNCTION("""COMPUTED_VALUE"""),14.0)</f>
        <v>14</v>
      </c>
      <c r="P13" s="2"/>
    </row>
    <row r="14" ht="18.0" customHeight="1">
      <c r="A14" s="38">
        <f>IFERROR(__xludf.DUMMYFUNCTION("""COMPUTED_VALUE"""),46314.0)</f>
        <v>46314</v>
      </c>
      <c r="B14" s="40">
        <f>IFERROR(__xludf.DUMMYFUNCTION("""COMPUTED_VALUE"""),1205590.0)</f>
        <v>1205590</v>
      </c>
      <c r="C14" s="41" t="str">
        <f>IFERROR(__xludf.DUMMYFUNCTION("""COMPUTED_VALUE"""),"100 $")</f>
        <v>100 $</v>
      </c>
      <c r="D14" s="41" t="str">
        <f>IFERROR(__xludf.DUMMYFUNCTION("""COMPUTED_VALUE"""),"So'rov #9: харажатга")</f>
        <v>So'rov #9: харажатга</v>
      </c>
      <c r="E14" s="2"/>
      <c r="F14" s="38">
        <f>IFERROR(__xludf.DUMMYFUNCTION("""COMPUTED_VALUE"""),46321.0)</f>
        <v>46321</v>
      </c>
      <c r="G14" s="42">
        <f>IFERROR(__xludf.DUMMYFUNCTION("""COMPUTED_VALUE"""),0.7263888888888889)</f>
        <v>0.7263888889</v>
      </c>
      <c r="H14" s="41" t="str">
        <f>IFERROR(__xludf.DUMMYFUNCTION("""COMPUTED_VALUE"""),"Zapravka")</f>
        <v>Zapravka</v>
      </c>
      <c r="I14" s="40">
        <f>IFERROR(__xludf.DUMMYFUNCTION("""COMPUTED_VALUE"""),252000.0)</f>
        <v>252000</v>
      </c>
      <c r="J14" s="41"/>
      <c r="K14" s="41" t="str">
        <f>IFERROR(__xludf.DUMMYFUNCTION("""COMPUTED_VALUE"""),"Газ")</f>
        <v>Газ</v>
      </c>
      <c r="L14" s="2"/>
      <c r="M14" s="41" t="str">
        <f>IFERROR(__xludf.DUMMYFUNCTION("""COMPUTED_VALUE"""),"Furnitura")</f>
        <v>Furnitura</v>
      </c>
      <c r="N14" s="47">
        <f>IFERROR(__xludf.DUMMYFUNCTION("""COMPUTED_VALUE"""),1.8926E7)</f>
        <v>18926000</v>
      </c>
      <c r="O14" s="41">
        <f>IFERROR(__xludf.DUMMYFUNCTION("""COMPUTED_VALUE"""),20.0)</f>
        <v>20</v>
      </c>
      <c r="P14" s="2"/>
    </row>
    <row r="15" ht="18.0" customHeight="1">
      <c r="A15" s="38">
        <f>IFERROR(__xludf.DUMMYFUNCTION("""COMPUTED_VALUE"""),46314.0)</f>
        <v>46314</v>
      </c>
      <c r="B15" s="40">
        <f>IFERROR(__xludf.DUMMYFUNCTION("""COMPUTED_VALUE"""),6.75E7)</f>
        <v>67500000</v>
      </c>
      <c r="C15" s="41" t="str">
        <f>IFERROR(__xludf.DUMMYFUNCTION("""COMPUTED_VALUE"""),"5625 $")</f>
        <v>5625 $</v>
      </c>
      <c r="D15" s="41" t="str">
        <f>IFERROR(__xludf.DUMMYFUNCTION("""COMPUTED_VALUE"""),"Qarzlaga")</f>
        <v>Qarzlaga</v>
      </c>
      <c r="E15" s="2"/>
      <c r="F15" s="38">
        <f>IFERROR(__xludf.DUMMYFUNCTION("""COMPUTED_VALUE"""),46321.0)</f>
        <v>46321</v>
      </c>
      <c r="G15" s="42">
        <f>IFERROR(__xludf.DUMMYFUNCTION("""COMPUTED_VALUE"""),0.7256944444444444)</f>
        <v>0.7256944444</v>
      </c>
      <c r="H15" s="41" t="str">
        <f>IFERROR(__xludf.DUMMYFUNCTION("""COMPUTED_VALUE"""),"Zapravka")</f>
        <v>Zapravka</v>
      </c>
      <c r="I15" s="40">
        <f>IFERROR(__xludf.DUMMYFUNCTION("""COMPUTED_VALUE"""),402000.0)</f>
        <v>402000</v>
      </c>
      <c r="J15" s="41"/>
      <c r="K15" s="41" t="str">
        <f>IFERROR(__xludf.DUMMYFUNCTION("""COMPUTED_VALUE"""),"Газ")</f>
        <v>Газ</v>
      </c>
      <c r="L15" s="2"/>
      <c r="M15" s="41" t="str">
        <f>IFERROR(__xludf.DUMMYFUNCTION("""COMPUTED_VALUE"""),"Zapravka")</f>
        <v>Zapravka</v>
      </c>
      <c r="N15" s="47">
        <f>IFERROR(__xludf.DUMMYFUNCTION("""COMPUTED_VALUE"""),4635000.0)</f>
        <v>4635000</v>
      </c>
      <c r="O15" s="41">
        <f>IFERROR(__xludf.DUMMYFUNCTION("""COMPUTED_VALUE"""),17.0)</f>
        <v>17</v>
      </c>
      <c r="P15" s="2"/>
    </row>
    <row r="16" ht="18.0" customHeight="1">
      <c r="A16" s="38">
        <f>IFERROR(__xludf.DUMMYFUNCTION("""COMPUTED_VALUE"""),46313.0)</f>
        <v>46313</v>
      </c>
      <c r="B16" s="40">
        <f>IFERROR(__xludf.DUMMYFUNCTION("""COMPUTED_VALUE"""),1196000.0)</f>
        <v>1196000</v>
      </c>
      <c r="C16" s="41" t="str">
        <f>IFERROR(__xludf.DUMMYFUNCTION("""COMPUTED_VALUE"""),"100 $")</f>
        <v>100 $</v>
      </c>
      <c r="D16" s="41" t="str">
        <f>IFERROR(__xludf.DUMMYFUNCTION("""COMPUTED_VALUE"""),"Расход")</f>
        <v>Расход</v>
      </c>
      <c r="E16" s="2"/>
      <c r="F16" s="38">
        <f>IFERROR(__xludf.DUMMYFUNCTION("""COMPUTED_VALUE"""),46321.0)</f>
        <v>46321</v>
      </c>
      <c r="G16" s="42">
        <f>IFERROR(__xludf.DUMMYFUNCTION("""COMPUTED_VALUE"""),0.4583333333333333)</f>
        <v>0.4583333333</v>
      </c>
      <c r="H16" s="41" t="str">
        <f>IFERROR(__xludf.DUMMYFUNCTION("""COMPUTED_VALUE"""),"Kommunal xizmatlar")</f>
        <v>Kommunal xizmatlar</v>
      </c>
      <c r="I16" s="40">
        <f>IFERROR(__xludf.DUMMYFUNCTION("""COMPUTED_VALUE"""),50000.0)</f>
        <v>50000</v>
      </c>
      <c r="J16" s="41"/>
      <c r="K16" s="41" t="str">
        <f>IFERROR(__xludf.DUMMYFUNCTION("""COMPUTED_VALUE"""),"Газ ишхона")</f>
        <v>Газ ишхона</v>
      </c>
      <c r="L16" s="2"/>
      <c r="M16" s="41" t="str">
        <f>IFERROR(__xludf.DUMMYFUNCTION("""COMPUTED_VALUE"""),"Ойлик (ish haqi)")</f>
        <v>Ойлик (ish haqi)</v>
      </c>
      <c r="N16" s="47">
        <f>IFERROR(__xludf.DUMMYFUNCTION("""COMPUTED_VALUE"""),2452000.0)</f>
        <v>2452000</v>
      </c>
      <c r="O16" s="41">
        <f>IFERROR(__xludf.DUMMYFUNCTION("""COMPUTED_VALUE"""),26.0)</f>
        <v>26</v>
      </c>
      <c r="P16" s="2"/>
    </row>
    <row r="17" ht="18.0" customHeight="1">
      <c r="A17" s="38">
        <f>IFERROR(__xludf.DUMMYFUNCTION("""COMPUTED_VALUE"""),46310.0)</f>
        <v>46310</v>
      </c>
      <c r="B17" s="40">
        <f>IFERROR(__xludf.DUMMYFUNCTION("""COMPUTED_VALUE"""),1790000.0)</f>
        <v>1790000</v>
      </c>
      <c r="C17" s="41" t="str">
        <f>IFERROR(__xludf.DUMMYFUNCTION("""COMPUTED_VALUE"""),"")</f>
        <v/>
      </c>
      <c r="D17" s="41" t="str">
        <f>IFERROR(__xludf.DUMMYFUNCTION("""COMPUTED_VALUE"""),"So'rov #7: Расходга")</f>
        <v>So'rov #7: Расходга</v>
      </c>
      <c r="E17" s="2"/>
      <c r="F17" s="38">
        <f>IFERROR(__xludf.DUMMYFUNCTION("""COMPUTED_VALUE"""),46321.0)</f>
        <v>46321</v>
      </c>
      <c r="G17" s="42">
        <f>IFERROR(__xludf.DUMMYFUNCTION("""COMPUTED_VALUE"""),0.4576388888888889)</f>
        <v>0.4576388889</v>
      </c>
      <c r="H17" s="41" t="str">
        <f>IFERROR(__xludf.DUMMYFUNCTION("""COMPUTED_VALUE"""),"Zapravka")</f>
        <v>Zapravka</v>
      </c>
      <c r="I17" s="40">
        <f>IFERROR(__xludf.DUMMYFUNCTION("""COMPUTED_VALUE"""),100000.0)</f>
        <v>100000</v>
      </c>
      <c r="J17" s="41"/>
      <c r="K17" s="41" t="str">
        <f>IFERROR(__xludf.DUMMYFUNCTION("""COMPUTED_VALUE"""),"Райхоникига бензин")</f>
        <v>Райхоникига бензин</v>
      </c>
      <c r="L17" s="2"/>
      <c r="M17" s="41" t="str">
        <f>IFERROR(__xludf.DUMMYFUNCTION("""COMPUTED_VALUE"""),"Ovqat")</f>
        <v>Ovqat</v>
      </c>
      <c r="N17" s="47">
        <f>IFERROR(__xludf.DUMMYFUNCTION("""COMPUTED_VALUE"""),1251000.0)</f>
        <v>1251000</v>
      </c>
      <c r="O17" s="41">
        <f>IFERROR(__xludf.DUMMYFUNCTION("""COMPUTED_VALUE"""),24.0)</f>
        <v>24</v>
      </c>
      <c r="P17" s="2"/>
    </row>
    <row r="18" ht="18.0" customHeight="1">
      <c r="A18" s="38">
        <f>IFERROR(__xludf.DUMMYFUNCTION("""COMPUTED_VALUE"""),46309.0)</f>
        <v>46309</v>
      </c>
      <c r="B18" s="40">
        <f>IFERROR(__xludf.DUMMYFUNCTION("""COMPUTED_VALUE"""),1200000.0)</f>
        <v>1200000</v>
      </c>
      <c r="C18" s="41" t="str">
        <f>IFERROR(__xludf.DUMMYFUNCTION("""COMPUTED_VALUE"""),"")</f>
        <v/>
      </c>
      <c r="D18" s="41" t="str">
        <f>IFERROR(__xludf.DUMMYFUNCTION("""COMPUTED_VALUE"""),"So'rov #5: Расходша")</f>
        <v>So'rov #5: Расходша</v>
      </c>
      <c r="E18" s="2"/>
      <c r="F18" s="38">
        <f>IFERROR(__xludf.DUMMYFUNCTION("""COMPUTED_VALUE"""),46321.0)</f>
        <v>46321</v>
      </c>
      <c r="G18" s="42">
        <f>IFERROR(__xludf.DUMMYFUNCTION("""COMPUTED_VALUE"""),0.4576388888888889)</f>
        <v>0.4576388889</v>
      </c>
      <c r="H18" s="41" t="str">
        <f>IFERROR(__xludf.DUMMYFUNCTION("""COMPUTED_VALUE"""),"Kommunal xizmatlar")</f>
        <v>Kommunal xizmatlar</v>
      </c>
      <c r="I18" s="40">
        <f>IFERROR(__xludf.DUMMYFUNCTION("""COMPUTED_VALUE"""),50000.0)</f>
        <v>50000</v>
      </c>
      <c r="J18" s="41"/>
      <c r="K18" s="41" t="str">
        <f>IFERROR(__xludf.DUMMYFUNCTION("""COMPUTED_VALUE"""),"Свет ишхона")</f>
        <v>Свет ишхона</v>
      </c>
      <c r="L18" s="2"/>
      <c r="M18" s="41" t="str">
        <f>IFERROR(__xludf.DUMMYFUNCTION("""COMPUTED_VALUE"""),"Kommunal xizmatlar")</f>
        <v>Kommunal xizmatlar</v>
      </c>
      <c r="N18" s="47">
        <f>IFERROR(__xludf.DUMMYFUNCTION("""COMPUTED_VALUE"""),553921.0)</f>
        <v>553921</v>
      </c>
      <c r="O18" s="41">
        <f>IFERROR(__xludf.DUMMYFUNCTION("""COMPUTED_VALUE"""),10.0)</f>
        <v>10</v>
      </c>
      <c r="P18" s="2"/>
    </row>
    <row r="19" ht="18.0" customHeight="1">
      <c r="A19" s="38">
        <f>IFERROR(__xludf.DUMMYFUNCTION("""COMPUTED_VALUE"""),46305.0)</f>
        <v>46305</v>
      </c>
      <c r="B19" s="40">
        <f>IFERROR(__xludf.DUMMYFUNCTION("""COMPUTED_VALUE"""),1180000.0)</f>
        <v>1180000</v>
      </c>
      <c r="C19" s="41" t="str">
        <f>IFERROR(__xludf.DUMMYFUNCTION("""COMPUTED_VALUE"""),"100 $")</f>
        <v>100 $</v>
      </c>
      <c r="D19" s="41" t="str">
        <f>IFERROR(__xludf.DUMMYFUNCTION("""COMPUTED_VALUE"""),"Расход")</f>
        <v>Расход</v>
      </c>
      <c r="E19" s="2"/>
      <c r="F19" s="38">
        <f>IFERROR(__xludf.DUMMYFUNCTION("""COMPUTED_VALUE"""),46320.0)</f>
        <v>46320</v>
      </c>
      <c r="G19" s="42">
        <f>IFERROR(__xludf.DUMMYFUNCTION("""COMPUTED_VALUE"""),0.46875)</f>
        <v>0.46875</v>
      </c>
      <c r="H19" s="41" t="str">
        <f>IFERROR(__xludf.DUMMYFUNCTION("""COMPUTED_VALUE"""),"Boshqa")</f>
        <v>Boshqa</v>
      </c>
      <c r="I19" s="40">
        <f>IFERROR(__xludf.DUMMYFUNCTION("""COMPUTED_VALUE"""),110000.0)</f>
        <v>110000</v>
      </c>
      <c r="J19" s="41"/>
      <c r="K19" s="41" t="str">
        <f>IFERROR(__xludf.DUMMYFUNCTION("""COMPUTED_VALUE"""),"Штраф чанган Жумака")</f>
        <v>Штраф чанган Жумака</v>
      </c>
      <c r="L19" s="2"/>
      <c r="M19" s="41" t="str">
        <f>IFERROR(__xludf.DUMMYFUNCTION("""COMPUTED_VALUE"""),"Boshqa")</f>
        <v>Boshqa</v>
      </c>
      <c r="N19" s="47">
        <f>IFERROR(__xludf.DUMMYFUNCTION("""COMPUTED_VALUE"""),240000.0)</f>
        <v>240000</v>
      </c>
      <c r="O19" s="41">
        <f>IFERROR(__xludf.DUMMYFUNCTION("""COMPUTED_VALUE"""),3.0)</f>
        <v>3</v>
      </c>
      <c r="P19" s="2"/>
    </row>
    <row r="20" ht="18.0" customHeight="1">
      <c r="A20" s="38">
        <f>IFERROR(__xludf.DUMMYFUNCTION("""COMPUTED_VALUE"""),46305.0)</f>
        <v>46305</v>
      </c>
      <c r="B20" s="40">
        <f>IFERROR(__xludf.DUMMYFUNCTION("""COMPUTED_VALUE"""),1.665706E7)</f>
        <v>16657060</v>
      </c>
      <c r="C20" s="41" t="str">
        <f>IFERROR(__xludf.DUMMYFUNCTION("""COMPUTED_VALUE"""),"1400 $")</f>
        <v>1400 $</v>
      </c>
      <c r="D20" s="41" t="str">
        <f>IFERROR(__xludf.DUMMYFUNCTION("""COMPUTED_VALUE"""),"Азимга")</f>
        <v>Азимга</v>
      </c>
      <c r="E20" s="2"/>
      <c r="F20" s="38">
        <f>IFERROR(__xludf.DUMMYFUNCTION("""COMPUTED_VALUE"""),46320.0)</f>
        <v>46320</v>
      </c>
      <c r="G20" s="42">
        <f>IFERROR(__xludf.DUMMYFUNCTION("""COMPUTED_VALUE"""),0.41875)</f>
        <v>0.41875</v>
      </c>
      <c r="H20" s="41" t="str">
        <f>IFERROR(__xludf.DUMMYFUNCTION("""COMPUTED_VALUE"""),"Furnitura")</f>
        <v>Furnitura</v>
      </c>
      <c r="I20" s="40">
        <f>IFERROR(__xludf.DUMMYFUNCTION("""COMPUTED_VALUE"""),809200.0)</f>
        <v>809200</v>
      </c>
      <c r="J20" s="41">
        <f>IFERROR(__xludf.DUMMYFUNCTION("""COMPUTED_VALUE"""),402.0)</f>
        <v>402</v>
      </c>
      <c r="K20" s="41" t="str">
        <f>IFERROR(__xludf.DUMMYFUNCTION("""COMPUTED_VALUE"""),"Краска")</f>
        <v>Краска</v>
      </c>
      <c r="L20" s="2"/>
      <c r="M20" s="41" t="str">
        <f>IFERROR(__xludf.DUMMYFUNCTION("""COMPUTED_VALUE"""),"Rahbarga (shaxsiy)")</f>
        <v>Rahbarga (shaxsiy)</v>
      </c>
      <c r="N20" s="47">
        <f>IFERROR(__xludf.DUMMYFUNCTION("""COMPUTED_VALUE"""),100000.0)</f>
        <v>100000</v>
      </c>
      <c r="O20" s="41">
        <f>IFERROR(__xludf.DUMMYFUNCTION("""COMPUTED_VALUE"""),3.0)</f>
        <v>3</v>
      </c>
      <c r="P20" s="2"/>
    </row>
    <row r="21" ht="18.0" customHeight="1">
      <c r="A21" s="38">
        <f>IFERROR(__xludf.DUMMYFUNCTION("""COMPUTED_VALUE"""),46304.0)</f>
        <v>46304</v>
      </c>
      <c r="B21" s="40">
        <f>IFERROR(__xludf.DUMMYFUNCTION("""COMPUTED_VALUE"""),1200000.0)</f>
        <v>1200000</v>
      </c>
      <c r="C21" s="41" t="str">
        <f>IFERROR(__xludf.DUMMYFUNCTION("""COMPUTED_VALUE"""),"")</f>
        <v/>
      </c>
      <c r="D21" s="41" t="str">
        <f>IFERROR(__xludf.DUMMYFUNCTION("""COMPUTED_VALUE"""),"So'rov #2: Харажатга")</f>
        <v>So'rov #2: Харажатга</v>
      </c>
      <c r="E21" s="2"/>
      <c r="F21" s="38">
        <f>IFERROR(__xludf.DUMMYFUNCTION("""COMPUTED_VALUE"""),46320.0)</f>
        <v>46320</v>
      </c>
      <c r="G21" s="42">
        <f>IFERROR(__xludf.DUMMYFUNCTION("""COMPUTED_VALUE"""),0.41805555555555557)</f>
        <v>0.4180555556</v>
      </c>
      <c r="H21" s="41" t="str">
        <f>IFERROR(__xludf.DUMMYFUNCTION("""COMPUTED_VALUE"""),"Furnitura")</f>
        <v>Furnitura</v>
      </c>
      <c r="I21" s="40">
        <f>IFERROR(__xludf.DUMMYFUNCTION("""COMPUTED_VALUE"""),1689800.0)</f>
        <v>1689800</v>
      </c>
      <c r="J21" s="41">
        <f>IFERROR(__xludf.DUMMYFUNCTION("""COMPUTED_VALUE"""),392.0)</f>
        <v>392</v>
      </c>
      <c r="K21" s="41" t="str">
        <f>IFERROR(__xludf.DUMMYFUNCTION("""COMPUTED_VALUE"""),"Астар раствор")</f>
        <v>Астар раствор</v>
      </c>
      <c r="L21" s="2"/>
      <c r="M21" s="41" t="str">
        <f>IFERROR(__xludf.DUMMYFUNCTION("""COMPUTED_VALUE"""),"Mashina / dostavka")</f>
        <v>Mashina / dostavka</v>
      </c>
      <c r="N21" s="47">
        <f>IFERROR(__xludf.DUMMYFUNCTION("""COMPUTED_VALUE"""),50000.0)</f>
        <v>50000</v>
      </c>
      <c r="O21" s="41">
        <f>IFERROR(__xludf.DUMMYFUNCTION("""COMPUTED_VALUE"""),1.0)</f>
        <v>1</v>
      </c>
      <c r="P21" s="2"/>
    </row>
    <row r="22" ht="18.0" customHeight="1">
      <c r="A22" s="38">
        <f>IFERROR(__xludf.DUMMYFUNCTION("""COMPUTED_VALUE"""),46303.0)</f>
        <v>46303</v>
      </c>
      <c r="B22" s="40">
        <f>IFERROR(__xludf.DUMMYFUNCTION("""COMPUTED_VALUE"""),1180919.0)</f>
        <v>1180919</v>
      </c>
      <c r="C22" s="41" t="str">
        <f>IFERROR(__xludf.DUMMYFUNCTION("""COMPUTED_VALUE"""),"100 $")</f>
        <v>100 $</v>
      </c>
      <c r="D22" s="41" t="str">
        <f>IFERROR(__xludf.DUMMYFUNCTION("""COMPUTED_VALUE"""),"Расход га")</f>
        <v>Расход га</v>
      </c>
      <c r="E22" s="2"/>
      <c r="F22" s="38">
        <f>IFERROR(__xludf.DUMMYFUNCTION("""COMPUTED_VALUE"""),46320.0)</f>
        <v>46320</v>
      </c>
      <c r="G22" s="42">
        <f>IFERROR(__xludf.DUMMYFUNCTION("""COMPUTED_VALUE"""),0.4173611111111111)</f>
        <v>0.4173611111</v>
      </c>
      <c r="H22" s="41" t="str">
        <f>IFERROR(__xludf.DUMMYFUNCTION("""COMPUTED_VALUE"""),"Rahbarga (shaxsiy)")</f>
        <v>Rahbarga (shaxsiy)</v>
      </c>
      <c r="I22" s="40">
        <f>IFERROR(__xludf.DUMMYFUNCTION("""COMPUTED_VALUE"""),45000.0)</f>
        <v>45000</v>
      </c>
      <c r="J22" s="41"/>
      <c r="K22" s="41" t="str">
        <f>IFERROR(__xludf.DUMMYFUNCTION("""COMPUTED_VALUE"""),"Обед")</f>
        <v>Обед</v>
      </c>
      <c r="L22" s="2"/>
      <c r="M22" s="41" t="str">
        <f>IFERROR(__xludf.DUMMYFUNCTION("""COMPUTED_VALUE"""),"Remont avto")</f>
        <v>Remont avto</v>
      </c>
      <c r="N22" s="47">
        <f>IFERROR(__xludf.DUMMYFUNCTION("""COMPUTED_VALUE"""),50000.0)</f>
        <v>50000</v>
      </c>
      <c r="O22" s="41">
        <f>IFERROR(__xludf.DUMMYFUNCTION("""COMPUTED_VALUE"""),1.0)</f>
        <v>1</v>
      </c>
      <c r="P22" s="2"/>
    </row>
    <row r="23" ht="18.0" customHeight="1">
      <c r="A23" s="38">
        <f>IFERROR(__xludf.DUMMYFUNCTION("""COMPUTED_VALUE"""),46301.0)</f>
        <v>46301</v>
      </c>
      <c r="B23" s="40">
        <f>IFERROR(__xludf.DUMMYFUNCTION("""COMPUTED_VALUE"""),1177845.0)</f>
        <v>1177845</v>
      </c>
      <c r="C23" s="41" t="str">
        <f>IFERROR(__xludf.DUMMYFUNCTION("""COMPUTED_VALUE"""),"100 $")</f>
        <v>100 $</v>
      </c>
      <c r="D23" s="41" t="str">
        <f>IFERROR(__xludf.DUMMYFUNCTION("""COMPUTED_VALUE"""),"Расход")</f>
        <v>Расход</v>
      </c>
      <c r="E23" s="2"/>
      <c r="F23" s="38">
        <f>IFERROR(__xludf.DUMMYFUNCTION("""COMPUTED_VALUE"""),46320.0)</f>
        <v>46320</v>
      </c>
      <c r="G23" s="42">
        <f>IFERROR(__xludf.DUMMYFUNCTION("""COMPUTED_VALUE"""),0.4166666666666667)</f>
        <v>0.4166666667</v>
      </c>
      <c r="H23" s="41" t="str">
        <f>IFERROR(__xludf.DUMMYFUNCTION("""COMPUTED_VALUE"""),"Ovqat")</f>
        <v>Ovqat</v>
      </c>
      <c r="I23" s="40">
        <f>IFERROR(__xludf.DUMMYFUNCTION("""COMPUTED_VALUE"""),35000.0)</f>
        <v>35000</v>
      </c>
      <c r="J23" s="41"/>
      <c r="K23" s="41" t="str">
        <f>IFERROR(__xludf.DUMMYFUNCTION("""COMPUTED_VALUE"""),"Обед 24.10.26")</f>
        <v>Обед 24.10.26</v>
      </c>
      <c r="L23" s="2"/>
      <c r="M23" s="41"/>
      <c r="N23" s="47"/>
      <c r="O23" s="41"/>
      <c r="P23" s="2"/>
    </row>
    <row r="24" ht="18.0" customHeight="1">
      <c r="A24" s="38"/>
      <c r="B24" s="40"/>
      <c r="C24" s="41"/>
      <c r="D24" s="41"/>
      <c r="E24" s="2"/>
      <c r="F24" s="38">
        <f>IFERROR(__xludf.DUMMYFUNCTION("""COMPUTED_VALUE"""),46319.0)</f>
        <v>46319</v>
      </c>
      <c r="G24" s="42">
        <f>IFERROR(__xludf.DUMMYFUNCTION("""COMPUTED_VALUE"""),0.5951388888888889)</f>
        <v>0.5951388889</v>
      </c>
      <c r="H24" s="41" t="str">
        <f>IFERROR(__xludf.DUMMYFUNCTION("""COMPUTED_VALUE"""),"Zapravka")</f>
        <v>Zapravka</v>
      </c>
      <c r="I24" s="40">
        <f>IFERROR(__xludf.DUMMYFUNCTION("""COMPUTED_VALUE"""),232000.0)</f>
        <v>232000</v>
      </c>
      <c r="J24" s="41"/>
      <c r="K24" s="41" t="str">
        <f>IFERROR(__xludf.DUMMYFUNCTION("""COMPUTED_VALUE"""),"Газ")</f>
        <v>Газ</v>
      </c>
      <c r="L24" s="2"/>
      <c r="M24" s="41"/>
      <c r="N24" s="47"/>
      <c r="O24" s="41"/>
      <c r="P24" s="2"/>
    </row>
    <row r="25" ht="18.0" customHeight="1">
      <c r="A25" s="38"/>
      <c r="B25" s="40"/>
      <c r="C25" s="41"/>
      <c r="D25" s="41"/>
      <c r="E25" s="2"/>
      <c r="F25" s="38">
        <f>IFERROR(__xludf.DUMMYFUNCTION("""COMPUTED_VALUE"""),46319.0)</f>
        <v>46319</v>
      </c>
      <c r="G25" s="42">
        <f>IFERROR(__xludf.DUMMYFUNCTION("""COMPUTED_VALUE"""),0.5763888888888888)</f>
        <v>0.5763888889</v>
      </c>
      <c r="H25" s="41" t="str">
        <f>IFERROR(__xludf.DUMMYFUNCTION("""COMPUTED_VALUE"""),"Furnitura")</f>
        <v>Furnitura</v>
      </c>
      <c r="I25" s="40">
        <f>IFERROR(__xludf.DUMMYFUNCTION("""COMPUTED_VALUE"""),30000.0)</f>
        <v>30000</v>
      </c>
      <c r="J25" s="41">
        <f>IFERROR(__xludf.DUMMYFUNCTION("""COMPUTED_VALUE"""),397.0)</f>
        <v>397</v>
      </c>
      <c r="K25" s="41" t="str">
        <f>IFERROR(__xludf.DUMMYFUNCTION("""COMPUTED_VALUE"""),"Стик")</f>
        <v>Стик</v>
      </c>
      <c r="L25" s="2"/>
      <c r="M25" s="41"/>
      <c r="N25" s="47"/>
      <c r="O25" s="41"/>
      <c r="P25" s="2"/>
    </row>
    <row r="26" ht="18.0" customHeight="1">
      <c r="A26" s="38"/>
      <c r="B26" s="40"/>
      <c r="C26" s="41"/>
      <c r="D26" s="41"/>
      <c r="E26" s="2"/>
      <c r="F26" s="38">
        <f>IFERROR(__xludf.DUMMYFUNCTION("""COMPUTED_VALUE"""),46319.0)</f>
        <v>46319</v>
      </c>
      <c r="G26" s="42">
        <f>IFERROR(__xludf.DUMMYFUNCTION("""COMPUTED_VALUE"""),0.42291666666666666)</f>
        <v>0.4229166667</v>
      </c>
      <c r="H26" s="41" t="str">
        <f>IFERROR(__xludf.DUMMYFUNCTION("""COMPUTED_VALUE"""),"Kommunal xizmatlar")</f>
        <v>Kommunal xizmatlar</v>
      </c>
      <c r="I26" s="40">
        <f>IFERROR(__xludf.DUMMYFUNCTION("""COMPUTED_VALUE"""),20000.0)</f>
        <v>20000</v>
      </c>
      <c r="J26" s="41"/>
      <c r="K26" s="41" t="str">
        <f>IFERROR(__xludf.DUMMYFUNCTION("""COMPUTED_VALUE"""),"Газ ишхона")</f>
        <v>Газ ишхона</v>
      </c>
      <c r="L26" s="2"/>
      <c r="M26" s="41"/>
      <c r="N26" s="47"/>
      <c r="O26" s="41"/>
      <c r="P26" s="2"/>
    </row>
    <row r="27" ht="18.0" customHeight="1">
      <c r="A27" s="38"/>
      <c r="B27" s="40"/>
      <c r="C27" s="41"/>
      <c r="D27" s="41"/>
      <c r="E27" s="2"/>
      <c r="F27" s="38">
        <f>IFERROR(__xludf.DUMMYFUNCTION("""COMPUTED_VALUE"""),46319.0)</f>
        <v>46319</v>
      </c>
      <c r="G27" s="42">
        <f>IFERROR(__xludf.DUMMYFUNCTION("""COMPUTED_VALUE"""),0.4222222222222222)</f>
        <v>0.4222222222</v>
      </c>
      <c r="H27" s="41" t="str">
        <f>IFERROR(__xludf.DUMMYFUNCTION("""COMPUTED_VALUE"""),"Kommunal xizmatlar")</f>
        <v>Kommunal xizmatlar</v>
      </c>
      <c r="I27" s="40">
        <f>IFERROR(__xludf.DUMMYFUNCTION("""COMPUTED_VALUE"""),50000.0)</f>
        <v>50000</v>
      </c>
      <c r="J27" s="41"/>
      <c r="K27" s="41" t="str">
        <f>IFERROR(__xludf.DUMMYFUNCTION("""COMPUTED_VALUE"""),"Свет ишхона")</f>
        <v>Свет ишхона</v>
      </c>
      <c r="L27" s="2"/>
      <c r="M27" s="41"/>
      <c r="N27" s="47"/>
      <c r="O27" s="41"/>
      <c r="P27" s="2"/>
    </row>
    <row r="28" ht="18.0" customHeight="1">
      <c r="A28" s="38"/>
      <c r="B28" s="40"/>
      <c r="C28" s="41"/>
      <c r="D28" s="41"/>
      <c r="E28" s="2"/>
      <c r="F28" s="38">
        <f>IFERROR(__xludf.DUMMYFUNCTION("""COMPUTED_VALUE"""),46318.0)</f>
        <v>46318</v>
      </c>
      <c r="G28" s="42">
        <f>IFERROR(__xludf.DUMMYFUNCTION("""COMPUTED_VALUE"""),0.6534722222222222)</f>
        <v>0.6534722222</v>
      </c>
      <c r="H28" s="41" t="str">
        <f>IFERROR(__xludf.DUMMYFUNCTION("""COMPUTED_VALUE"""),"Заказ материал")</f>
        <v>Заказ материал</v>
      </c>
      <c r="I28" s="40">
        <f>IFERROR(__xludf.DUMMYFUNCTION("""COMPUTED_VALUE"""),358000.0)</f>
        <v>358000</v>
      </c>
      <c r="J28" s="41">
        <f>IFERROR(__xludf.DUMMYFUNCTION("""COMPUTED_VALUE"""),404.0)</f>
        <v>404</v>
      </c>
      <c r="K28" s="41" t="str">
        <f>IFERROR(__xludf.DUMMYFUNCTION("""COMPUTED_VALUE"""),"Кош")</f>
        <v>Кош</v>
      </c>
      <c r="L28" s="2"/>
      <c r="M28" s="41"/>
      <c r="N28" s="47"/>
      <c r="O28" s="41"/>
      <c r="P28" s="2"/>
    </row>
    <row r="29" ht="18.0" customHeight="1">
      <c r="A29" s="38"/>
      <c r="B29" s="40"/>
      <c r="C29" s="41"/>
      <c r="D29" s="41"/>
      <c r="E29" s="2"/>
      <c r="F29" s="38">
        <f>IFERROR(__xludf.DUMMYFUNCTION("""COMPUTED_VALUE"""),46318.0)</f>
        <v>46318</v>
      </c>
      <c r="G29" s="42">
        <f>IFERROR(__xludf.DUMMYFUNCTION("""COMPUTED_VALUE"""),0.6395833333333333)</f>
        <v>0.6395833333</v>
      </c>
      <c r="H29" s="41" t="str">
        <f>IFERROR(__xludf.DUMMYFUNCTION("""COMPUTED_VALUE"""),"Ойлик (ish haqi)")</f>
        <v>Ойлик (ish haqi)</v>
      </c>
      <c r="I29" s="40">
        <f>IFERROR(__xludf.DUMMYFUNCTION("""COMPUTED_VALUE"""),100000.0)</f>
        <v>100000</v>
      </c>
      <c r="J29" s="41"/>
      <c r="K29" s="41" t="str">
        <f>IFERROR(__xludf.DUMMYFUNCTION("""COMPUTED_VALUE"""),"Ойлик")</f>
        <v>Ойлик</v>
      </c>
      <c r="L29" s="2"/>
      <c r="M29" s="41"/>
      <c r="N29" s="47"/>
      <c r="O29" s="41"/>
      <c r="P29" s="2"/>
    </row>
    <row r="30" ht="18.0" customHeight="1">
      <c r="A30" s="38"/>
      <c r="B30" s="40"/>
      <c r="C30" s="41"/>
      <c r="D30" s="41"/>
      <c r="E30" s="2"/>
      <c r="F30" s="38">
        <f>IFERROR(__xludf.DUMMYFUNCTION("""COMPUTED_VALUE"""),46318.0)</f>
        <v>46318</v>
      </c>
      <c r="G30" s="42">
        <f>IFERROR(__xludf.DUMMYFUNCTION("""COMPUTED_VALUE"""),0.6270833333333333)</f>
        <v>0.6270833333</v>
      </c>
      <c r="H30" s="41" t="str">
        <f>IFERROR(__xludf.DUMMYFUNCTION("""COMPUTED_VALUE"""),"Zapravka")</f>
        <v>Zapravka</v>
      </c>
      <c r="I30" s="40">
        <f>IFERROR(__xludf.DUMMYFUNCTION("""COMPUTED_VALUE"""),374000.0)</f>
        <v>374000</v>
      </c>
      <c r="J30" s="41"/>
      <c r="K30" s="41" t="str">
        <f>IFERROR(__xludf.DUMMYFUNCTION("""COMPUTED_VALUE"""),"Газ")</f>
        <v>Газ</v>
      </c>
      <c r="L30" s="2"/>
      <c r="M30" s="41"/>
      <c r="N30" s="47"/>
      <c r="O30" s="41"/>
      <c r="P30" s="2"/>
    </row>
    <row r="31" ht="18.0" customHeight="1">
      <c r="A31" s="38"/>
      <c r="B31" s="40"/>
      <c r="C31" s="41"/>
      <c r="D31" s="41"/>
      <c r="E31" s="2"/>
      <c r="F31" s="38">
        <f>IFERROR(__xludf.DUMMYFUNCTION("""COMPUTED_VALUE"""),46318.0)</f>
        <v>46318</v>
      </c>
      <c r="G31" s="42">
        <f>IFERROR(__xludf.DUMMYFUNCTION("""COMPUTED_VALUE"""),0.5875)</f>
        <v>0.5875</v>
      </c>
      <c r="H31" s="41" t="str">
        <f>IFERROR(__xludf.DUMMYFUNCTION("""COMPUTED_VALUE"""),"Ovqat")</f>
        <v>Ovqat</v>
      </c>
      <c r="I31" s="40">
        <f>IFERROR(__xludf.DUMMYFUNCTION("""COMPUTED_VALUE"""),35000.0)</f>
        <v>35000</v>
      </c>
      <c r="J31" s="41"/>
      <c r="K31" s="41" t="str">
        <f>IFERROR(__xludf.DUMMYFUNCTION("""COMPUTED_VALUE"""),"Обед озим")</f>
        <v>Обед озим</v>
      </c>
      <c r="L31" s="2"/>
      <c r="M31" s="41"/>
      <c r="N31" s="47"/>
      <c r="O31" s="41"/>
      <c r="P31" s="2"/>
    </row>
    <row r="32" ht="18.0" customHeight="1">
      <c r="A32" s="38"/>
      <c r="B32" s="40"/>
      <c r="C32" s="41"/>
      <c r="D32" s="41"/>
      <c r="E32" s="2"/>
      <c r="F32" s="38">
        <f>IFERROR(__xludf.DUMMYFUNCTION("""COMPUTED_VALUE"""),46318.0)</f>
        <v>46318</v>
      </c>
      <c r="G32" s="42">
        <f>IFERROR(__xludf.DUMMYFUNCTION("""COMPUTED_VALUE"""),0.37083333333333335)</f>
        <v>0.3708333333</v>
      </c>
      <c r="H32" s="41" t="str">
        <f>IFERROR(__xludf.DUMMYFUNCTION("""COMPUTED_VALUE"""),"Usluga (xizmatlar)")</f>
        <v>Usluga (xizmatlar)</v>
      </c>
      <c r="I32" s="40">
        <f>IFERROR(__xludf.DUMMYFUNCTION("""COMPUTED_VALUE"""),81000.0)</f>
        <v>81000</v>
      </c>
      <c r="J32" s="41"/>
      <c r="K32" s="41" t="str">
        <f>IFERROR(__xludf.DUMMYFUNCTION("""COMPUTED_VALUE"""),"Арра чах")</f>
        <v>Арра чах</v>
      </c>
      <c r="L32" s="2"/>
      <c r="M32" s="41"/>
      <c r="N32" s="47"/>
      <c r="O32" s="41"/>
      <c r="P32" s="2"/>
    </row>
    <row r="33" ht="18.0" customHeight="1">
      <c r="A33" s="38"/>
      <c r="B33" s="40"/>
      <c r="C33" s="41"/>
      <c r="D33" s="41"/>
      <c r="E33" s="2"/>
      <c r="F33" s="38">
        <f>IFERROR(__xludf.DUMMYFUNCTION("""COMPUTED_VALUE"""),46317.0)</f>
        <v>46317</v>
      </c>
      <c r="G33" s="42">
        <f>IFERROR(__xludf.DUMMYFUNCTION("""COMPUTED_VALUE"""),0.6652777777777777)</f>
        <v>0.6652777778</v>
      </c>
      <c r="H33" s="41" t="str">
        <f>IFERROR(__xludf.DUMMYFUNCTION("""COMPUTED_VALUE"""),"Zapravka")</f>
        <v>Zapravka</v>
      </c>
      <c r="I33" s="40">
        <f>IFERROR(__xludf.DUMMYFUNCTION("""COMPUTED_VALUE"""),200000.0)</f>
        <v>200000</v>
      </c>
      <c r="J33" s="41"/>
      <c r="K33" s="41" t="str">
        <f>IFERROR(__xludf.DUMMYFUNCTION("""COMPUTED_VALUE"""),"Газ чанган")</f>
        <v>Газ чанган</v>
      </c>
      <c r="L33" s="2"/>
      <c r="M33" s="41"/>
      <c r="N33" s="47"/>
      <c r="O33" s="41"/>
      <c r="P33" s="2"/>
    </row>
    <row r="34" ht="18.0" customHeight="1">
      <c r="A34" s="38"/>
      <c r="B34" s="40"/>
      <c r="C34" s="41"/>
      <c r="D34" s="41"/>
      <c r="E34" s="2"/>
      <c r="F34" s="38">
        <f>IFERROR(__xludf.DUMMYFUNCTION("""COMPUTED_VALUE"""),46317.0)</f>
        <v>46317</v>
      </c>
      <c r="G34" s="42">
        <f>IFERROR(__xludf.DUMMYFUNCTION("""COMPUTED_VALUE"""),0.6618055555555555)</f>
        <v>0.6618055556</v>
      </c>
      <c r="H34" s="41" t="str">
        <f>IFERROR(__xludf.DUMMYFUNCTION("""COMPUTED_VALUE"""),"Ovqat")</f>
        <v>Ovqat</v>
      </c>
      <c r="I34" s="40">
        <f>IFERROR(__xludf.DUMMYFUNCTION("""COMPUTED_VALUE"""),35000.0)</f>
        <v>35000</v>
      </c>
      <c r="J34" s="41"/>
      <c r="K34" s="41" t="str">
        <f>IFERROR(__xludf.DUMMYFUNCTION("""COMPUTED_VALUE"""),"Обед озим")</f>
        <v>Обед озим</v>
      </c>
      <c r="L34" s="2"/>
      <c r="M34" s="41"/>
      <c r="N34" s="47"/>
      <c r="O34" s="41"/>
      <c r="P34" s="2"/>
    </row>
    <row r="35" ht="18.0" customHeight="1">
      <c r="A35" s="38"/>
      <c r="B35" s="40"/>
      <c r="C35" s="41"/>
      <c r="D35" s="41"/>
      <c r="E35" s="2"/>
      <c r="F35" s="38">
        <f>IFERROR(__xludf.DUMMYFUNCTION("""COMPUTED_VALUE"""),46316.0)</f>
        <v>46316</v>
      </c>
      <c r="G35" s="42">
        <f>IFERROR(__xludf.DUMMYFUNCTION("""COMPUTED_VALUE"""),0.7597222222222222)</f>
        <v>0.7597222222</v>
      </c>
      <c r="H35" s="41" t="str">
        <f>IFERROR(__xludf.DUMMYFUNCTION("""COMPUTED_VALUE"""),"Rahbarga (shaxsiy)")</f>
        <v>Rahbarga (shaxsiy)</v>
      </c>
      <c r="I35" s="40">
        <f>IFERROR(__xludf.DUMMYFUNCTION("""COMPUTED_VALUE"""),35000.0)</f>
        <v>35000</v>
      </c>
      <c r="J35" s="41"/>
      <c r="K35" s="41" t="str">
        <f>IFERROR(__xludf.DUMMYFUNCTION("""COMPUTED_VALUE"""),"Обед")</f>
        <v>Обед</v>
      </c>
      <c r="L35" s="2"/>
      <c r="M35" s="41"/>
      <c r="N35" s="47"/>
      <c r="O35" s="41"/>
      <c r="P35" s="2"/>
    </row>
    <row r="36" ht="18.0" customHeight="1">
      <c r="A36" s="38"/>
      <c r="B36" s="40"/>
      <c r="C36" s="41"/>
      <c r="D36" s="41"/>
      <c r="E36" s="2"/>
      <c r="F36" s="38">
        <f>IFERROR(__xludf.DUMMYFUNCTION("""COMPUTED_VALUE"""),46316.0)</f>
        <v>46316</v>
      </c>
      <c r="G36" s="42">
        <f>IFERROR(__xludf.DUMMYFUNCTION("""COMPUTED_VALUE"""),0.7465277777777778)</f>
        <v>0.7465277778</v>
      </c>
      <c r="H36" s="41" t="str">
        <f>IFERROR(__xludf.DUMMYFUNCTION("""COMPUTED_VALUE"""),"Zapravka")</f>
        <v>Zapravka</v>
      </c>
      <c r="I36" s="40">
        <f>IFERROR(__xludf.DUMMYFUNCTION("""COMPUTED_VALUE"""),100000.0)</f>
        <v>100000</v>
      </c>
      <c r="J36" s="41"/>
      <c r="K36" s="41" t="str">
        <f>IFERROR(__xludf.DUMMYFUNCTION("""COMPUTED_VALUE"""),"Бензин")</f>
        <v>Бензин</v>
      </c>
      <c r="L36" s="2"/>
      <c r="M36" s="41"/>
      <c r="N36" s="47"/>
      <c r="O36" s="41"/>
      <c r="P36" s="2"/>
    </row>
    <row r="37" ht="18.0" customHeight="1">
      <c r="A37" s="38"/>
      <c r="B37" s="40"/>
      <c r="C37" s="41"/>
      <c r="D37" s="41"/>
      <c r="E37" s="2"/>
      <c r="F37" s="38">
        <f>IFERROR(__xludf.DUMMYFUNCTION("""COMPUTED_VALUE"""),46316.0)</f>
        <v>46316</v>
      </c>
      <c r="G37" s="42">
        <f>IFERROR(__xludf.DUMMYFUNCTION("""COMPUTED_VALUE"""),0.6569444444444444)</f>
        <v>0.6569444444</v>
      </c>
      <c r="H37" s="41" t="str">
        <f>IFERROR(__xludf.DUMMYFUNCTION("""COMPUTED_VALUE"""),"Ovqat")</f>
        <v>Ovqat</v>
      </c>
      <c r="I37" s="40">
        <f>IFERROR(__xludf.DUMMYFUNCTION("""COMPUTED_VALUE"""),35000.0)</f>
        <v>35000</v>
      </c>
      <c r="J37" s="41"/>
      <c r="K37" s="41" t="str">
        <f>IFERROR(__xludf.DUMMYFUNCTION("""COMPUTED_VALUE"""),"Обед озим")</f>
        <v>Обед озим</v>
      </c>
      <c r="L37" s="2"/>
      <c r="M37" s="41"/>
      <c r="N37" s="47"/>
      <c r="O37" s="41"/>
      <c r="P37" s="2"/>
    </row>
    <row r="38" ht="18.0" customHeight="1">
      <c r="A38" s="38"/>
      <c r="B38" s="40"/>
      <c r="C38" s="41"/>
      <c r="D38" s="41"/>
      <c r="E38" s="2"/>
      <c r="F38" s="38">
        <f>IFERROR(__xludf.DUMMYFUNCTION("""COMPUTED_VALUE"""),46316.0)</f>
        <v>46316</v>
      </c>
      <c r="G38" s="42">
        <f>IFERROR(__xludf.DUMMYFUNCTION("""COMPUTED_VALUE"""),0.4041666666666667)</f>
        <v>0.4041666667</v>
      </c>
      <c r="H38" s="41" t="str">
        <f>IFERROR(__xludf.DUMMYFUNCTION("""COMPUTED_VALUE"""),"Kommunal xizmatlar")</f>
        <v>Kommunal xizmatlar</v>
      </c>
      <c r="I38" s="40">
        <f>IFERROR(__xludf.DUMMYFUNCTION("""COMPUTED_VALUE"""),50000.0)</f>
        <v>50000</v>
      </c>
      <c r="J38" s="41"/>
      <c r="K38" s="41" t="str">
        <f>IFERROR(__xludf.DUMMYFUNCTION("""COMPUTED_VALUE"""),"Свет ишхона")</f>
        <v>Свет ишхона</v>
      </c>
      <c r="L38" s="2"/>
      <c r="M38" s="41"/>
      <c r="N38" s="47"/>
      <c r="O38" s="41"/>
      <c r="P38" s="2"/>
    </row>
    <row r="39" ht="18.0" customHeight="1">
      <c r="A39" s="38"/>
      <c r="B39" s="40"/>
      <c r="C39" s="41"/>
      <c r="D39" s="41"/>
      <c r="E39" s="2"/>
      <c r="F39" s="38">
        <f>IFERROR(__xludf.DUMMYFUNCTION("""COMPUTED_VALUE"""),46315.0)</f>
        <v>46315</v>
      </c>
      <c r="G39" s="42">
        <f>IFERROR(__xludf.DUMMYFUNCTION("""COMPUTED_VALUE"""),0.6993055555555555)</f>
        <v>0.6993055556</v>
      </c>
      <c r="H39" s="41" t="str">
        <f>IFERROR(__xludf.DUMMYFUNCTION("""COMPUTED_VALUE"""),"Usluga (xizmatlar)")</f>
        <v>Usluga (xizmatlar)</v>
      </c>
      <c r="I39" s="40">
        <f>IFERROR(__xludf.DUMMYFUNCTION("""COMPUTED_VALUE"""),40000.0)</f>
        <v>40000</v>
      </c>
      <c r="J39" s="41">
        <f>IFERROR(__xludf.DUMMYFUNCTION("""COMPUTED_VALUE"""),391.0)</f>
        <v>391</v>
      </c>
      <c r="K39" s="41" t="str">
        <f>IFERROR(__xludf.DUMMYFUNCTION("""COMPUTED_VALUE"""),"Кромка")</f>
        <v>Кромка</v>
      </c>
      <c r="L39" s="2"/>
      <c r="M39" s="41"/>
      <c r="N39" s="47"/>
      <c r="O39" s="41"/>
      <c r="P39" s="2"/>
    </row>
    <row r="40" ht="18.0" customHeight="1">
      <c r="A40" s="38"/>
      <c r="B40" s="40"/>
      <c r="C40" s="41"/>
      <c r="D40" s="41"/>
      <c r="E40" s="2"/>
      <c r="F40" s="38">
        <f>IFERROR(__xludf.DUMMYFUNCTION("""COMPUTED_VALUE"""),46315.0)</f>
        <v>46315</v>
      </c>
      <c r="G40" s="42">
        <f>IFERROR(__xludf.DUMMYFUNCTION("""COMPUTED_VALUE"""),0.6993055555555555)</f>
        <v>0.6993055556</v>
      </c>
      <c r="H40" s="41" t="str">
        <f>IFERROR(__xludf.DUMMYFUNCTION("""COMPUTED_VALUE"""),"Ovqat")</f>
        <v>Ovqat</v>
      </c>
      <c r="I40" s="40">
        <f>IFERROR(__xludf.DUMMYFUNCTION("""COMPUTED_VALUE"""),35000.0)</f>
        <v>35000</v>
      </c>
      <c r="J40" s="41"/>
      <c r="K40" s="41" t="str">
        <f>IFERROR(__xludf.DUMMYFUNCTION("""COMPUTED_VALUE"""),"Обед озим")</f>
        <v>Обед озим</v>
      </c>
      <c r="L40" s="2"/>
      <c r="M40" s="41"/>
      <c r="N40" s="47"/>
      <c r="O40" s="41"/>
      <c r="P40" s="2"/>
    </row>
    <row r="41" ht="18.0" customHeight="1">
      <c r="A41" s="38"/>
      <c r="B41" s="40"/>
      <c r="C41" s="41"/>
      <c r="D41" s="41"/>
      <c r="E41" s="2"/>
      <c r="F41" s="38">
        <f>IFERROR(__xludf.DUMMYFUNCTION("""COMPUTED_VALUE"""),46315.0)</f>
        <v>46315</v>
      </c>
      <c r="G41" s="42">
        <f>IFERROR(__xludf.DUMMYFUNCTION("""COMPUTED_VALUE"""),0.6069444444444444)</f>
        <v>0.6069444444</v>
      </c>
      <c r="H41" s="41" t="str">
        <f>IFERROR(__xludf.DUMMYFUNCTION("""COMPUTED_VALUE"""),"Zapravka")</f>
        <v>Zapravka</v>
      </c>
      <c r="I41" s="40">
        <f>IFERROR(__xludf.DUMMYFUNCTION("""COMPUTED_VALUE"""),200000.0)</f>
        <v>200000</v>
      </c>
      <c r="J41" s="41"/>
      <c r="K41" s="41" t="str">
        <f>IFERROR(__xludf.DUMMYFUNCTION("""COMPUTED_VALUE"""),"Газ")</f>
        <v>Газ</v>
      </c>
      <c r="L41" s="2"/>
      <c r="M41" s="41"/>
      <c r="N41" s="47"/>
      <c r="O41" s="41"/>
      <c r="P41" s="2"/>
    </row>
    <row r="42" ht="18.0" customHeight="1">
      <c r="A42" s="38"/>
      <c r="B42" s="40"/>
      <c r="C42" s="41"/>
      <c r="D42" s="41"/>
      <c r="E42" s="2"/>
      <c r="F42" s="38">
        <f>IFERROR(__xludf.DUMMYFUNCTION("""COMPUTED_VALUE"""),46315.0)</f>
        <v>46315</v>
      </c>
      <c r="G42" s="42">
        <f>IFERROR(__xludf.DUMMYFUNCTION("""COMPUTED_VALUE"""),0.5916666666666667)</f>
        <v>0.5916666667</v>
      </c>
      <c r="H42" s="41" t="str">
        <f>IFERROR(__xludf.DUMMYFUNCTION("""COMPUTED_VALUE"""),"Furnitura")</f>
        <v>Furnitura</v>
      </c>
      <c r="I42" s="40">
        <f>IFERROR(__xludf.DUMMYFUNCTION("""COMPUTED_VALUE"""),30000.0)</f>
        <v>30000</v>
      </c>
      <c r="J42" s="41">
        <f>IFERROR(__xludf.DUMMYFUNCTION("""COMPUTED_VALUE"""),388.0)</f>
        <v>388</v>
      </c>
      <c r="K42" s="41" t="str">
        <f>IFERROR(__xludf.DUMMYFUNCTION("""COMPUTED_VALUE"""),"Паста шпаклевка")</f>
        <v>Паста шпаклевка</v>
      </c>
      <c r="L42" s="2"/>
      <c r="M42" s="41"/>
      <c r="N42" s="47"/>
      <c r="O42" s="41"/>
      <c r="P42" s="2"/>
    </row>
    <row r="43" ht="18.0" customHeight="1">
      <c r="A43" s="38"/>
      <c r="B43" s="40"/>
      <c r="C43" s="41"/>
      <c r="D43" s="41"/>
      <c r="E43" s="2"/>
      <c r="F43" s="38">
        <f>IFERROR(__xludf.DUMMYFUNCTION("""COMPUTED_VALUE"""),46315.0)</f>
        <v>46315</v>
      </c>
      <c r="G43" s="42">
        <f>IFERROR(__xludf.DUMMYFUNCTION("""COMPUTED_VALUE"""),0.5909722222222222)</f>
        <v>0.5909722222</v>
      </c>
      <c r="H43" s="41" t="str">
        <f>IFERROR(__xludf.DUMMYFUNCTION("""COMPUTED_VALUE"""),"Usluga (xizmatlar)")</f>
        <v>Usluga (xizmatlar)</v>
      </c>
      <c r="I43" s="40">
        <f>IFERROR(__xludf.DUMMYFUNCTION("""COMPUTED_VALUE"""),35000.0)</f>
        <v>35000</v>
      </c>
      <c r="J43" s="41">
        <f>IFERROR(__xludf.DUMMYFUNCTION("""COMPUTED_VALUE"""),391.0)</f>
        <v>391</v>
      </c>
      <c r="K43" s="41" t="str">
        <f>IFERROR(__xludf.DUMMYFUNCTION("""COMPUTED_VALUE"""),"Кромка обувница")</f>
        <v>Кромка обувница</v>
      </c>
      <c r="L43" s="2"/>
      <c r="M43" s="41"/>
      <c r="N43" s="47"/>
      <c r="O43" s="41"/>
      <c r="P43" s="2"/>
    </row>
    <row r="44" ht="18.0" customHeight="1">
      <c r="A44" s="38"/>
      <c r="B44" s="40"/>
      <c r="C44" s="41"/>
      <c r="D44" s="41"/>
      <c r="E44" s="2"/>
      <c r="F44" s="38">
        <f>IFERROR(__xludf.DUMMYFUNCTION("""COMPUTED_VALUE"""),46314.0)</f>
        <v>46314</v>
      </c>
      <c r="G44" s="42">
        <f>IFERROR(__xludf.DUMMYFUNCTION("""COMPUTED_VALUE"""),0.9076388888888889)</f>
        <v>0.9076388889</v>
      </c>
      <c r="H44" s="41" t="str">
        <f>IFERROR(__xludf.DUMMYFUNCTION("""COMPUTED_VALUE"""),"Usluga (xizmatlar)")</f>
        <v>Usluga (xizmatlar)</v>
      </c>
      <c r="I44" s="40">
        <f>IFERROR(__xludf.DUMMYFUNCTION("""COMPUTED_VALUE"""),212000.0)</f>
        <v>212000</v>
      </c>
      <c r="J44" s="41">
        <f>IFERROR(__xludf.DUMMYFUNCTION("""COMPUTED_VALUE"""),395.0)</f>
        <v>395</v>
      </c>
      <c r="K44" s="41" t="str">
        <f>IFERROR(__xludf.DUMMYFUNCTION("""COMPUTED_VALUE"""),"Кромка ровер")</f>
        <v>Кромка ровер</v>
      </c>
      <c r="L44" s="2"/>
      <c r="M44" s="41"/>
      <c r="N44" s="47"/>
      <c r="O44" s="41"/>
      <c r="P44" s="2"/>
    </row>
    <row r="45" ht="18.0" customHeight="1">
      <c r="A45" s="38"/>
      <c r="B45" s="40"/>
      <c r="C45" s="41"/>
      <c r="D45" s="41"/>
      <c r="E45" s="2"/>
      <c r="F45" s="38">
        <f>IFERROR(__xludf.DUMMYFUNCTION("""COMPUTED_VALUE"""),46314.0)</f>
        <v>46314</v>
      </c>
      <c r="G45" s="42">
        <f>IFERROR(__xludf.DUMMYFUNCTION("""COMPUTED_VALUE"""),0.7965277777777777)</f>
        <v>0.7965277778</v>
      </c>
      <c r="H45" s="41" t="str">
        <f>IFERROR(__xludf.DUMMYFUNCTION("""COMPUTED_VALUE"""),"Ойлик (ish haqi)")</f>
        <v>Ойлик (ish haqi)</v>
      </c>
      <c r="I45" s="40">
        <f>IFERROR(__xludf.DUMMYFUNCTION("""COMPUTED_VALUE"""),150000.0)</f>
        <v>150000</v>
      </c>
      <c r="J45" s="41"/>
      <c r="K45" s="41" t="str">
        <f>IFERROR(__xludf.DUMMYFUNCTION("""COMPUTED_VALUE"""),"Ойлик")</f>
        <v>Ойлик</v>
      </c>
      <c r="L45" s="2"/>
      <c r="M45" s="41"/>
      <c r="N45" s="47"/>
      <c r="O45" s="41"/>
      <c r="P45" s="2"/>
    </row>
    <row r="46" ht="18.0" customHeight="1">
      <c r="A46" s="38"/>
      <c r="B46" s="40"/>
      <c r="C46" s="41"/>
      <c r="D46" s="41"/>
      <c r="E46" s="2"/>
      <c r="F46" s="38">
        <f>IFERROR(__xludf.DUMMYFUNCTION("""COMPUTED_VALUE"""),46314.0)</f>
        <v>46314</v>
      </c>
      <c r="G46" s="42">
        <f>IFERROR(__xludf.DUMMYFUNCTION("""COMPUTED_VALUE"""),0.7944444444444444)</f>
        <v>0.7944444444</v>
      </c>
      <c r="H46" s="41" t="str">
        <f>IFERROR(__xludf.DUMMYFUNCTION("""COMPUTED_VALUE"""),"Furnitura")</f>
        <v>Furnitura</v>
      </c>
      <c r="I46" s="40">
        <f>IFERROR(__xludf.DUMMYFUNCTION("""COMPUTED_VALUE"""),1632000.0)</f>
        <v>1632000</v>
      </c>
      <c r="J46" s="41">
        <f>IFERROR(__xludf.DUMMYFUNCTION("""COMPUTED_VALUE"""),399.0)</f>
        <v>399</v>
      </c>
      <c r="K46" s="41" t="str">
        <f>IFERROR(__xludf.DUMMYFUNCTION("""COMPUTED_VALUE"""),"Краска астар раствор")</f>
        <v>Краска астар раствор</v>
      </c>
      <c r="L46" s="2"/>
      <c r="M46" s="41"/>
      <c r="N46" s="47"/>
      <c r="O46" s="41"/>
      <c r="P46" s="2"/>
    </row>
    <row r="47" ht="18.0" customHeight="1">
      <c r="A47" s="38"/>
      <c r="B47" s="40"/>
      <c r="C47" s="41"/>
      <c r="D47" s="41"/>
      <c r="E47" s="2"/>
      <c r="F47" s="38">
        <f>IFERROR(__xludf.DUMMYFUNCTION("""COMPUTED_VALUE"""),46314.0)</f>
        <v>46314</v>
      </c>
      <c r="G47" s="42">
        <f>IFERROR(__xludf.DUMMYFUNCTION("""COMPUTED_VALUE"""),0.7923611111111111)</f>
        <v>0.7923611111</v>
      </c>
      <c r="H47" s="41" t="str">
        <f>IFERROR(__xludf.DUMMYFUNCTION("""COMPUTED_VALUE"""),"Furnitura")</f>
        <v>Furnitura</v>
      </c>
      <c r="I47" s="40">
        <f>IFERROR(__xludf.DUMMYFUNCTION("""COMPUTED_VALUE"""),4152000.0)</f>
        <v>4152000</v>
      </c>
      <c r="J47" s="41">
        <f>IFERROR(__xludf.DUMMYFUNCTION("""COMPUTED_VALUE"""),397.0)</f>
        <v>397</v>
      </c>
      <c r="K47" s="41" t="str">
        <f>IFERROR(__xludf.DUMMYFUNCTION("""COMPUTED_VALUE"""),"Краска астар раствор")</f>
        <v>Краска астар раствор</v>
      </c>
      <c r="L47" s="2"/>
      <c r="M47" s="41"/>
      <c r="N47" s="47"/>
      <c r="O47" s="41"/>
      <c r="P47" s="2"/>
    </row>
    <row r="48" ht="18.0" customHeight="1">
      <c r="A48" s="38"/>
      <c r="B48" s="40"/>
      <c r="C48" s="41"/>
      <c r="D48" s="41"/>
      <c r="E48" s="2"/>
      <c r="F48" s="38">
        <f>IFERROR(__xludf.DUMMYFUNCTION("""COMPUTED_VALUE"""),46314.0)</f>
        <v>46314</v>
      </c>
      <c r="G48" s="42">
        <f>IFERROR(__xludf.DUMMYFUNCTION("""COMPUTED_VALUE"""),0.7868055555555555)</f>
        <v>0.7868055556</v>
      </c>
      <c r="H48" s="41" t="str">
        <f>IFERROR(__xludf.DUMMYFUNCTION("""COMPUTED_VALUE"""),"Furnitura")</f>
        <v>Furnitura</v>
      </c>
      <c r="I48" s="40">
        <f>IFERROR(__xludf.DUMMYFUNCTION("""COMPUTED_VALUE"""),470000.0)</f>
        <v>470000</v>
      </c>
      <c r="J48" s="41">
        <f>IFERROR(__xludf.DUMMYFUNCTION("""COMPUTED_VALUE"""),388.0)</f>
        <v>388</v>
      </c>
      <c r="K48" s="41" t="str">
        <f>IFERROR(__xludf.DUMMYFUNCTION("""COMPUTED_VALUE"""),"Ойна подсветка")</f>
        <v>Ойна подсветка</v>
      </c>
      <c r="L48" s="2"/>
      <c r="M48" s="41"/>
      <c r="N48" s="47"/>
      <c r="O48" s="41"/>
      <c r="P48" s="2"/>
    </row>
    <row r="49" ht="18.0" customHeight="1">
      <c r="A49" s="38"/>
      <c r="B49" s="40"/>
      <c r="C49" s="41"/>
      <c r="D49" s="41"/>
      <c r="E49" s="2"/>
      <c r="F49" s="38">
        <f>IFERROR(__xludf.DUMMYFUNCTION("""COMPUTED_VALUE"""),46314.0)</f>
        <v>46314</v>
      </c>
      <c r="G49" s="42">
        <f>IFERROR(__xludf.DUMMYFUNCTION("""COMPUTED_VALUE"""),0.7847222222222222)</f>
        <v>0.7847222222</v>
      </c>
      <c r="H49" s="41" t="str">
        <f>IFERROR(__xludf.DUMMYFUNCTION("""COMPUTED_VALUE"""),"Furnitura")</f>
        <v>Furnitura</v>
      </c>
      <c r="I49" s="40">
        <f>IFERROR(__xludf.DUMMYFUNCTION("""COMPUTED_VALUE"""),886000.0)</f>
        <v>886000</v>
      </c>
      <c r="J49" s="41">
        <f>IFERROR(__xludf.DUMMYFUNCTION("""COMPUTED_VALUE"""),395.0)</f>
        <v>395</v>
      </c>
      <c r="K49" s="41" t="str">
        <f>IFERROR(__xludf.DUMMYFUNCTION("""COMPUTED_VALUE"""),"Ойна подсветка")</f>
        <v>Ойна подсветка</v>
      </c>
      <c r="L49" s="2"/>
      <c r="M49" s="41"/>
      <c r="N49" s="47"/>
      <c r="O49" s="41"/>
      <c r="P49" s="2"/>
    </row>
    <row r="50" ht="18.0" customHeight="1">
      <c r="A50" s="38"/>
      <c r="B50" s="40"/>
      <c r="C50" s="41"/>
      <c r="D50" s="41"/>
      <c r="E50" s="2"/>
      <c r="F50" s="38">
        <f>IFERROR(__xludf.DUMMYFUNCTION("""COMPUTED_VALUE"""),46314.0)</f>
        <v>46314</v>
      </c>
      <c r="G50" s="42">
        <f>IFERROR(__xludf.DUMMYFUNCTION("""COMPUTED_VALUE"""),0.7833333333333333)</f>
        <v>0.7833333333</v>
      </c>
      <c r="H50" s="41" t="str">
        <f>IFERROR(__xludf.DUMMYFUNCTION("""COMPUTED_VALUE"""),"Заказ материал")</f>
        <v>Заказ материал</v>
      </c>
      <c r="I50" s="40">
        <f>IFERROR(__xludf.DUMMYFUNCTION("""COMPUTED_VALUE"""),3.96E7)</f>
        <v>39600000</v>
      </c>
      <c r="J50" s="41">
        <f>IFERROR(__xludf.DUMMYFUNCTION("""COMPUTED_VALUE"""),378.0)</f>
        <v>378</v>
      </c>
      <c r="K50" s="41" t="str">
        <f>IFERROR(__xludf.DUMMYFUNCTION("""COMPUTED_VALUE"""),"Тош")</f>
        <v>Тош</v>
      </c>
      <c r="L50" s="2"/>
      <c r="M50" s="41"/>
      <c r="N50" s="47"/>
      <c r="O50" s="41"/>
      <c r="P50" s="2"/>
    </row>
    <row r="51" ht="18.0" customHeight="1">
      <c r="A51" s="38"/>
      <c r="B51" s="40"/>
      <c r="C51" s="41"/>
      <c r="D51" s="41"/>
      <c r="E51" s="2"/>
      <c r="F51" s="38">
        <f>IFERROR(__xludf.DUMMYFUNCTION("""COMPUTED_VALUE"""),46314.0)</f>
        <v>46314</v>
      </c>
      <c r="G51" s="42">
        <f>IFERROR(__xludf.DUMMYFUNCTION("""COMPUTED_VALUE"""),0.7819444444444444)</f>
        <v>0.7819444444</v>
      </c>
      <c r="H51" s="41" t="str">
        <f>IFERROR(__xludf.DUMMYFUNCTION("""COMPUTED_VALUE"""),"Furnitura")</f>
        <v>Furnitura</v>
      </c>
      <c r="I51" s="40">
        <f>IFERROR(__xludf.DUMMYFUNCTION("""COMPUTED_VALUE"""),5520000.0)</f>
        <v>5520000</v>
      </c>
      <c r="J51" s="41">
        <f>IFERROR(__xludf.DUMMYFUNCTION("""COMPUTED_VALUE"""),378.0)</f>
        <v>378</v>
      </c>
      <c r="K51" s="41" t="str">
        <f>IFERROR(__xludf.DUMMYFUNCTION("""COMPUTED_VALUE"""),"Матрас")</f>
        <v>Матрас</v>
      </c>
      <c r="L51" s="2"/>
      <c r="M51" s="41"/>
      <c r="N51" s="47"/>
      <c r="O51" s="41"/>
      <c r="P51" s="2"/>
    </row>
    <row r="52" ht="18.0" customHeight="1">
      <c r="A52" s="38"/>
      <c r="B52" s="40"/>
      <c r="C52" s="41"/>
      <c r="D52" s="41"/>
      <c r="E52" s="2"/>
      <c r="F52" s="38">
        <f>IFERROR(__xludf.DUMMYFUNCTION("""COMPUTED_VALUE"""),46314.0)</f>
        <v>46314</v>
      </c>
      <c r="G52" s="42">
        <f>IFERROR(__xludf.DUMMYFUNCTION("""COMPUTED_VALUE"""),0.78125)</f>
        <v>0.78125</v>
      </c>
      <c r="H52" s="41" t="str">
        <f>IFERROR(__xludf.DUMMYFUNCTION("""COMPUTED_VALUE"""),"Furnitura")</f>
        <v>Furnitura</v>
      </c>
      <c r="I52" s="40">
        <f>IFERROR(__xludf.DUMMYFUNCTION("""COMPUTED_VALUE"""),720000.0)</f>
        <v>720000</v>
      </c>
      <c r="J52" s="41"/>
      <c r="K52" s="41" t="str">
        <f>IFERROR(__xludf.DUMMYFUNCTION("""COMPUTED_VALUE"""),"Матрас карз")</f>
        <v>Матрас карз</v>
      </c>
      <c r="L52" s="2"/>
      <c r="M52" s="41"/>
      <c r="N52" s="47"/>
      <c r="O52" s="41"/>
      <c r="P52" s="2"/>
    </row>
    <row r="53" ht="18.0" customHeight="1">
      <c r="A53" s="38"/>
      <c r="B53" s="40"/>
      <c r="C53" s="41"/>
      <c r="D53" s="41"/>
      <c r="E53" s="2"/>
      <c r="F53" s="38">
        <f>IFERROR(__xludf.DUMMYFUNCTION("""COMPUTED_VALUE"""),46314.0)</f>
        <v>46314</v>
      </c>
      <c r="G53" s="42">
        <f>IFERROR(__xludf.DUMMYFUNCTION("""COMPUTED_VALUE"""),0.7798611111111111)</f>
        <v>0.7798611111</v>
      </c>
      <c r="H53" s="41" t="str">
        <f>IFERROR(__xludf.DUMMYFUNCTION("""COMPUTED_VALUE"""),"Furnitura")</f>
        <v>Furnitura</v>
      </c>
      <c r="I53" s="40">
        <f>IFERROR(__xludf.DUMMYFUNCTION("""COMPUTED_VALUE"""),1620000.0)</f>
        <v>1620000</v>
      </c>
      <c r="J53" s="41">
        <f>IFERROR(__xludf.DUMMYFUNCTION("""COMPUTED_VALUE"""),386.0)</f>
        <v>386</v>
      </c>
      <c r="K53" s="41" t="str">
        <f>IFERROR(__xludf.DUMMYFUNCTION("""COMPUTED_VALUE"""),"Матрас")</f>
        <v>Матрас</v>
      </c>
      <c r="L53" s="2"/>
      <c r="M53" s="41"/>
      <c r="N53" s="47"/>
      <c r="O53" s="41"/>
      <c r="P53" s="2"/>
    </row>
    <row r="54" ht="18.0" customHeight="1">
      <c r="A54" s="38"/>
      <c r="B54" s="40"/>
      <c r="C54" s="41"/>
      <c r="D54" s="41"/>
      <c r="E54" s="2"/>
      <c r="F54" s="38">
        <f>IFERROR(__xludf.DUMMYFUNCTION("""COMPUTED_VALUE"""),46314.0)</f>
        <v>46314</v>
      </c>
      <c r="G54" s="42">
        <f>IFERROR(__xludf.DUMMYFUNCTION("""COMPUTED_VALUE"""),0.7673611111111112)</f>
        <v>0.7673611111</v>
      </c>
      <c r="H54" s="41" t="str">
        <f>IFERROR(__xludf.DUMMYFUNCTION("""COMPUTED_VALUE"""),"Usluga (xizmatlar)")</f>
        <v>Usluga (xizmatlar)</v>
      </c>
      <c r="I54" s="40">
        <f>IFERROR(__xludf.DUMMYFUNCTION("""COMPUTED_VALUE"""),840000.0)</f>
        <v>840000</v>
      </c>
      <c r="J54" s="41">
        <f>IFERROR(__xludf.DUMMYFUNCTION("""COMPUTED_VALUE"""),383.0)</f>
        <v>383</v>
      </c>
      <c r="K54" s="41" t="str">
        <f>IFERROR(__xludf.DUMMYFUNCTION("""COMPUTED_VALUE"""),"Краска услуга")</f>
        <v>Краска услуга</v>
      </c>
      <c r="L54" s="2"/>
      <c r="M54" s="41"/>
      <c r="N54" s="47"/>
      <c r="O54" s="41"/>
      <c r="P54" s="2"/>
    </row>
    <row r="55" ht="18.0" customHeight="1">
      <c r="A55" s="38"/>
      <c r="B55" s="40"/>
      <c r="C55" s="41"/>
      <c r="D55" s="41"/>
      <c r="E55" s="2"/>
      <c r="F55" s="38">
        <f>IFERROR(__xludf.DUMMYFUNCTION("""COMPUTED_VALUE"""),46314.0)</f>
        <v>46314</v>
      </c>
      <c r="G55" s="42">
        <f>IFERROR(__xludf.DUMMYFUNCTION("""COMPUTED_VALUE"""),0.7659722222222223)</f>
        <v>0.7659722222</v>
      </c>
      <c r="H55" s="41" t="str">
        <f>IFERROR(__xludf.DUMMYFUNCTION("""COMPUTED_VALUE"""),"Usluga (xizmatlar)")</f>
        <v>Usluga (xizmatlar)</v>
      </c>
      <c r="I55" s="40">
        <f>IFERROR(__xludf.DUMMYFUNCTION("""COMPUTED_VALUE"""),1.056288E7)</f>
        <v>10562880</v>
      </c>
      <c r="J55" s="41">
        <f>IFERROR(__xludf.DUMMYFUNCTION("""COMPUTED_VALUE"""),378.0)</f>
        <v>378</v>
      </c>
      <c r="K55" s="41" t="str">
        <f>IFERROR(__xludf.DUMMYFUNCTION("""COMPUTED_VALUE"""),"Краска услуга")</f>
        <v>Краска услуга</v>
      </c>
      <c r="L55" s="2"/>
      <c r="M55" s="41"/>
      <c r="N55" s="47"/>
      <c r="O55" s="41"/>
      <c r="P55" s="2"/>
    </row>
    <row r="56" ht="18.0" customHeight="1">
      <c r="A56" s="38"/>
      <c r="B56" s="40"/>
      <c r="C56" s="41"/>
      <c r="D56" s="41"/>
      <c r="E56" s="2"/>
      <c r="F56" s="38">
        <f>IFERROR(__xludf.DUMMYFUNCTION("""COMPUTED_VALUE"""),46314.0)</f>
        <v>46314</v>
      </c>
      <c r="G56" s="42">
        <f>IFERROR(__xludf.DUMMYFUNCTION("""COMPUTED_VALUE"""),0.7645833333333333)</f>
        <v>0.7645833333</v>
      </c>
      <c r="H56" s="41" t="str">
        <f>IFERROR(__xludf.DUMMYFUNCTION("""COMPUTED_VALUE"""),"Remont avto")</f>
        <v>Remont avto</v>
      </c>
      <c r="I56" s="40">
        <f>IFERROR(__xludf.DUMMYFUNCTION("""COMPUTED_VALUE"""),50000.0)</f>
        <v>50000</v>
      </c>
      <c r="J56" s="41"/>
      <c r="K56" s="41" t="str">
        <f>IFERROR(__xludf.DUMMYFUNCTION("""COMPUTED_VALUE"""),"Лабо балон ямаш")</f>
        <v>Лабо балон ямаш</v>
      </c>
      <c r="L56" s="2"/>
      <c r="M56" s="41"/>
      <c r="N56" s="47"/>
      <c r="O56" s="41"/>
      <c r="P56" s="2"/>
    </row>
    <row r="57" ht="18.0" customHeight="1">
      <c r="A57" s="38"/>
      <c r="B57" s="40"/>
      <c r="C57" s="41"/>
      <c r="D57" s="41"/>
      <c r="E57" s="2"/>
      <c r="F57" s="38">
        <f>IFERROR(__xludf.DUMMYFUNCTION("""COMPUTED_VALUE"""),46314.0)</f>
        <v>46314</v>
      </c>
      <c r="G57" s="42">
        <f>IFERROR(__xludf.DUMMYFUNCTION("""COMPUTED_VALUE"""),0.7229166666666667)</f>
        <v>0.7229166667</v>
      </c>
      <c r="H57" s="41" t="str">
        <f>IFERROR(__xludf.DUMMYFUNCTION("""COMPUTED_VALUE"""),"Usluga (xizmatlar)")</f>
        <v>Usluga (xizmatlar)</v>
      </c>
      <c r="I57" s="40">
        <f>IFERROR(__xludf.DUMMYFUNCTION("""COMPUTED_VALUE"""),25000.0)</f>
        <v>25000</v>
      </c>
      <c r="J57" s="41">
        <f>IFERROR(__xludf.DUMMYFUNCTION("""COMPUTED_VALUE"""),383.0)</f>
        <v>383</v>
      </c>
      <c r="K57" s="41" t="str">
        <f>IFERROR(__xludf.DUMMYFUNCTION("""COMPUTED_VALUE"""),"Наклейка")</f>
        <v>Наклейка</v>
      </c>
      <c r="L57" s="2"/>
      <c r="M57" s="41"/>
      <c r="N57" s="47"/>
      <c r="O57" s="41"/>
      <c r="P57" s="2"/>
    </row>
    <row r="58" ht="18.0" customHeight="1">
      <c r="A58" s="38"/>
      <c r="B58" s="40"/>
      <c r="C58" s="41"/>
      <c r="D58" s="41"/>
      <c r="E58" s="2"/>
      <c r="F58" s="38">
        <f>IFERROR(__xludf.DUMMYFUNCTION("""COMPUTED_VALUE"""),46314.0)</f>
        <v>46314</v>
      </c>
      <c r="G58" s="42">
        <f>IFERROR(__xludf.DUMMYFUNCTION("""COMPUTED_VALUE"""),0.7222222222222222)</f>
        <v>0.7222222222</v>
      </c>
      <c r="H58" s="41" t="str">
        <f>IFERROR(__xludf.DUMMYFUNCTION("""COMPUTED_VALUE"""),"Usluga (xizmatlar)")</f>
        <v>Usluga (xizmatlar)</v>
      </c>
      <c r="I58" s="40">
        <f>IFERROR(__xludf.DUMMYFUNCTION("""COMPUTED_VALUE"""),20000.0)</f>
        <v>20000</v>
      </c>
      <c r="J58" s="41">
        <f>IFERROR(__xludf.DUMMYFUNCTION("""COMPUTED_VALUE"""),391.0)</f>
        <v>391</v>
      </c>
      <c r="K58" s="41" t="str">
        <f>IFERROR(__xludf.DUMMYFUNCTION("""COMPUTED_VALUE"""),"Распил")</f>
        <v>Распил</v>
      </c>
      <c r="L58" s="2"/>
      <c r="M58" s="41"/>
      <c r="N58" s="47"/>
      <c r="O58" s="41"/>
      <c r="P58" s="2"/>
    </row>
    <row r="59" ht="18.0" customHeight="1">
      <c r="A59" s="38"/>
      <c r="B59" s="40"/>
      <c r="C59" s="41"/>
      <c r="D59" s="41"/>
      <c r="E59" s="2"/>
      <c r="F59" s="38">
        <f>IFERROR(__xludf.DUMMYFUNCTION("""COMPUTED_VALUE"""),46314.0)</f>
        <v>46314</v>
      </c>
      <c r="G59" s="42">
        <f>IFERROR(__xludf.DUMMYFUNCTION("""COMPUTED_VALUE"""),0.7215277777777778)</f>
        <v>0.7215277778</v>
      </c>
      <c r="H59" s="41" t="str">
        <f>IFERROR(__xludf.DUMMYFUNCTION("""COMPUTED_VALUE"""),"Boshqa")</f>
        <v>Boshqa</v>
      </c>
      <c r="I59" s="40">
        <f>IFERROR(__xludf.DUMMYFUNCTION("""COMPUTED_VALUE"""),30000.0)</f>
        <v>30000</v>
      </c>
      <c r="J59" s="41"/>
      <c r="K59" s="41" t="str">
        <f>IFERROR(__xludf.DUMMYFUNCTION("""COMPUTED_VALUE"""),"Цех запчасть котелга")</f>
        <v>Цех запчасть котелга</v>
      </c>
      <c r="L59" s="2"/>
      <c r="M59" s="41"/>
      <c r="N59" s="47"/>
      <c r="O59" s="41"/>
      <c r="P59" s="2"/>
    </row>
    <row r="60" ht="18.0" customHeight="1">
      <c r="A60" s="38"/>
      <c r="B60" s="40"/>
      <c r="C60" s="41"/>
      <c r="D60" s="41"/>
      <c r="E60" s="2"/>
      <c r="F60" s="38">
        <f>IFERROR(__xludf.DUMMYFUNCTION("""COMPUTED_VALUE"""),46314.0)</f>
        <v>46314</v>
      </c>
      <c r="G60" s="42">
        <f>IFERROR(__xludf.DUMMYFUNCTION("""COMPUTED_VALUE"""),0.68125)</f>
        <v>0.68125</v>
      </c>
      <c r="H60" s="41" t="str">
        <f>IFERROR(__xludf.DUMMYFUNCTION("""COMPUTED_VALUE"""),"Usluga (xizmatlar)")</f>
        <v>Usluga (xizmatlar)</v>
      </c>
      <c r="I60" s="40">
        <f>IFERROR(__xludf.DUMMYFUNCTION("""COMPUTED_VALUE"""),1493880.0)</f>
        <v>1493880</v>
      </c>
      <c r="J60" s="41">
        <f>IFERROR(__xludf.DUMMYFUNCTION("""COMPUTED_VALUE"""),375.0)</f>
        <v>375</v>
      </c>
      <c r="K60" s="41" t="str">
        <f>IFERROR(__xludf.DUMMYFUNCTION("""COMPUTED_VALUE"""),"Краска услуга")</f>
        <v>Краска услуга</v>
      </c>
      <c r="L60" s="2"/>
      <c r="M60" s="41"/>
      <c r="N60" s="47"/>
      <c r="O60" s="41"/>
      <c r="P60" s="2"/>
    </row>
    <row r="61" ht="18.0" customHeight="1">
      <c r="A61" s="38"/>
      <c r="B61" s="40"/>
      <c r="C61" s="41"/>
      <c r="D61" s="41"/>
      <c r="E61" s="2"/>
      <c r="F61" s="38">
        <f>IFERROR(__xludf.DUMMYFUNCTION("""COMPUTED_VALUE"""),46314.0)</f>
        <v>46314</v>
      </c>
      <c r="G61" s="42">
        <f>IFERROR(__xludf.DUMMYFUNCTION("""COMPUTED_VALUE"""),0.6090277777777777)</f>
        <v>0.6090277778</v>
      </c>
      <c r="H61" s="41" t="str">
        <f>IFERROR(__xludf.DUMMYFUNCTION("""COMPUTED_VALUE"""),"Ovqat")</f>
        <v>Ovqat</v>
      </c>
      <c r="I61" s="40">
        <f>IFERROR(__xludf.DUMMYFUNCTION("""COMPUTED_VALUE"""),35000.0)</f>
        <v>35000</v>
      </c>
      <c r="J61" s="41"/>
      <c r="K61" s="41" t="str">
        <f>IFERROR(__xludf.DUMMYFUNCTION("""COMPUTED_VALUE"""),"Обед озим")</f>
        <v>Обед озим</v>
      </c>
      <c r="L61" s="2"/>
      <c r="M61" s="41"/>
      <c r="N61" s="47"/>
      <c r="O61" s="41"/>
      <c r="P61" s="2"/>
    </row>
    <row r="62" ht="18.0" customHeight="1">
      <c r="A62" s="38"/>
      <c r="B62" s="40"/>
      <c r="C62" s="41"/>
      <c r="D62" s="41"/>
      <c r="E62" s="2"/>
      <c r="F62" s="38">
        <f>IFERROR(__xludf.DUMMYFUNCTION("""COMPUTED_VALUE"""),46314.0)</f>
        <v>46314</v>
      </c>
      <c r="G62" s="42">
        <f>IFERROR(__xludf.DUMMYFUNCTION("""COMPUTED_VALUE"""),0.5625)</f>
        <v>0.5625</v>
      </c>
      <c r="H62" s="41" t="str">
        <f>IFERROR(__xludf.DUMMYFUNCTION("""COMPUTED_VALUE"""),"Zapravka")</f>
        <v>Zapravka</v>
      </c>
      <c r="I62" s="40">
        <f>IFERROR(__xludf.DUMMYFUNCTION("""COMPUTED_VALUE"""),130000.0)</f>
        <v>130000</v>
      </c>
      <c r="J62" s="41"/>
      <c r="K62" s="41" t="str">
        <f>IFERROR(__xludf.DUMMYFUNCTION("""COMPUTED_VALUE"""),"Газ")</f>
        <v>Газ</v>
      </c>
      <c r="L62" s="2"/>
      <c r="M62" s="41"/>
      <c r="N62" s="47"/>
      <c r="O62" s="41"/>
      <c r="P62" s="2"/>
    </row>
    <row r="63" ht="18.0" customHeight="1">
      <c r="A63" s="38"/>
      <c r="B63" s="40"/>
      <c r="C63" s="41"/>
      <c r="D63" s="41"/>
      <c r="E63" s="2"/>
      <c r="F63" s="38">
        <f>IFERROR(__xludf.DUMMYFUNCTION("""COMPUTED_VALUE"""),46314.0)</f>
        <v>46314</v>
      </c>
      <c r="G63" s="42">
        <f>IFERROR(__xludf.DUMMYFUNCTION("""COMPUTED_VALUE"""),0.4354166666666667)</f>
        <v>0.4354166667</v>
      </c>
      <c r="H63" s="41" t="str">
        <f>IFERROR(__xludf.DUMMYFUNCTION("""COMPUTED_VALUE"""),"Zapravka")</f>
        <v>Zapravka</v>
      </c>
      <c r="I63" s="40">
        <f>IFERROR(__xludf.DUMMYFUNCTION("""COMPUTED_VALUE"""),170000.0)</f>
        <v>170000</v>
      </c>
      <c r="J63" s="41"/>
      <c r="K63" s="41" t="str">
        <f>IFERROR(__xludf.DUMMYFUNCTION("""COMPUTED_VALUE"""),"Заправка")</f>
        <v>Заправка</v>
      </c>
      <c r="L63" s="2"/>
      <c r="M63" s="41"/>
      <c r="N63" s="47"/>
      <c r="O63" s="41"/>
      <c r="P63" s="2"/>
    </row>
    <row r="64" ht="18.0" customHeight="1">
      <c r="A64" s="38"/>
      <c r="B64" s="40"/>
      <c r="C64" s="41"/>
      <c r="D64" s="41"/>
      <c r="E64" s="2"/>
      <c r="F64" s="38">
        <f>IFERROR(__xludf.DUMMYFUNCTION("""COMPUTED_VALUE"""),46314.0)</f>
        <v>46314</v>
      </c>
      <c r="G64" s="42">
        <f>IFERROR(__xludf.DUMMYFUNCTION("""COMPUTED_VALUE"""),0.43472222222222223)</f>
        <v>0.4347222222</v>
      </c>
      <c r="H64" s="41" t="str">
        <f>IFERROR(__xludf.DUMMYFUNCTION("""COMPUTED_VALUE"""),"Ойлик (ish haqi)")</f>
        <v>Ойлик (ish haqi)</v>
      </c>
      <c r="I64" s="40">
        <f>IFERROR(__xludf.DUMMYFUNCTION("""COMPUTED_VALUE"""),100000.0)</f>
        <v>100000</v>
      </c>
      <c r="J64" s="41"/>
      <c r="K64" s="41" t="str">
        <f>IFERROR(__xludf.DUMMYFUNCTION("""COMPUTED_VALUE"""),"Ойлик")</f>
        <v>Ойлик</v>
      </c>
      <c r="L64" s="2"/>
      <c r="M64" s="41"/>
      <c r="N64" s="47"/>
      <c r="O64" s="41"/>
      <c r="P64" s="2"/>
    </row>
    <row r="65" ht="18.0" customHeight="1">
      <c r="A65" s="38"/>
      <c r="B65" s="40"/>
      <c r="C65" s="41"/>
      <c r="D65" s="41"/>
      <c r="E65" s="2"/>
      <c r="F65" s="38">
        <f>IFERROR(__xludf.DUMMYFUNCTION("""COMPUTED_VALUE"""),46314.0)</f>
        <v>46314</v>
      </c>
      <c r="G65" s="42">
        <f>IFERROR(__xludf.DUMMYFUNCTION("""COMPUTED_VALUE"""),0.4326388888888889)</f>
        <v>0.4326388889</v>
      </c>
      <c r="H65" s="41" t="str">
        <f>IFERROR(__xludf.DUMMYFUNCTION("""COMPUTED_VALUE"""),"Kommunal xizmatlar")</f>
        <v>Kommunal xizmatlar</v>
      </c>
      <c r="I65" s="40">
        <f>IFERROR(__xludf.DUMMYFUNCTION("""COMPUTED_VALUE"""),50000.0)</f>
        <v>50000</v>
      </c>
      <c r="J65" s="41"/>
      <c r="K65" s="41" t="str">
        <f>IFERROR(__xludf.DUMMYFUNCTION("""COMPUTED_VALUE"""),"Свет ишхона")</f>
        <v>Свет ишхона</v>
      </c>
      <c r="L65" s="2"/>
      <c r="M65" s="41"/>
      <c r="N65" s="47"/>
      <c r="O65" s="41"/>
      <c r="P65" s="2"/>
    </row>
    <row r="66" ht="18.0" customHeight="1">
      <c r="A66" s="38"/>
      <c r="B66" s="40"/>
      <c r="C66" s="41"/>
      <c r="D66" s="41"/>
      <c r="E66" s="2"/>
      <c r="F66" s="38">
        <f>IFERROR(__xludf.DUMMYFUNCTION("""COMPUTED_VALUE"""),46313.0)</f>
        <v>46313</v>
      </c>
      <c r="G66" s="42">
        <f>IFERROR(__xludf.DUMMYFUNCTION("""COMPUTED_VALUE"""),0.5777777777777777)</f>
        <v>0.5777777778</v>
      </c>
      <c r="H66" s="41" t="str">
        <f>IFERROR(__xludf.DUMMYFUNCTION("""COMPUTED_VALUE"""),"Furnitura")</f>
        <v>Furnitura</v>
      </c>
      <c r="I66" s="40">
        <f>IFERROR(__xludf.DUMMYFUNCTION("""COMPUTED_VALUE"""),21000.0)</f>
        <v>21000</v>
      </c>
      <c r="J66" s="41">
        <f>IFERROR(__xludf.DUMMYFUNCTION("""COMPUTED_VALUE"""),392.0)</f>
        <v>392</v>
      </c>
      <c r="K66" s="41" t="str">
        <f>IFERROR(__xludf.DUMMYFUNCTION("""COMPUTED_VALUE"""),"Арра")</f>
        <v>Арра</v>
      </c>
      <c r="L66" s="2"/>
      <c r="M66" s="41"/>
      <c r="N66" s="47"/>
      <c r="O66" s="41"/>
      <c r="P66" s="2"/>
    </row>
    <row r="67" ht="18.0" customHeight="1">
      <c r="A67" s="38"/>
      <c r="B67" s="40"/>
      <c r="C67" s="41"/>
      <c r="D67" s="41"/>
      <c r="E67" s="2"/>
      <c r="F67" s="38">
        <f>IFERROR(__xludf.DUMMYFUNCTION("""COMPUTED_VALUE"""),46313.0)</f>
        <v>46313</v>
      </c>
      <c r="G67" s="42">
        <f>IFERROR(__xludf.DUMMYFUNCTION("""COMPUTED_VALUE"""),0.5305555555555556)</f>
        <v>0.5305555556</v>
      </c>
      <c r="H67" s="41" t="str">
        <f>IFERROR(__xludf.DUMMYFUNCTION("""COMPUTED_VALUE"""),"Zapravka")</f>
        <v>Zapravka</v>
      </c>
      <c r="I67" s="40">
        <f>IFERROR(__xludf.DUMMYFUNCTION("""COMPUTED_VALUE"""),453000.0)</f>
        <v>453000</v>
      </c>
      <c r="J67" s="41"/>
      <c r="K67" s="41" t="str">
        <f>IFERROR(__xludf.DUMMYFUNCTION("""COMPUTED_VALUE"""),"Газ")</f>
        <v>Газ</v>
      </c>
      <c r="L67" s="2"/>
      <c r="M67" s="41"/>
      <c r="N67" s="47"/>
      <c r="O67" s="41"/>
      <c r="P67" s="2"/>
    </row>
    <row r="68" ht="18.0" customHeight="1">
      <c r="A68" s="38"/>
      <c r="B68" s="40"/>
      <c r="C68" s="41"/>
      <c r="D68" s="41"/>
      <c r="E68" s="2"/>
      <c r="F68" s="38">
        <f>IFERROR(__xludf.DUMMYFUNCTION("""COMPUTED_VALUE"""),46313.0)</f>
        <v>46313</v>
      </c>
      <c r="G68" s="42">
        <f>IFERROR(__xludf.DUMMYFUNCTION("""COMPUTED_VALUE"""),0.059027777777777776)</f>
        <v>0.05902777778</v>
      </c>
      <c r="H68" s="41" t="str">
        <f>IFERROR(__xludf.DUMMYFUNCTION("""COMPUTED_VALUE"""),"Ойлик (ish haqi)")</f>
        <v>Ойлик (ish haqi)</v>
      </c>
      <c r="I68" s="40">
        <f>IFERROR(__xludf.DUMMYFUNCTION("""COMPUTED_VALUE"""),170000.0)</f>
        <v>170000</v>
      </c>
      <c r="J68" s="41"/>
      <c r="K68" s="41" t="str">
        <f>IFERROR(__xludf.DUMMYFUNCTION("""COMPUTED_VALUE"""),"Ойлик")</f>
        <v>Ойлик</v>
      </c>
      <c r="L68" s="2"/>
      <c r="M68" s="41"/>
      <c r="N68" s="47"/>
      <c r="O68" s="41"/>
      <c r="P68" s="2"/>
    </row>
    <row r="69" ht="18.0" customHeight="1">
      <c r="A69" s="38"/>
      <c r="B69" s="40"/>
      <c r="C69" s="41"/>
      <c r="D69" s="41"/>
      <c r="E69" s="2"/>
      <c r="F69" s="38">
        <f>IFERROR(__xludf.DUMMYFUNCTION("""COMPUTED_VALUE"""),46312.0)</f>
        <v>46312</v>
      </c>
      <c r="G69" s="42">
        <f>IFERROR(__xludf.DUMMYFUNCTION("""COMPUTED_VALUE"""),0.7666666666666667)</f>
        <v>0.7666666667</v>
      </c>
      <c r="H69" s="41" t="str">
        <f>IFERROR(__xludf.DUMMYFUNCTION("""COMPUTED_VALUE"""),"Ovqat")</f>
        <v>Ovqat</v>
      </c>
      <c r="I69" s="40">
        <f>IFERROR(__xludf.DUMMYFUNCTION("""COMPUTED_VALUE"""),35000.0)</f>
        <v>35000</v>
      </c>
      <c r="J69" s="41"/>
      <c r="K69" s="41" t="str">
        <f>IFERROR(__xludf.DUMMYFUNCTION("""COMPUTED_VALUE"""),"Обед озим")</f>
        <v>Обед озим</v>
      </c>
      <c r="L69" s="2"/>
      <c r="M69" s="41"/>
      <c r="N69" s="47"/>
      <c r="O69" s="41"/>
      <c r="P69" s="2"/>
    </row>
    <row r="70" ht="18.0" customHeight="1">
      <c r="A70" s="38"/>
      <c r="B70" s="40"/>
      <c r="C70" s="41"/>
      <c r="D70" s="41"/>
      <c r="E70" s="2"/>
      <c r="F70" s="38">
        <f>IFERROR(__xludf.DUMMYFUNCTION("""COMPUTED_VALUE"""),46312.0)</f>
        <v>46312</v>
      </c>
      <c r="G70" s="42">
        <f>IFERROR(__xludf.DUMMYFUNCTION("""COMPUTED_VALUE"""),0.7659722222222223)</f>
        <v>0.7659722222</v>
      </c>
      <c r="H70" s="41" t="str">
        <f>IFERROR(__xludf.DUMMYFUNCTION("""COMPUTED_VALUE"""),"Ovqat")</f>
        <v>Ovqat</v>
      </c>
      <c r="I70" s="40">
        <f>IFERROR(__xludf.DUMMYFUNCTION("""COMPUTED_VALUE"""),20000.0)</f>
        <v>20000</v>
      </c>
      <c r="J70" s="41">
        <f>IFERROR(__xludf.DUMMYFUNCTION("""COMPUTED_VALUE"""),388.0)</f>
        <v>388</v>
      </c>
      <c r="K70" s="41" t="str">
        <f>IFERROR(__xludf.DUMMYFUNCTION("""COMPUTED_VALUE"""),"Сув болла")</f>
        <v>Сув болла</v>
      </c>
      <c r="L70" s="2"/>
      <c r="M70" s="41"/>
      <c r="N70" s="47"/>
      <c r="O70" s="41"/>
      <c r="P70" s="2"/>
    </row>
    <row r="71" ht="18.0" customHeight="1">
      <c r="A71" s="38"/>
      <c r="B71" s="40"/>
      <c r="C71" s="41"/>
      <c r="D71" s="41"/>
      <c r="E71" s="2"/>
      <c r="F71" s="38">
        <f>IFERROR(__xludf.DUMMYFUNCTION("""COMPUTED_VALUE"""),46312.0)</f>
        <v>46312</v>
      </c>
      <c r="G71" s="42">
        <f>IFERROR(__xludf.DUMMYFUNCTION("""COMPUTED_VALUE"""),0.7652777777777777)</f>
        <v>0.7652777778</v>
      </c>
      <c r="H71" s="41" t="str">
        <f>IFERROR(__xludf.DUMMYFUNCTION("""COMPUTED_VALUE"""),"Furnitura")</f>
        <v>Furnitura</v>
      </c>
      <c r="I71" s="40">
        <f>IFERROR(__xludf.DUMMYFUNCTION("""COMPUTED_VALUE"""),272000.0)</f>
        <v>272000</v>
      </c>
      <c r="J71" s="41">
        <f>IFERROR(__xludf.DUMMYFUNCTION("""COMPUTED_VALUE"""),391.0)</f>
        <v>391</v>
      </c>
      <c r="K71" s="41" t="str">
        <f>IFERROR(__xludf.DUMMYFUNCTION("""COMPUTED_VALUE"""),"Обувница механизм")</f>
        <v>Обувница механизм</v>
      </c>
      <c r="L71" s="2"/>
      <c r="M71" s="41"/>
      <c r="N71" s="47"/>
      <c r="O71" s="41"/>
      <c r="P71" s="2"/>
    </row>
    <row r="72" ht="18.0" customHeight="1">
      <c r="A72" s="38"/>
      <c r="B72" s="40"/>
      <c r="C72" s="41"/>
      <c r="D72" s="41"/>
      <c r="E72" s="2"/>
      <c r="F72" s="38">
        <f>IFERROR(__xludf.DUMMYFUNCTION("""COMPUTED_VALUE"""),46312.0)</f>
        <v>46312</v>
      </c>
      <c r="G72" s="42">
        <f>IFERROR(__xludf.DUMMYFUNCTION("""COMPUTED_VALUE"""),0.6416666666666667)</f>
        <v>0.6416666667</v>
      </c>
      <c r="H72" s="41" t="str">
        <f>IFERROR(__xludf.DUMMYFUNCTION("""COMPUTED_VALUE"""),"Furnitura")</f>
        <v>Furnitura</v>
      </c>
      <c r="I72" s="40">
        <f>IFERROR(__xludf.DUMMYFUNCTION("""COMPUTED_VALUE"""),65000.0)</f>
        <v>65000</v>
      </c>
      <c r="J72" s="41">
        <f>IFERROR(__xludf.DUMMYFUNCTION("""COMPUTED_VALUE"""),403.0)</f>
        <v>403</v>
      </c>
      <c r="K72" s="41" t="str">
        <f>IFERROR(__xludf.DUMMYFUNCTION("""COMPUTED_VALUE"""),"Ручка доставка")</f>
        <v>Ручка доставка</v>
      </c>
      <c r="L72" s="2"/>
      <c r="M72" s="41"/>
      <c r="N72" s="47"/>
      <c r="O72" s="41"/>
      <c r="P72" s="2"/>
    </row>
    <row r="73" ht="18.0" customHeight="1">
      <c r="A73" s="38"/>
      <c r="B73" s="40"/>
      <c r="C73" s="41"/>
      <c r="D73" s="41"/>
      <c r="E73" s="2"/>
      <c r="F73" s="38">
        <f>IFERROR(__xludf.DUMMYFUNCTION("""COMPUTED_VALUE"""),46311.0)</f>
        <v>46311</v>
      </c>
      <c r="G73" s="42">
        <f>IFERROR(__xludf.DUMMYFUNCTION("""COMPUTED_VALUE"""),0.8916666666666667)</f>
        <v>0.8916666667</v>
      </c>
      <c r="H73" s="41" t="str">
        <f>IFERROR(__xludf.DUMMYFUNCTION("""COMPUTED_VALUE"""),"Ovqat")</f>
        <v>Ovqat</v>
      </c>
      <c r="I73" s="40">
        <f>IFERROR(__xludf.DUMMYFUNCTION("""COMPUTED_VALUE"""),35000.0)</f>
        <v>35000</v>
      </c>
      <c r="J73" s="41"/>
      <c r="K73" s="41" t="str">
        <f>IFERROR(__xludf.DUMMYFUNCTION("""COMPUTED_VALUE"""),"Обед озим")</f>
        <v>Обед озим</v>
      </c>
      <c r="L73" s="2"/>
      <c r="M73" s="41"/>
      <c r="N73" s="47"/>
      <c r="O73" s="41"/>
      <c r="P73" s="2"/>
    </row>
    <row r="74" ht="18.0" customHeight="1">
      <c r="A74" s="38"/>
      <c r="B74" s="40"/>
      <c r="C74" s="41"/>
      <c r="D74" s="41"/>
      <c r="E74" s="2"/>
      <c r="F74" s="38">
        <f>IFERROR(__xludf.DUMMYFUNCTION("""COMPUTED_VALUE"""),46311.0)</f>
        <v>46311</v>
      </c>
      <c r="G74" s="42">
        <f>IFERROR(__xludf.DUMMYFUNCTION("""COMPUTED_VALUE"""),0.8888888888888888)</f>
        <v>0.8888888889</v>
      </c>
      <c r="H74" s="41" t="str">
        <f>IFERROR(__xludf.DUMMYFUNCTION("""COMPUTED_VALUE"""),"Ойлик (ish haqi)")</f>
        <v>Ойлик (ish haqi)</v>
      </c>
      <c r="I74" s="40">
        <f>IFERROR(__xludf.DUMMYFUNCTION("""COMPUTED_VALUE"""),100000.0)</f>
        <v>100000</v>
      </c>
      <c r="J74" s="41"/>
      <c r="K74" s="41" t="str">
        <f>IFERROR(__xludf.DUMMYFUNCTION("""COMPUTED_VALUE"""),"Ойлик")</f>
        <v>Ойлик</v>
      </c>
      <c r="L74" s="2"/>
      <c r="M74" s="41"/>
      <c r="N74" s="47"/>
      <c r="O74" s="41"/>
      <c r="P74" s="2"/>
    </row>
    <row r="75" ht="18.0" customHeight="1">
      <c r="A75" s="38"/>
      <c r="B75" s="40"/>
      <c r="C75" s="41"/>
      <c r="D75" s="41"/>
      <c r="E75" s="2"/>
      <c r="F75" s="38">
        <f>IFERROR(__xludf.DUMMYFUNCTION("""COMPUTED_VALUE"""),46311.0)</f>
        <v>46311</v>
      </c>
      <c r="G75" s="42">
        <f>IFERROR(__xludf.DUMMYFUNCTION("""COMPUTED_VALUE"""),0.8868055555555555)</f>
        <v>0.8868055556</v>
      </c>
      <c r="H75" s="41" t="str">
        <f>IFERROR(__xludf.DUMMYFUNCTION("""COMPUTED_VALUE"""),"Ovqat")</f>
        <v>Ovqat</v>
      </c>
      <c r="I75" s="40">
        <f>IFERROR(__xludf.DUMMYFUNCTION("""COMPUTED_VALUE"""),120000.0)</f>
        <v>120000</v>
      </c>
      <c r="J75" s="41"/>
      <c r="K75" s="41" t="str">
        <f>IFERROR(__xludf.DUMMYFUNCTION("""COMPUTED_VALUE"""),"Сув стадион")</f>
        <v>Сув стадион</v>
      </c>
      <c r="L75" s="2"/>
      <c r="M75" s="41"/>
      <c r="N75" s="47"/>
      <c r="O75" s="41"/>
      <c r="P75" s="2"/>
    </row>
    <row r="76" ht="18.0" customHeight="1">
      <c r="A76" s="38"/>
      <c r="B76" s="40"/>
      <c r="C76" s="41"/>
      <c r="D76" s="41"/>
      <c r="E76" s="2"/>
      <c r="F76" s="38">
        <f>IFERROR(__xludf.DUMMYFUNCTION("""COMPUTED_VALUE"""),46311.0)</f>
        <v>46311</v>
      </c>
      <c r="G76" s="42">
        <f>IFERROR(__xludf.DUMMYFUNCTION("""COMPUTED_VALUE"""),0.5034722222222222)</f>
        <v>0.5034722222</v>
      </c>
      <c r="H76" s="41" t="str">
        <f>IFERROR(__xludf.DUMMYFUNCTION("""COMPUTED_VALUE"""),"Furnitura")</f>
        <v>Furnitura</v>
      </c>
      <c r="I76" s="40">
        <f>IFERROR(__xludf.DUMMYFUNCTION("""COMPUTED_VALUE"""),86000.0)</f>
        <v>86000</v>
      </c>
      <c r="J76" s="41">
        <f>IFERROR(__xludf.DUMMYFUNCTION("""COMPUTED_VALUE"""),388.0)</f>
        <v>388</v>
      </c>
      <c r="K76" s="41" t="str">
        <f>IFERROR(__xludf.DUMMYFUNCTION("""COMPUTED_VALUE"""),"Клей наклейка самарез")</f>
        <v>Клей наклейка самарез</v>
      </c>
      <c r="L76" s="2"/>
      <c r="M76" s="41"/>
      <c r="N76" s="47"/>
      <c r="O76" s="41"/>
      <c r="P76" s="2"/>
    </row>
    <row r="77" ht="18.0" customHeight="1">
      <c r="A77" s="38"/>
      <c r="B77" s="40"/>
      <c r="C77" s="41"/>
      <c r="D77" s="41"/>
      <c r="E77" s="2"/>
      <c r="F77" s="38">
        <f>IFERROR(__xludf.DUMMYFUNCTION("""COMPUTED_VALUE"""),46311.0)</f>
        <v>46311</v>
      </c>
      <c r="G77" s="42">
        <f>IFERROR(__xludf.DUMMYFUNCTION("""COMPUTED_VALUE"""),0.5020833333333333)</f>
        <v>0.5020833333</v>
      </c>
      <c r="H77" s="41" t="str">
        <f>IFERROR(__xludf.DUMMYFUNCTION("""COMPUTED_VALUE"""),"Kommunal xizmatlar")</f>
        <v>Kommunal xizmatlar</v>
      </c>
      <c r="I77" s="40">
        <f>IFERROR(__xludf.DUMMYFUNCTION("""COMPUTED_VALUE"""),165000.0)</f>
        <v>165000</v>
      </c>
      <c r="J77" s="41"/>
      <c r="K77" s="41" t="str">
        <f>IFERROR(__xludf.DUMMYFUNCTION("""COMPUTED_VALUE"""),"Вайфай ишхона")</f>
        <v>Вайфай ишхона</v>
      </c>
      <c r="L77" s="2"/>
      <c r="M77" s="41"/>
      <c r="N77" s="47"/>
      <c r="O77" s="41"/>
      <c r="P77" s="2"/>
    </row>
    <row r="78" ht="18.0" customHeight="1">
      <c r="A78" s="38"/>
      <c r="B78" s="40"/>
      <c r="C78" s="41"/>
      <c r="D78" s="41"/>
      <c r="E78" s="2"/>
      <c r="F78" s="38">
        <f>IFERROR(__xludf.DUMMYFUNCTION("""COMPUTED_VALUE"""),46311.0)</f>
        <v>46311</v>
      </c>
      <c r="G78" s="42">
        <f>IFERROR(__xludf.DUMMYFUNCTION("""COMPUTED_VALUE"""),0.4736111111111111)</f>
        <v>0.4736111111</v>
      </c>
      <c r="H78" s="41" t="str">
        <f>IFERROR(__xludf.DUMMYFUNCTION("""COMPUTED_VALUE"""),"Kommunal xizmatlar")</f>
        <v>Kommunal xizmatlar</v>
      </c>
      <c r="I78" s="40">
        <f>IFERROR(__xludf.DUMMYFUNCTION("""COMPUTED_VALUE"""),48921.0)</f>
        <v>48921</v>
      </c>
      <c r="J78" s="41"/>
      <c r="K78" s="41" t="str">
        <f>IFERROR(__xludf.DUMMYFUNCTION("""COMPUTED_VALUE"""),"Газ ишхона")</f>
        <v>Газ ишхона</v>
      </c>
      <c r="L78" s="2"/>
      <c r="M78" s="41"/>
      <c r="N78" s="47"/>
      <c r="O78" s="41"/>
      <c r="P78" s="2"/>
    </row>
    <row r="79" ht="18.0" customHeight="1">
      <c r="A79" s="38"/>
      <c r="B79" s="40"/>
      <c r="C79" s="41"/>
      <c r="D79" s="41"/>
      <c r="E79" s="2"/>
      <c r="F79" s="38">
        <f>IFERROR(__xludf.DUMMYFUNCTION("""COMPUTED_VALUE"""),46311.0)</f>
        <v>46311</v>
      </c>
      <c r="G79" s="42">
        <f>IFERROR(__xludf.DUMMYFUNCTION("""COMPUTED_VALUE"""),0.47291666666666665)</f>
        <v>0.4729166667</v>
      </c>
      <c r="H79" s="41" t="str">
        <f>IFERROR(__xludf.DUMMYFUNCTION("""COMPUTED_VALUE"""),"Kommunal xizmatlar")</f>
        <v>Kommunal xizmatlar</v>
      </c>
      <c r="I79" s="40">
        <f>IFERROR(__xludf.DUMMYFUNCTION("""COMPUTED_VALUE"""),50000.0)</f>
        <v>50000</v>
      </c>
      <c r="J79" s="41"/>
      <c r="K79" s="41" t="str">
        <f>IFERROR(__xludf.DUMMYFUNCTION("""COMPUTED_VALUE"""),"Свет ишхона")</f>
        <v>Свет ишхона</v>
      </c>
      <c r="L79" s="2"/>
      <c r="M79" s="41"/>
      <c r="N79" s="47"/>
      <c r="O79" s="41"/>
      <c r="P79" s="2"/>
    </row>
    <row r="80" ht="18.0" customHeight="1">
      <c r="A80" s="38"/>
      <c r="B80" s="40"/>
      <c r="C80" s="41"/>
      <c r="D80" s="41"/>
      <c r="E80" s="2"/>
      <c r="F80" s="38">
        <f>IFERROR(__xludf.DUMMYFUNCTION("""COMPUTED_VALUE"""),46310.0)</f>
        <v>46310</v>
      </c>
      <c r="G80" s="42">
        <f>IFERROR(__xludf.DUMMYFUNCTION("""COMPUTED_VALUE"""),0.8229166666666666)</f>
        <v>0.8229166667</v>
      </c>
      <c r="H80" s="41" t="str">
        <f>IFERROR(__xludf.DUMMYFUNCTION("""COMPUTED_VALUE"""),"Furnitura")</f>
        <v>Furnitura</v>
      </c>
      <c r="I80" s="40">
        <f>IFERROR(__xludf.DUMMYFUNCTION("""COMPUTED_VALUE"""),44000.0)</f>
        <v>44000</v>
      </c>
      <c r="J80" s="41">
        <f>IFERROR(__xludf.DUMMYFUNCTION("""COMPUTED_VALUE"""),388.0)</f>
        <v>388</v>
      </c>
      <c r="K80" s="41" t="str">
        <f>IFERROR(__xludf.DUMMYFUNCTION("""COMPUTED_VALUE"""),"Авто шпаклевка")</f>
        <v>Авто шпаклевка</v>
      </c>
      <c r="L80" s="2"/>
      <c r="M80" s="41"/>
      <c r="N80" s="47"/>
      <c r="O80" s="41"/>
      <c r="P80" s="2"/>
    </row>
    <row r="81" ht="18.0" customHeight="1">
      <c r="A81" s="38"/>
      <c r="B81" s="40"/>
      <c r="C81" s="41"/>
      <c r="D81" s="41"/>
      <c r="E81" s="2"/>
      <c r="F81" s="38">
        <f>IFERROR(__xludf.DUMMYFUNCTION("""COMPUTED_VALUE"""),46310.0)</f>
        <v>46310</v>
      </c>
      <c r="G81" s="42">
        <f>IFERROR(__xludf.DUMMYFUNCTION("""COMPUTED_VALUE"""),0.7493055555555556)</f>
        <v>0.7493055556</v>
      </c>
      <c r="H81" s="41" t="str">
        <f>IFERROR(__xludf.DUMMYFUNCTION("""COMPUTED_VALUE"""),"Furnitura")</f>
        <v>Furnitura</v>
      </c>
      <c r="I81" s="40">
        <f>IFERROR(__xludf.DUMMYFUNCTION("""COMPUTED_VALUE"""),39000.0)</f>
        <v>39000</v>
      </c>
      <c r="J81" s="41">
        <f>IFERROR(__xludf.DUMMYFUNCTION("""COMPUTED_VALUE"""),388.0)</f>
        <v>388</v>
      </c>
      <c r="K81" s="41" t="str">
        <f>IFERROR(__xludf.DUMMYFUNCTION("""COMPUTED_VALUE"""),"Салафан лезвия")</f>
        <v>Салафан лезвия</v>
      </c>
      <c r="L81" s="2"/>
      <c r="M81" s="41"/>
      <c r="N81" s="47"/>
      <c r="O81" s="41"/>
      <c r="P81" s="2"/>
    </row>
    <row r="82" ht="18.0" customHeight="1">
      <c r="A82" s="38"/>
      <c r="B82" s="40"/>
      <c r="C82" s="41"/>
      <c r="D82" s="41"/>
      <c r="E82" s="2"/>
      <c r="F82" s="38">
        <f>IFERROR(__xludf.DUMMYFUNCTION("""COMPUTED_VALUE"""),46310.0)</f>
        <v>46310</v>
      </c>
      <c r="G82" s="42">
        <f>IFERROR(__xludf.DUMMYFUNCTION("""COMPUTED_VALUE"""),0.6680555555555555)</f>
        <v>0.6680555556</v>
      </c>
      <c r="H82" s="41" t="str">
        <f>IFERROR(__xludf.DUMMYFUNCTION("""COMPUTED_VALUE"""),"Furnitura")</f>
        <v>Furnitura</v>
      </c>
      <c r="I82" s="40">
        <f>IFERROR(__xludf.DUMMYFUNCTION("""COMPUTED_VALUE"""),559000.0)</f>
        <v>559000</v>
      </c>
      <c r="J82" s="41">
        <f>IFERROR(__xludf.DUMMYFUNCTION("""COMPUTED_VALUE"""),391.0)</f>
        <v>391</v>
      </c>
      <c r="K82" s="41" t="str">
        <f>IFERROR(__xludf.DUMMYFUNCTION("""COMPUTED_VALUE"""),"Обувница механизм")</f>
        <v>Обувница механизм</v>
      </c>
      <c r="L82" s="2"/>
      <c r="M82" s="41"/>
      <c r="N82" s="47"/>
      <c r="O82" s="41"/>
      <c r="P82" s="2"/>
    </row>
    <row r="83" ht="18.0" customHeight="1">
      <c r="A83" s="38"/>
      <c r="B83" s="40"/>
      <c r="C83" s="41"/>
      <c r="D83" s="41"/>
      <c r="E83" s="2"/>
      <c r="F83" s="38">
        <f>IFERROR(__xludf.DUMMYFUNCTION("""COMPUTED_VALUE"""),46310.0)</f>
        <v>46310</v>
      </c>
      <c r="G83" s="42">
        <f>IFERROR(__xludf.DUMMYFUNCTION("""COMPUTED_VALUE"""),0.5506944444444445)</f>
        <v>0.5506944444</v>
      </c>
      <c r="H83" s="41" t="str">
        <f>IFERROR(__xludf.DUMMYFUNCTION("""COMPUTED_VALUE"""),"Ovqat")</f>
        <v>Ovqat</v>
      </c>
      <c r="I83" s="40">
        <f>IFERROR(__xludf.DUMMYFUNCTION("""COMPUTED_VALUE"""),35000.0)</f>
        <v>35000</v>
      </c>
      <c r="J83" s="41"/>
      <c r="K83" s="41" t="str">
        <f>IFERROR(__xludf.DUMMYFUNCTION("""COMPUTED_VALUE"""),"Обед озим")</f>
        <v>Обед озим</v>
      </c>
      <c r="L83" s="2"/>
      <c r="M83" s="41"/>
      <c r="N83" s="47"/>
      <c r="O83" s="41"/>
      <c r="P83" s="2"/>
    </row>
    <row r="84" ht="18.0" customHeight="1">
      <c r="A84" s="38"/>
      <c r="B84" s="40"/>
      <c r="C84" s="41"/>
      <c r="D84" s="41"/>
      <c r="E84" s="2"/>
      <c r="F84" s="38">
        <f>IFERROR(__xludf.DUMMYFUNCTION("""COMPUTED_VALUE"""),46310.0)</f>
        <v>46310</v>
      </c>
      <c r="G84" s="42">
        <f>IFERROR(__xludf.DUMMYFUNCTION("""COMPUTED_VALUE"""),0.55)</f>
        <v>0.55</v>
      </c>
      <c r="H84" s="41" t="str">
        <f>IFERROR(__xludf.DUMMYFUNCTION("""COMPUTED_VALUE"""),"Zapravka")</f>
        <v>Zapravka</v>
      </c>
      <c r="I84" s="40">
        <f>IFERROR(__xludf.DUMMYFUNCTION("""COMPUTED_VALUE"""),353000.0)</f>
        <v>353000</v>
      </c>
      <c r="J84" s="41"/>
      <c r="K84" s="41" t="str">
        <f>IFERROR(__xludf.DUMMYFUNCTION("""COMPUTED_VALUE"""),"Газ чанган")</f>
        <v>Газ чанган</v>
      </c>
      <c r="L84" s="2"/>
      <c r="M84" s="41"/>
      <c r="N84" s="47"/>
      <c r="O84" s="41"/>
      <c r="P84" s="2"/>
    </row>
    <row r="85" ht="18.0" customHeight="1">
      <c r="A85" s="38"/>
      <c r="B85" s="40"/>
      <c r="C85" s="41"/>
      <c r="D85" s="41"/>
      <c r="E85" s="2"/>
      <c r="F85" s="38">
        <f>IFERROR(__xludf.DUMMYFUNCTION("""COMPUTED_VALUE"""),46310.0)</f>
        <v>46310</v>
      </c>
      <c r="G85" s="42">
        <f>IFERROR(__xludf.DUMMYFUNCTION("""COMPUTED_VALUE"""),0.5388888888888889)</f>
        <v>0.5388888889</v>
      </c>
      <c r="H85" s="41" t="str">
        <f>IFERROR(__xludf.DUMMYFUNCTION("""COMPUTED_VALUE"""),"Usluga (xizmatlar)")</f>
        <v>Usluga (xizmatlar)</v>
      </c>
      <c r="I85" s="40">
        <f>IFERROR(__xludf.DUMMYFUNCTION("""COMPUTED_VALUE"""),242000.0)</f>
        <v>242000</v>
      </c>
      <c r="J85" s="41">
        <f>IFERROR(__xludf.DUMMYFUNCTION("""COMPUTED_VALUE"""),395.0)</f>
        <v>395</v>
      </c>
      <c r="K85" s="41" t="str">
        <f>IFERROR(__xludf.DUMMYFUNCTION("""COMPUTED_VALUE"""),"Ровер кромка ручка жойи")</f>
        <v>Ровер кромка ручка жойи</v>
      </c>
      <c r="L85" s="2"/>
      <c r="M85" s="41"/>
      <c r="N85" s="47"/>
      <c r="O85" s="41"/>
      <c r="P85" s="2"/>
    </row>
    <row r="86" ht="18.0" customHeight="1">
      <c r="A86" s="38"/>
      <c r="B86" s="40"/>
      <c r="C86" s="41"/>
      <c r="D86" s="41"/>
      <c r="E86" s="2"/>
      <c r="F86" s="38">
        <f>IFERROR(__xludf.DUMMYFUNCTION("""COMPUTED_VALUE"""),46309.0)</f>
        <v>46309</v>
      </c>
      <c r="G86" s="42">
        <f>IFERROR(__xludf.DUMMYFUNCTION("""COMPUTED_VALUE"""),0.9479166666666666)</f>
        <v>0.9479166667</v>
      </c>
      <c r="H86" s="41" t="str">
        <f>IFERROR(__xludf.DUMMYFUNCTION("""COMPUTED_VALUE"""),"Ойлик (ish haqi)")</f>
        <v>Ойлик (ish haqi)</v>
      </c>
      <c r="I86" s="40">
        <f>IFERROR(__xludf.DUMMYFUNCTION("""COMPUTED_VALUE"""),100000.0)</f>
        <v>100000</v>
      </c>
      <c r="J86" s="41"/>
      <c r="K86" s="41" t="str">
        <f>IFERROR(__xludf.DUMMYFUNCTION("""COMPUTED_VALUE"""),"Ойлик")</f>
        <v>Ойлик</v>
      </c>
      <c r="L86" s="2"/>
      <c r="M86" s="41"/>
      <c r="N86" s="47"/>
      <c r="O86" s="41"/>
      <c r="P86" s="2"/>
    </row>
    <row r="87" ht="18.0" customHeight="1">
      <c r="A87" s="38"/>
      <c r="B87" s="40"/>
      <c r="C87" s="41"/>
      <c r="D87" s="41"/>
      <c r="E87" s="2"/>
      <c r="F87" s="38">
        <f>IFERROR(__xludf.DUMMYFUNCTION("""COMPUTED_VALUE"""),46309.0)</f>
        <v>46309</v>
      </c>
      <c r="G87" s="42">
        <f>IFERROR(__xludf.DUMMYFUNCTION("""COMPUTED_VALUE"""),0.9159722222222222)</f>
        <v>0.9159722222</v>
      </c>
      <c r="H87" s="41" t="str">
        <f>IFERROR(__xludf.DUMMYFUNCTION("""COMPUTED_VALUE"""),"Ойлик (ish haqi)")</f>
        <v>Ойлик (ish haqi)</v>
      </c>
      <c r="I87" s="40">
        <f>IFERROR(__xludf.DUMMYFUNCTION("""COMPUTED_VALUE"""),202000.0)</f>
        <v>202000</v>
      </c>
      <c r="J87" s="41"/>
      <c r="K87" s="41" t="str">
        <f>IFERROR(__xludf.DUMMYFUNCTION("""COMPUTED_VALUE"""),"Ойлик")</f>
        <v>Ойлик</v>
      </c>
      <c r="L87" s="2"/>
      <c r="M87" s="41"/>
      <c r="N87" s="47"/>
      <c r="O87" s="41"/>
      <c r="P87" s="2"/>
    </row>
    <row r="88" ht="18.0" customHeight="1">
      <c r="A88" s="38"/>
      <c r="B88" s="40"/>
      <c r="C88" s="41"/>
      <c r="D88" s="41"/>
      <c r="E88" s="2"/>
      <c r="F88" s="38">
        <f>IFERROR(__xludf.DUMMYFUNCTION("""COMPUTED_VALUE"""),46309.0)</f>
        <v>46309</v>
      </c>
      <c r="G88" s="42">
        <f>IFERROR(__xludf.DUMMYFUNCTION("""COMPUTED_VALUE"""),0.8590277777777777)</f>
        <v>0.8590277778</v>
      </c>
      <c r="H88" s="41" t="str">
        <f>IFERROR(__xludf.DUMMYFUNCTION("""COMPUTED_VALUE"""),"Zapravka")</f>
        <v>Zapravka</v>
      </c>
      <c r="I88" s="40">
        <f>IFERROR(__xludf.DUMMYFUNCTION("""COMPUTED_VALUE"""),270000.0)</f>
        <v>270000</v>
      </c>
      <c r="J88" s="41"/>
      <c r="K88" s="41" t="str">
        <f>IFERROR(__xludf.DUMMYFUNCTION("""COMPUTED_VALUE"""),"Газ")</f>
        <v>Газ</v>
      </c>
      <c r="L88" s="2"/>
      <c r="M88" s="41"/>
      <c r="N88" s="47"/>
      <c r="O88" s="41"/>
      <c r="P88" s="2"/>
    </row>
    <row r="89" ht="18.0" customHeight="1">
      <c r="A89" s="38"/>
      <c r="B89" s="40"/>
      <c r="C89" s="41"/>
      <c r="D89" s="41"/>
      <c r="E89" s="2"/>
      <c r="F89" s="38">
        <f>IFERROR(__xludf.DUMMYFUNCTION("""COMPUTED_VALUE"""),46308.0)</f>
        <v>46308</v>
      </c>
      <c r="G89" s="42">
        <f>IFERROR(__xludf.DUMMYFUNCTION("""COMPUTED_VALUE"""),0.675)</f>
        <v>0.675</v>
      </c>
      <c r="H89" s="41" t="str">
        <f>IFERROR(__xludf.DUMMYFUNCTION("""COMPUTED_VALUE"""),"Ойлик (ish haqi)")</f>
        <v>Ойлик (ish haqi)</v>
      </c>
      <c r="I89" s="40">
        <f>IFERROR(__xludf.DUMMYFUNCTION("""COMPUTED_VALUE"""),400000.0)</f>
        <v>400000</v>
      </c>
      <c r="J89" s="41"/>
      <c r="K89" s="41" t="str">
        <f>IFERROR(__xludf.DUMMYFUNCTION("""COMPUTED_VALUE"""),"Ойлик")</f>
        <v>Ойлик</v>
      </c>
      <c r="L89" s="2"/>
      <c r="M89" s="41"/>
      <c r="N89" s="47"/>
      <c r="O89" s="41"/>
      <c r="P89" s="2"/>
    </row>
    <row r="90" ht="18.0" customHeight="1">
      <c r="A90" s="38"/>
      <c r="B90" s="40"/>
      <c r="C90" s="41"/>
      <c r="D90" s="41"/>
      <c r="E90" s="2"/>
      <c r="F90" s="38">
        <f>IFERROR(__xludf.DUMMYFUNCTION("""COMPUTED_VALUE"""),46308.0)</f>
        <v>46308</v>
      </c>
      <c r="G90" s="42">
        <f>IFERROR(__xludf.DUMMYFUNCTION("""COMPUTED_VALUE"""),0.6743055555555556)</f>
        <v>0.6743055556</v>
      </c>
      <c r="H90" s="41" t="str">
        <f>IFERROR(__xludf.DUMMYFUNCTION("""COMPUTED_VALUE"""),"Ovqat")</f>
        <v>Ovqat</v>
      </c>
      <c r="I90" s="40">
        <f>IFERROR(__xludf.DUMMYFUNCTION("""COMPUTED_VALUE"""),35000.0)</f>
        <v>35000</v>
      </c>
      <c r="J90" s="41"/>
      <c r="K90" s="41" t="str">
        <f>IFERROR(__xludf.DUMMYFUNCTION("""COMPUTED_VALUE"""),"Обед озим")</f>
        <v>Обед озим</v>
      </c>
      <c r="L90" s="2"/>
      <c r="M90" s="41"/>
      <c r="N90" s="47"/>
      <c r="O90" s="41"/>
      <c r="P90" s="2"/>
    </row>
    <row r="91" ht="18.0" customHeight="1">
      <c r="A91" s="38"/>
      <c r="B91" s="40"/>
      <c r="C91" s="41"/>
      <c r="D91" s="41"/>
      <c r="E91" s="2"/>
      <c r="F91" s="38">
        <f>IFERROR(__xludf.DUMMYFUNCTION("""COMPUTED_VALUE"""),46308.0)</f>
        <v>46308</v>
      </c>
      <c r="G91" s="42">
        <f>IFERROR(__xludf.DUMMYFUNCTION("""COMPUTED_VALUE"""),0.5875)</f>
        <v>0.5875</v>
      </c>
      <c r="H91" s="41" t="str">
        <f>IFERROR(__xludf.DUMMYFUNCTION("""COMPUTED_VALUE"""),"Usluga (xizmatlar)")</f>
        <v>Usluga (xizmatlar)</v>
      </c>
      <c r="I91" s="40">
        <f>IFERROR(__xludf.DUMMYFUNCTION("""COMPUTED_VALUE"""),1.6658726E7)</f>
        <v>16658726</v>
      </c>
      <c r="J91" s="41">
        <f>IFERROR(__xludf.DUMMYFUNCTION("""COMPUTED_VALUE"""),383.0)</f>
        <v>383</v>
      </c>
      <c r="K91" s="41" t="str">
        <f>IFERROR(__xludf.DUMMYFUNCTION("""COMPUTED_VALUE"""),"Краска услуга")</f>
        <v>Краска услуга</v>
      </c>
      <c r="L91" s="2"/>
      <c r="M91" s="41"/>
      <c r="N91" s="47"/>
      <c r="O91" s="41"/>
      <c r="P91" s="2"/>
    </row>
    <row r="92" ht="18.0" customHeight="1">
      <c r="A92" s="38"/>
      <c r="B92" s="40"/>
      <c r="C92" s="41"/>
      <c r="D92" s="41"/>
      <c r="E92" s="2"/>
      <c r="F92" s="38">
        <f>IFERROR(__xludf.DUMMYFUNCTION("""COMPUTED_VALUE"""),46307.0)</f>
        <v>46307</v>
      </c>
      <c r="G92" s="42">
        <f>IFERROR(__xludf.DUMMYFUNCTION("""COMPUTED_VALUE"""),0.5506944444444445)</f>
        <v>0.5506944444</v>
      </c>
      <c r="H92" s="41" t="str">
        <f>IFERROR(__xludf.DUMMYFUNCTION("""COMPUTED_VALUE"""),"Zapravka")</f>
        <v>Zapravka</v>
      </c>
      <c r="I92" s="40">
        <f>IFERROR(__xludf.DUMMYFUNCTION("""COMPUTED_VALUE"""),420000.0)</f>
        <v>420000</v>
      </c>
      <c r="J92" s="41"/>
      <c r="K92" s="41" t="str">
        <f>IFERROR(__xludf.DUMMYFUNCTION("""COMPUTED_VALUE"""),"Газ")</f>
        <v>Газ</v>
      </c>
      <c r="L92" s="2"/>
      <c r="M92" s="41"/>
      <c r="N92" s="47"/>
      <c r="O92" s="41"/>
      <c r="P92" s="2"/>
    </row>
    <row r="93" ht="18.0" customHeight="1">
      <c r="A93" s="38"/>
      <c r="B93" s="40"/>
      <c r="C93" s="41"/>
      <c r="D93" s="41"/>
      <c r="E93" s="2"/>
      <c r="F93" s="38">
        <f>IFERROR(__xludf.DUMMYFUNCTION("""COMPUTED_VALUE"""),46306.0)</f>
        <v>46306</v>
      </c>
      <c r="G93" s="42">
        <f>IFERROR(__xludf.DUMMYFUNCTION("""COMPUTED_VALUE"""),0.8548611111111111)</f>
        <v>0.8548611111</v>
      </c>
      <c r="H93" s="41" t="str">
        <f>IFERROR(__xludf.DUMMYFUNCTION("""COMPUTED_VALUE"""),"Ойлик (ish haqi)")</f>
        <v>Ойлик (ish haqi)</v>
      </c>
      <c r="I93" s="40">
        <f>IFERROR(__xludf.DUMMYFUNCTION("""COMPUTED_VALUE"""),300000.0)</f>
        <v>300000</v>
      </c>
      <c r="J93" s="41"/>
      <c r="K93" s="41" t="str">
        <f>IFERROR(__xludf.DUMMYFUNCTION("""COMPUTED_VALUE"""),"Ойлик озим")</f>
        <v>Ойлик озим</v>
      </c>
      <c r="L93" s="2"/>
      <c r="M93" s="41"/>
      <c r="N93" s="47"/>
      <c r="O93" s="41"/>
      <c r="P93" s="2"/>
    </row>
    <row r="94" ht="18.0" customHeight="1">
      <c r="A94" s="38"/>
      <c r="B94" s="40"/>
      <c r="C94" s="41"/>
      <c r="D94" s="41"/>
      <c r="E94" s="2"/>
      <c r="F94" s="38">
        <f>IFERROR(__xludf.DUMMYFUNCTION("""COMPUTED_VALUE"""),46306.0)</f>
        <v>46306</v>
      </c>
      <c r="G94" s="42">
        <f>IFERROR(__xludf.DUMMYFUNCTION("""COMPUTED_VALUE"""),0.8527777777777777)</f>
        <v>0.8527777778</v>
      </c>
      <c r="H94" s="41" t="str">
        <f>IFERROR(__xludf.DUMMYFUNCTION("""COMPUTED_VALUE"""),"Ovqat")</f>
        <v>Ovqat</v>
      </c>
      <c r="I94" s="40">
        <f>IFERROR(__xludf.DUMMYFUNCTION("""COMPUTED_VALUE"""),35000.0)</f>
        <v>35000</v>
      </c>
      <c r="J94" s="41"/>
      <c r="K94" s="41" t="str">
        <f>IFERROR(__xludf.DUMMYFUNCTION("""COMPUTED_VALUE"""),"Обед озим")</f>
        <v>Обед озим</v>
      </c>
      <c r="L94" s="2"/>
      <c r="M94" s="41"/>
      <c r="N94" s="47"/>
      <c r="O94" s="41"/>
      <c r="P94" s="2"/>
    </row>
    <row r="95" ht="18.0" customHeight="1">
      <c r="A95" s="38"/>
      <c r="B95" s="40"/>
      <c r="C95" s="41"/>
      <c r="D95" s="41"/>
      <c r="E95" s="2"/>
      <c r="F95" s="38">
        <f>IFERROR(__xludf.DUMMYFUNCTION("""COMPUTED_VALUE"""),46305.0)</f>
        <v>46305</v>
      </c>
      <c r="G95" s="42">
        <f>IFERROR(__xludf.DUMMYFUNCTION("""COMPUTED_VALUE"""),0.825)</f>
        <v>0.825</v>
      </c>
      <c r="H95" s="41" t="str">
        <f>IFERROR(__xludf.DUMMYFUNCTION("""COMPUTED_VALUE"""),"Ovqat")</f>
        <v>Ovqat</v>
      </c>
      <c r="I95" s="40">
        <f>IFERROR(__xludf.DUMMYFUNCTION("""COMPUTED_VALUE"""),35000.0)</f>
        <v>35000</v>
      </c>
      <c r="J95" s="41"/>
      <c r="K95" s="41" t="str">
        <f>IFERROR(__xludf.DUMMYFUNCTION("""COMPUTED_VALUE"""),"Обед озим")</f>
        <v>Обед озим</v>
      </c>
      <c r="L95" s="2"/>
      <c r="M95" s="41"/>
      <c r="N95" s="47"/>
      <c r="O95" s="41"/>
      <c r="P95" s="2"/>
    </row>
    <row r="96" ht="18.0" customHeight="1">
      <c r="A96" s="38"/>
      <c r="B96" s="40"/>
      <c r="C96" s="41"/>
      <c r="D96" s="41"/>
      <c r="E96" s="2"/>
      <c r="F96" s="38">
        <f>IFERROR(__xludf.DUMMYFUNCTION("""COMPUTED_VALUE"""),46305.0)</f>
        <v>46305</v>
      </c>
      <c r="G96" s="42">
        <f>IFERROR(__xludf.DUMMYFUNCTION("""COMPUTED_VALUE"""),0.8243055555555555)</f>
        <v>0.8243055556</v>
      </c>
      <c r="H96" s="41" t="str">
        <f>IFERROR(__xludf.DUMMYFUNCTION("""COMPUTED_VALUE"""),"Ойлик (ish haqi)")</f>
        <v>Ойлик (ish haqi)</v>
      </c>
      <c r="I96" s="40">
        <f>IFERROR(__xludf.DUMMYFUNCTION("""COMPUTED_VALUE"""),20000.0)</f>
        <v>20000</v>
      </c>
      <c r="J96" s="41"/>
      <c r="K96" s="41" t="str">
        <f>IFERROR(__xludf.DUMMYFUNCTION("""COMPUTED_VALUE"""),"Стадион Элбек ойлик")</f>
        <v>Стадион Элбек ойлик</v>
      </c>
      <c r="L96" s="2"/>
      <c r="M96" s="41"/>
      <c r="N96" s="47"/>
      <c r="O96" s="41"/>
      <c r="P96" s="2"/>
    </row>
    <row r="97" ht="18.0" customHeight="1">
      <c r="A97" s="38"/>
      <c r="B97" s="40"/>
      <c r="C97" s="41"/>
      <c r="D97" s="41"/>
      <c r="E97" s="2"/>
      <c r="F97" s="38">
        <f>IFERROR(__xludf.DUMMYFUNCTION("""COMPUTED_VALUE"""),46305.0)</f>
        <v>46305</v>
      </c>
      <c r="G97" s="42">
        <f>IFERROR(__xludf.DUMMYFUNCTION("""COMPUTED_VALUE"""),0.8208333333333333)</f>
        <v>0.8208333333</v>
      </c>
      <c r="H97" s="41" t="str">
        <f>IFERROR(__xludf.DUMMYFUNCTION("""COMPUTED_VALUE"""),"Ойлик (ish haqi)")</f>
        <v>Ойлик (ish haqi)</v>
      </c>
      <c r="I97" s="40">
        <f>IFERROR(__xludf.DUMMYFUNCTION("""COMPUTED_VALUE"""),20000.0)</f>
        <v>20000</v>
      </c>
      <c r="J97" s="41"/>
      <c r="K97" s="41" t="str">
        <f>IFERROR(__xludf.DUMMYFUNCTION("""COMPUTED_VALUE"""),"Стадион")</f>
        <v>Стадион</v>
      </c>
      <c r="L97" s="2"/>
      <c r="M97" s="41"/>
      <c r="N97" s="47"/>
      <c r="O97" s="41"/>
      <c r="P97" s="2"/>
    </row>
    <row r="98" ht="18.0" customHeight="1">
      <c r="A98" s="38"/>
      <c r="B98" s="40"/>
      <c r="C98" s="41"/>
      <c r="D98" s="41"/>
      <c r="E98" s="2"/>
      <c r="F98" s="38">
        <f>IFERROR(__xludf.DUMMYFUNCTION("""COMPUTED_VALUE"""),46305.0)</f>
        <v>46305</v>
      </c>
      <c r="G98" s="42">
        <f>IFERROR(__xludf.DUMMYFUNCTION("""COMPUTED_VALUE"""),0.8208333333333333)</f>
        <v>0.8208333333</v>
      </c>
      <c r="H98" s="41" t="str">
        <f>IFERROR(__xludf.DUMMYFUNCTION("""COMPUTED_VALUE"""),"Ойлик (ish haqi)")</f>
        <v>Ойлик (ish haqi)</v>
      </c>
      <c r="I98" s="40">
        <f>IFERROR(__xludf.DUMMYFUNCTION("""COMPUTED_VALUE"""),20000.0)</f>
        <v>20000</v>
      </c>
      <c r="J98" s="41"/>
      <c r="K98" s="41" t="str">
        <f>IFERROR(__xludf.DUMMYFUNCTION("""COMPUTED_VALUE"""),"Стадион")</f>
        <v>Стадион</v>
      </c>
      <c r="L98" s="2"/>
      <c r="M98" s="41"/>
      <c r="N98" s="47"/>
      <c r="O98" s="41"/>
      <c r="P98" s="2"/>
    </row>
    <row r="99" ht="18.0" customHeight="1">
      <c r="A99" s="38"/>
      <c r="B99" s="40"/>
      <c r="C99" s="41"/>
      <c r="D99" s="41"/>
      <c r="E99" s="2"/>
      <c r="F99" s="38">
        <f>IFERROR(__xludf.DUMMYFUNCTION("""COMPUTED_VALUE"""),46305.0)</f>
        <v>46305</v>
      </c>
      <c r="G99" s="42">
        <f>IFERROR(__xludf.DUMMYFUNCTION("""COMPUTED_VALUE"""),0.8159722222222222)</f>
        <v>0.8159722222</v>
      </c>
      <c r="H99" s="41" t="str">
        <f>IFERROR(__xludf.DUMMYFUNCTION("""COMPUTED_VALUE"""),"Ойлик (ish haqi)")</f>
        <v>Ойлик (ish haqi)</v>
      </c>
      <c r="I99" s="40">
        <f>IFERROR(__xludf.DUMMYFUNCTION("""COMPUTED_VALUE"""),20000.0)</f>
        <v>20000</v>
      </c>
      <c r="J99" s="41"/>
      <c r="K99" s="41" t="str">
        <f>IFERROR(__xludf.DUMMYFUNCTION("""COMPUTED_VALUE"""),"Стадион")</f>
        <v>Стадион</v>
      </c>
      <c r="L99" s="2"/>
      <c r="M99" s="41"/>
      <c r="N99" s="47"/>
      <c r="O99" s="41"/>
      <c r="P99" s="2"/>
    </row>
    <row r="100" ht="18.0" customHeight="1">
      <c r="A100" s="38"/>
      <c r="B100" s="40"/>
      <c r="C100" s="41"/>
      <c r="D100" s="41"/>
      <c r="E100" s="2"/>
      <c r="F100" s="38">
        <f>IFERROR(__xludf.DUMMYFUNCTION("""COMPUTED_VALUE"""),46305.0)</f>
        <v>46305</v>
      </c>
      <c r="G100" s="42">
        <f>IFERROR(__xludf.DUMMYFUNCTION("""COMPUTED_VALUE"""),0.8152777777777778)</f>
        <v>0.8152777778</v>
      </c>
      <c r="H100" s="41" t="str">
        <f>IFERROR(__xludf.DUMMYFUNCTION("""COMPUTED_VALUE"""),"Ойлик (ish haqi)")</f>
        <v>Ойлик (ish haqi)</v>
      </c>
      <c r="I100" s="40">
        <f>IFERROR(__xludf.DUMMYFUNCTION("""COMPUTED_VALUE"""),20000.0)</f>
        <v>20000</v>
      </c>
      <c r="J100" s="41"/>
      <c r="K100" s="41">
        <f>IFERROR(__xludf.DUMMYFUNCTION("""COMPUTED_VALUE"""),20000.0)</f>
        <v>20000</v>
      </c>
      <c r="L100" s="2"/>
      <c r="M100" s="41"/>
      <c r="N100" s="47"/>
      <c r="O100" s="41"/>
      <c r="P100" s="2"/>
    </row>
    <row r="101" ht="18.0" customHeight="1">
      <c r="A101" s="38"/>
      <c r="B101" s="40"/>
      <c r="C101" s="41"/>
      <c r="D101" s="41"/>
      <c r="E101" s="2"/>
      <c r="F101" s="38">
        <f>IFERROR(__xludf.DUMMYFUNCTION("""COMPUTED_VALUE"""),46305.0)</f>
        <v>46305</v>
      </c>
      <c r="G101" s="42">
        <f>IFERROR(__xludf.DUMMYFUNCTION("""COMPUTED_VALUE"""),0.8145833333333333)</f>
        <v>0.8145833333</v>
      </c>
      <c r="H101" s="41" t="str">
        <f>IFERROR(__xludf.DUMMYFUNCTION("""COMPUTED_VALUE"""),"Ойлик (ish haqi)")</f>
        <v>Ойлик (ish haqi)</v>
      </c>
      <c r="I101" s="40">
        <f>IFERROR(__xludf.DUMMYFUNCTION("""COMPUTED_VALUE"""),20000.0)</f>
        <v>20000</v>
      </c>
      <c r="J101" s="41"/>
      <c r="K101" s="41" t="str">
        <f>IFERROR(__xludf.DUMMYFUNCTION("""COMPUTED_VALUE"""),"Стадион")</f>
        <v>Стадион</v>
      </c>
      <c r="L101" s="2"/>
      <c r="M101" s="41"/>
      <c r="N101" s="47"/>
      <c r="O101" s="41"/>
      <c r="P101" s="2"/>
    </row>
    <row r="102" ht="18.0" customHeight="1">
      <c r="A102" s="38"/>
      <c r="B102" s="40"/>
      <c r="C102" s="41"/>
      <c r="D102" s="41"/>
      <c r="E102" s="2"/>
      <c r="F102" s="38">
        <f>IFERROR(__xludf.DUMMYFUNCTION("""COMPUTED_VALUE"""),46305.0)</f>
        <v>46305</v>
      </c>
      <c r="G102" s="42">
        <f>IFERROR(__xludf.DUMMYFUNCTION("""COMPUTED_VALUE"""),0.8145833333333333)</f>
        <v>0.8145833333</v>
      </c>
      <c r="H102" s="41" t="str">
        <f>IFERROR(__xludf.DUMMYFUNCTION("""COMPUTED_VALUE"""),"Ойлик (ish haqi)")</f>
        <v>Ойлик (ish haqi)</v>
      </c>
      <c r="I102" s="40">
        <f>IFERROR(__xludf.DUMMYFUNCTION("""COMPUTED_VALUE"""),20000.0)</f>
        <v>20000</v>
      </c>
      <c r="J102" s="41"/>
      <c r="K102" s="41" t="str">
        <f>IFERROR(__xludf.DUMMYFUNCTION("""COMPUTED_VALUE"""),"Стадион")</f>
        <v>Стадион</v>
      </c>
      <c r="L102" s="2"/>
      <c r="M102" s="41"/>
      <c r="N102" s="47"/>
      <c r="O102" s="41"/>
      <c r="P102" s="2"/>
    </row>
    <row r="103" ht="18.0" customHeight="1">
      <c r="A103" s="38"/>
      <c r="B103" s="40"/>
      <c r="C103" s="41"/>
      <c r="D103" s="41"/>
      <c r="E103" s="2"/>
      <c r="F103" s="38">
        <f>IFERROR(__xludf.DUMMYFUNCTION("""COMPUTED_VALUE"""),46305.0)</f>
        <v>46305</v>
      </c>
      <c r="G103" s="42">
        <f>IFERROR(__xludf.DUMMYFUNCTION("""COMPUTED_VALUE"""),0.8138888888888889)</f>
        <v>0.8138888889</v>
      </c>
      <c r="H103" s="41" t="str">
        <f>IFERROR(__xludf.DUMMYFUNCTION("""COMPUTED_VALUE"""),"Ойлик (ish haqi)")</f>
        <v>Ойлик (ish haqi)</v>
      </c>
      <c r="I103" s="40">
        <f>IFERROR(__xludf.DUMMYFUNCTION("""COMPUTED_VALUE"""),20000.0)</f>
        <v>20000</v>
      </c>
      <c r="J103" s="41"/>
      <c r="K103" s="41" t="str">
        <f>IFERROR(__xludf.DUMMYFUNCTION("""COMPUTED_VALUE"""),"Стадион")</f>
        <v>Стадион</v>
      </c>
      <c r="L103" s="2"/>
      <c r="M103" s="41"/>
      <c r="N103" s="47"/>
      <c r="O103" s="41"/>
      <c r="P103" s="2"/>
    </row>
    <row r="104" ht="18.0" customHeight="1">
      <c r="A104" s="38"/>
      <c r="B104" s="40"/>
      <c r="C104" s="41"/>
      <c r="D104" s="41"/>
      <c r="E104" s="2"/>
      <c r="F104" s="38">
        <f>IFERROR(__xludf.DUMMYFUNCTION("""COMPUTED_VALUE"""),46305.0)</f>
        <v>46305</v>
      </c>
      <c r="G104" s="42">
        <f>IFERROR(__xludf.DUMMYFUNCTION("""COMPUTED_VALUE"""),0.8138888888888889)</f>
        <v>0.8138888889</v>
      </c>
      <c r="H104" s="41" t="str">
        <f>IFERROR(__xludf.DUMMYFUNCTION("""COMPUTED_VALUE"""),"Ойлик (ish haqi)")</f>
        <v>Ойлик (ish haqi)</v>
      </c>
      <c r="I104" s="40">
        <f>IFERROR(__xludf.DUMMYFUNCTION("""COMPUTED_VALUE"""),20000.0)</f>
        <v>20000</v>
      </c>
      <c r="J104" s="41"/>
      <c r="K104" s="41" t="str">
        <f>IFERROR(__xludf.DUMMYFUNCTION("""COMPUTED_VALUE"""),"Стадион")</f>
        <v>Стадион</v>
      </c>
      <c r="L104" s="2"/>
      <c r="M104" s="41"/>
      <c r="N104" s="47"/>
      <c r="O104" s="41"/>
      <c r="P104" s="2"/>
    </row>
    <row r="105" ht="18.0" customHeight="1">
      <c r="A105" s="38"/>
      <c r="B105" s="40"/>
      <c r="C105" s="41"/>
      <c r="D105" s="41"/>
      <c r="E105" s="2"/>
      <c r="F105" s="38">
        <f>IFERROR(__xludf.DUMMYFUNCTION("""COMPUTED_VALUE"""),46305.0)</f>
        <v>46305</v>
      </c>
      <c r="G105" s="42">
        <f>IFERROR(__xludf.DUMMYFUNCTION("""COMPUTED_VALUE"""),0.8131944444444444)</f>
        <v>0.8131944444</v>
      </c>
      <c r="H105" s="41" t="str">
        <f>IFERROR(__xludf.DUMMYFUNCTION("""COMPUTED_VALUE"""),"Rahbarga (shaxsiy)")</f>
        <v>Rahbarga (shaxsiy)</v>
      </c>
      <c r="I105" s="40">
        <f>IFERROR(__xludf.DUMMYFUNCTION("""COMPUTED_VALUE"""),20000.0)</f>
        <v>20000</v>
      </c>
      <c r="J105" s="41"/>
      <c r="K105" s="41" t="str">
        <f>IFERROR(__xludf.DUMMYFUNCTION("""COMPUTED_VALUE"""),"Стадион")</f>
        <v>Стадион</v>
      </c>
      <c r="L105" s="2"/>
      <c r="M105" s="41"/>
      <c r="N105" s="47"/>
      <c r="O105" s="41"/>
      <c r="P105" s="2"/>
    </row>
    <row r="106" ht="18.0" customHeight="1">
      <c r="A106" s="38"/>
      <c r="B106" s="40"/>
      <c r="C106" s="41"/>
      <c r="D106" s="41"/>
      <c r="E106" s="2"/>
      <c r="F106" s="38">
        <f>IFERROR(__xludf.DUMMYFUNCTION("""COMPUTED_VALUE"""),46305.0)</f>
        <v>46305</v>
      </c>
      <c r="G106" s="42">
        <f>IFERROR(__xludf.DUMMYFUNCTION("""COMPUTED_VALUE"""),0.8118055555555556)</f>
        <v>0.8118055556</v>
      </c>
      <c r="H106" s="41" t="str">
        <f>IFERROR(__xludf.DUMMYFUNCTION("""COMPUTED_VALUE"""),"Ойлик (ish haqi)")</f>
        <v>Ойлик (ish haqi)</v>
      </c>
      <c r="I106" s="40">
        <f>IFERROR(__xludf.DUMMYFUNCTION("""COMPUTED_VALUE"""),20000.0)</f>
        <v>20000</v>
      </c>
      <c r="J106" s="41"/>
      <c r="K106" s="41" t="str">
        <f>IFERROR(__xludf.DUMMYFUNCTION("""COMPUTED_VALUE"""),"Стадион")</f>
        <v>Стадион</v>
      </c>
      <c r="L106" s="2"/>
      <c r="M106" s="41"/>
      <c r="N106" s="47"/>
      <c r="O106" s="41"/>
      <c r="P106" s="2"/>
    </row>
    <row r="107" ht="18.0" customHeight="1">
      <c r="A107" s="38"/>
      <c r="B107" s="40"/>
      <c r="C107" s="41"/>
      <c r="D107" s="41"/>
      <c r="E107" s="2"/>
      <c r="F107" s="38">
        <f>IFERROR(__xludf.DUMMYFUNCTION("""COMPUTED_VALUE"""),46305.0)</f>
        <v>46305</v>
      </c>
      <c r="G107" s="42">
        <f>IFERROR(__xludf.DUMMYFUNCTION("""COMPUTED_VALUE"""),0.8111111111111111)</f>
        <v>0.8111111111</v>
      </c>
      <c r="H107" s="41" t="str">
        <f>IFERROR(__xludf.DUMMYFUNCTION("""COMPUTED_VALUE"""),"Ойлик (ish haqi)")</f>
        <v>Ойлик (ish haqi)</v>
      </c>
      <c r="I107" s="40">
        <f>IFERROR(__xludf.DUMMYFUNCTION("""COMPUTED_VALUE"""),20000.0)</f>
        <v>20000</v>
      </c>
      <c r="J107" s="41"/>
      <c r="K107" s="41" t="str">
        <f>IFERROR(__xludf.DUMMYFUNCTION("""COMPUTED_VALUE"""),"Стадион")</f>
        <v>Стадион</v>
      </c>
      <c r="L107" s="2"/>
      <c r="M107" s="41"/>
      <c r="N107" s="47"/>
      <c r="O107" s="41"/>
      <c r="P107" s="2"/>
    </row>
    <row r="108" ht="18.0" customHeight="1">
      <c r="A108" s="38"/>
      <c r="B108" s="40"/>
      <c r="C108" s="41"/>
      <c r="D108" s="41"/>
      <c r="E108" s="2"/>
      <c r="F108" s="38">
        <f>IFERROR(__xludf.DUMMYFUNCTION("""COMPUTED_VALUE"""),46305.0)</f>
        <v>46305</v>
      </c>
      <c r="G108" s="42">
        <f>IFERROR(__xludf.DUMMYFUNCTION("""COMPUTED_VALUE"""),0.8111111111111111)</f>
        <v>0.8111111111</v>
      </c>
      <c r="H108" s="41" t="str">
        <f>IFERROR(__xludf.DUMMYFUNCTION("""COMPUTED_VALUE"""),"Ойлик (ish haqi)")</f>
        <v>Ойлик (ish haqi)</v>
      </c>
      <c r="I108" s="40">
        <f>IFERROR(__xludf.DUMMYFUNCTION("""COMPUTED_VALUE"""),20000.0)</f>
        <v>20000</v>
      </c>
      <c r="J108" s="41"/>
      <c r="K108" s="41" t="str">
        <f>IFERROR(__xludf.DUMMYFUNCTION("""COMPUTED_VALUE"""),"Стадион")</f>
        <v>Стадион</v>
      </c>
      <c r="L108" s="2"/>
      <c r="M108" s="41"/>
      <c r="N108" s="47"/>
      <c r="O108" s="41"/>
      <c r="P108" s="2"/>
    </row>
    <row r="109" ht="18.0" customHeight="1">
      <c r="A109" s="38"/>
      <c r="B109" s="40"/>
      <c r="C109" s="41"/>
      <c r="D109" s="41"/>
      <c r="E109" s="2"/>
      <c r="F109" s="38">
        <f>IFERROR(__xludf.DUMMYFUNCTION("""COMPUTED_VALUE"""),46305.0)</f>
        <v>46305</v>
      </c>
      <c r="G109" s="42">
        <f>IFERROR(__xludf.DUMMYFUNCTION("""COMPUTED_VALUE"""),0.8104166666666667)</f>
        <v>0.8104166667</v>
      </c>
      <c r="H109" s="41" t="str">
        <f>IFERROR(__xludf.DUMMYFUNCTION("""COMPUTED_VALUE"""),"Ойлик (ish haqi)")</f>
        <v>Ойлик (ish haqi)</v>
      </c>
      <c r="I109" s="40">
        <f>IFERROR(__xludf.DUMMYFUNCTION("""COMPUTED_VALUE"""),20000.0)</f>
        <v>20000</v>
      </c>
      <c r="J109" s="41"/>
      <c r="K109" s="41" t="str">
        <f>IFERROR(__xludf.DUMMYFUNCTION("""COMPUTED_VALUE"""),"Стадион")</f>
        <v>Стадион</v>
      </c>
      <c r="L109" s="2"/>
      <c r="M109" s="41"/>
      <c r="N109" s="47"/>
      <c r="O109" s="41"/>
      <c r="P109" s="2"/>
    </row>
    <row r="110" ht="18.0" customHeight="1">
      <c r="A110" s="38"/>
      <c r="B110" s="40"/>
      <c r="C110" s="41"/>
      <c r="D110" s="41"/>
      <c r="E110" s="2"/>
      <c r="F110" s="38">
        <f>IFERROR(__xludf.DUMMYFUNCTION("""COMPUTED_VALUE"""),46305.0)</f>
        <v>46305</v>
      </c>
      <c r="G110" s="42">
        <f>IFERROR(__xludf.DUMMYFUNCTION("""COMPUTED_VALUE"""),0.8090277777777778)</f>
        <v>0.8090277778</v>
      </c>
      <c r="H110" s="41" t="str">
        <f>IFERROR(__xludf.DUMMYFUNCTION("""COMPUTED_VALUE"""),"Ойлик (ish haqi)")</f>
        <v>Ойлик (ish haqi)</v>
      </c>
      <c r="I110" s="40">
        <f>IFERROR(__xludf.DUMMYFUNCTION("""COMPUTED_VALUE"""),20000.0)</f>
        <v>20000</v>
      </c>
      <c r="J110" s="41"/>
      <c r="K110" s="41" t="str">
        <f>IFERROR(__xludf.DUMMYFUNCTION("""COMPUTED_VALUE"""),"Стадион")</f>
        <v>Стадион</v>
      </c>
      <c r="L110" s="2"/>
      <c r="M110" s="41"/>
      <c r="N110" s="47"/>
      <c r="O110" s="41"/>
      <c r="P110" s="2"/>
    </row>
    <row r="111" ht="18.0" customHeight="1">
      <c r="A111" s="38"/>
      <c r="B111" s="40"/>
      <c r="C111" s="41"/>
      <c r="D111" s="41"/>
      <c r="E111" s="2"/>
      <c r="F111" s="38">
        <f>IFERROR(__xludf.DUMMYFUNCTION("""COMPUTED_VALUE"""),46305.0)</f>
        <v>46305</v>
      </c>
      <c r="G111" s="42">
        <f>IFERROR(__xludf.DUMMYFUNCTION("""COMPUTED_VALUE"""),0.0625)</f>
        <v>0.0625</v>
      </c>
      <c r="H111" s="41" t="str">
        <f>IFERROR(__xludf.DUMMYFUNCTION("""COMPUTED_VALUE"""),"Ойлик (ish haqi)")</f>
        <v>Ойлик (ish haqi)</v>
      </c>
      <c r="I111" s="40">
        <f>IFERROR(__xludf.DUMMYFUNCTION("""COMPUTED_VALUE"""),200000.0)</f>
        <v>200000</v>
      </c>
      <c r="J111" s="41"/>
      <c r="K111" s="41" t="str">
        <f>IFERROR(__xludf.DUMMYFUNCTION("""COMPUTED_VALUE"""),"Элбек аванс")</f>
        <v>Элбек аванс</v>
      </c>
      <c r="L111" s="2"/>
      <c r="M111" s="41"/>
      <c r="N111" s="47"/>
      <c r="O111" s="41"/>
      <c r="P111" s="2"/>
    </row>
    <row r="112" ht="18.0" customHeight="1">
      <c r="A112" s="38"/>
      <c r="B112" s="40"/>
      <c r="C112" s="41"/>
      <c r="D112" s="41"/>
      <c r="E112" s="2"/>
      <c r="F112" s="38">
        <f>IFERROR(__xludf.DUMMYFUNCTION("""COMPUTED_VALUE"""),46304.0)</f>
        <v>46304</v>
      </c>
      <c r="G112" s="42">
        <f>IFERROR(__xludf.DUMMYFUNCTION("""COMPUTED_VALUE"""),0.7208333333333333)</f>
        <v>0.7208333333</v>
      </c>
      <c r="H112" s="41" t="str">
        <f>IFERROR(__xludf.DUMMYFUNCTION("""COMPUTED_VALUE"""),"Zapravka")</f>
        <v>Zapravka</v>
      </c>
      <c r="I112" s="40">
        <f>IFERROR(__xludf.DUMMYFUNCTION("""COMPUTED_VALUE"""),140000.0)</f>
        <v>140000</v>
      </c>
      <c r="J112" s="41"/>
      <c r="K112" s="41" t="str">
        <f>IFERROR(__xludf.DUMMYFUNCTION("""COMPUTED_VALUE"""),"Заправка озим")</f>
        <v>Заправка озим</v>
      </c>
      <c r="L112" s="2"/>
      <c r="M112" s="41"/>
      <c r="N112" s="47"/>
      <c r="O112" s="41"/>
      <c r="P112" s="2"/>
    </row>
    <row r="113" ht="18.0" customHeight="1">
      <c r="A113" s="38"/>
      <c r="B113" s="40"/>
      <c r="C113" s="41"/>
      <c r="D113" s="41"/>
      <c r="E113" s="2"/>
      <c r="F113" s="38">
        <f>IFERROR(__xludf.DUMMYFUNCTION("""COMPUTED_VALUE"""),46304.0)</f>
        <v>46304</v>
      </c>
      <c r="G113" s="42">
        <f>IFERROR(__xludf.DUMMYFUNCTION("""COMPUTED_VALUE"""),0.7194444444444444)</f>
        <v>0.7194444444</v>
      </c>
      <c r="H113" s="41" t="str">
        <f>IFERROR(__xludf.DUMMYFUNCTION("""COMPUTED_VALUE"""),"Usluga (xizmatlar)")</f>
        <v>Usluga (xizmatlar)</v>
      </c>
      <c r="I113" s="40">
        <f>IFERROR(__xludf.DUMMYFUNCTION("""COMPUTED_VALUE"""),100000.0)</f>
        <v>100000</v>
      </c>
      <c r="J113" s="41"/>
      <c r="K113" s="41" t="str">
        <f>IFERROR(__xludf.DUMMYFUNCTION("""COMPUTED_VALUE"""),"Сваршик котел")</f>
        <v>Сваршик котел</v>
      </c>
      <c r="L113" s="2"/>
      <c r="M113" s="41"/>
      <c r="N113" s="47"/>
      <c r="O113" s="41"/>
      <c r="P113" s="2"/>
    </row>
    <row r="114" ht="18.0" customHeight="1">
      <c r="A114" s="38"/>
      <c r="B114" s="40"/>
      <c r="C114" s="41"/>
      <c r="D114" s="41"/>
      <c r="E114" s="2"/>
      <c r="F114" s="38">
        <f>IFERROR(__xludf.DUMMYFUNCTION("""COMPUTED_VALUE"""),46304.0)</f>
        <v>46304</v>
      </c>
      <c r="G114" s="42">
        <f>IFERROR(__xludf.DUMMYFUNCTION("""COMPUTED_VALUE"""),0.71875)</f>
        <v>0.71875</v>
      </c>
      <c r="H114" s="41" t="str">
        <f>IFERROR(__xludf.DUMMYFUNCTION("""COMPUTED_VALUE"""),"Boshqa")</f>
        <v>Boshqa</v>
      </c>
      <c r="I114" s="40">
        <f>IFERROR(__xludf.DUMMYFUNCTION("""COMPUTED_VALUE"""),100000.0)</f>
        <v>100000</v>
      </c>
      <c r="J114" s="41"/>
      <c r="K114" s="41" t="str">
        <f>IFERROR(__xludf.DUMMYFUNCTION("""COMPUTED_VALUE"""),"Распил грузчик")</f>
        <v>Распил грузчик</v>
      </c>
      <c r="L114" s="2"/>
      <c r="M114" s="41"/>
      <c r="N114" s="47"/>
      <c r="O114" s="41"/>
      <c r="P114" s="2"/>
    </row>
    <row r="115" ht="18.0" customHeight="1">
      <c r="A115" s="38"/>
      <c r="B115" s="40"/>
      <c r="C115" s="41"/>
      <c r="D115" s="41"/>
      <c r="E115" s="2"/>
      <c r="F115" s="38">
        <f>IFERROR(__xludf.DUMMYFUNCTION("""COMPUTED_VALUE"""),46304.0)</f>
        <v>46304</v>
      </c>
      <c r="G115" s="42">
        <f>IFERROR(__xludf.DUMMYFUNCTION("""COMPUTED_VALUE"""),0.7173611111111111)</f>
        <v>0.7173611111</v>
      </c>
      <c r="H115" s="41" t="str">
        <f>IFERROR(__xludf.DUMMYFUNCTION("""COMPUTED_VALUE"""),"Mashina / dostavka")</f>
        <v>Mashina / dostavka</v>
      </c>
      <c r="I115" s="40">
        <f>IFERROR(__xludf.DUMMYFUNCTION("""COMPUTED_VALUE"""),50000.0)</f>
        <v>50000</v>
      </c>
      <c r="J115" s="41">
        <f>IFERROR(__xludf.DUMMYFUNCTION("""COMPUTED_VALUE"""),383.0)</f>
        <v>383</v>
      </c>
      <c r="K115" s="41" t="str">
        <f>IFERROR(__xludf.DUMMYFUNCTION("""COMPUTED_VALUE"""),"Яндекс болла цехга")</f>
        <v>Яндекс болла цехга</v>
      </c>
      <c r="L115" s="2"/>
      <c r="M115" s="41"/>
      <c r="N115" s="47"/>
      <c r="O115" s="41"/>
      <c r="P115" s="2"/>
    </row>
    <row r="116" ht="18.0" customHeight="1">
      <c r="A116" s="38"/>
      <c r="B116" s="40"/>
      <c r="C116" s="41"/>
      <c r="D116" s="41"/>
      <c r="E116" s="2"/>
      <c r="F116" s="38">
        <f>IFERROR(__xludf.DUMMYFUNCTION("""COMPUTED_VALUE"""),46304.0)</f>
        <v>46304</v>
      </c>
      <c r="G116" s="42">
        <f>IFERROR(__xludf.DUMMYFUNCTION("""COMPUTED_VALUE"""),0.7152777777777778)</f>
        <v>0.7152777778</v>
      </c>
      <c r="H116" s="41" t="str">
        <f>IFERROR(__xludf.DUMMYFUNCTION("""COMPUTED_VALUE"""),"Ойлик (ish haqi)")</f>
        <v>Ойлик (ish haqi)</v>
      </c>
      <c r="I116" s="40">
        <f>IFERROR(__xludf.DUMMYFUNCTION("""COMPUTED_VALUE"""),150000.0)</f>
        <v>150000</v>
      </c>
      <c r="J116" s="41"/>
      <c r="K116" s="41" t="str">
        <f>IFERROR(__xludf.DUMMYFUNCTION("""COMPUTED_VALUE"""),"Ойлик")</f>
        <v>Ойлик</v>
      </c>
      <c r="L116" s="2"/>
      <c r="M116" s="41"/>
      <c r="N116" s="47"/>
      <c r="O116" s="41"/>
      <c r="P116" s="2"/>
    </row>
    <row r="117" ht="18.0" customHeight="1">
      <c r="A117" s="38"/>
      <c r="B117" s="40"/>
      <c r="C117" s="41"/>
      <c r="D117" s="41"/>
      <c r="E117" s="2"/>
      <c r="F117" s="38">
        <f>IFERROR(__xludf.DUMMYFUNCTION("""COMPUTED_VALUE"""),46304.0)</f>
        <v>46304</v>
      </c>
      <c r="G117" s="42">
        <f>IFERROR(__xludf.DUMMYFUNCTION("""COMPUTED_VALUE"""),0.7145833333333333)</f>
        <v>0.7145833333</v>
      </c>
      <c r="H117" s="41" t="str">
        <f>IFERROR(__xludf.DUMMYFUNCTION("""COMPUTED_VALUE"""),"Kommunal xizmatlar")</f>
        <v>Kommunal xizmatlar</v>
      </c>
      <c r="I117" s="40">
        <f>IFERROR(__xludf.DUMMYFUNCTION("""COMPUTED_VALUE"""),20000.0)</f>
        <v>20000</v>
      </c>
      <c r="J117" s="41"/>
      <c r="K117" s="41" t="str">
        <f>IFERROR(__xludf.DUMMYFUNCTION("""COMPUTED_VALUE"""),"Свет Ишхона")</f>
        <v>Свет Ишхона</v>
      </c>
      <c r="L117" s="2"/>
      <c r="M117" s="41"/>
      <c r="N117" s="47"/>
      <c r="O117" s="41"/>
      <c r="P117" s="2"/>
    </row>
    <row r="118" ht="18.0" customHeight="1">
      <c r="A118" s="38"/>
      <c r="B118" s="40"/>
      <c r="C118" s="41"/>
      <c r="D118" s="41"/>
      <c r="E118" s="2"/>
      <c r="F118" s="38">
        <f>IFERROR(__xludf.DUMMYFUNCTION("""COMPUTED_VALUE"""),46304.0)</f>
        <v>46304</v>
      </c>
      <c r="G118" s="42">
        <f>IFERROR(__xludf.DUMMYFUNCTION("""COMPUTED_VALUE"""),0.7125)</f>
        <v>0.7125</v>
      </c>
      <c r="H118" s="41" t="str">
        <f>IFERROR(__xludf.DUMMYFUNCTION("""COMPUTED_VALUE"""),"Furnitura")</f>
        <v>Furnitura</v>
      </c>
      <c r="I118" s="40">
        <f>IFERROR(__xludf.DUMMYFUNCTION("""COMPUTED_VALUE"""),241000.0)</f>
        <v>241000</v>
      </c>
      <c r="J118" s="41"/>
      <c r="K118" s="41" t="str">
        <f>IFERROR(__xludf.DUMMYFUNCTION("""COMPUTED_VALUE"""),"полка держ Акбар")</f>
        <v>полка держ Акбар</v>
      </c>
      <c r="L118" s="2"/>
      <c r="M118" s="41"/>
      <c r="N118" s="47"/>
      <c r="O118" s="41"/>
      <c r="P118" s="2"/>
    </row>
    <row r="119" ht="18.0" customHeight="1">
      <c r="A119" s="38"/>
      <c r="B119" s="40"/>
      <c r="C119" s="41"/>
      <c r="D119" s="41"/>
      <c r="E119" s="2"/>
      <c r="F119" s="38">
        <f>IFERROR(__xludf.DUMMYFUNCTION("""COMPUTED_VALUE"""),46304.0)</f>
        <v>46304</v>
      </c>
      <c r="G119" s="42">
        <f>IFERROR(__xludf.DUMMYFUNCTION("""COMPUTED_VALUE"""),0.7118055555555556)</f>
        <v>0.7118055556</v>
      </c>
      <c r="H119" s="41" t="str">
        <f>IFERROR(__xludf.DUMMYFUNCTION("""COMPUTED_VALUE"""),"Ovqat")</f>
        <v>Ovqat</v>
      </c>
      <c r="I119" s="40">
        <f>IFERROR(__xludf.DUMMYFUNCTION("""COMPUTED_VALUE"""),35000.0)</f>
        <v>35000</v>
      </c>
      <c r="J119" s="41"/>
      <c r="K119" s="41" t="str">
        <f>IFERROR(__xludf.DUMMYFUNCTION("""COMPUTED_VALUE"""),"Обед озим 3.10.26")</f>
        <v>Обед озим 3.10.26</v>
      </c>
      <c r="L119" s="2"/>
      <c r="M119" s="41"/>
      <c r="N119" s="47"/>
      <c r="O119" s="41"/>
      <c r="P119" s="2"/>
    </row>
    <row r="120" ht="18.0" customHeight="1">
      <c r="A120" s="38"/>
      <c r="B120" s="40"/>
      <c r="C120" s="41"/>
      <c r="D120" s="41"/>
      <c r="E120" s="2"/>
      <c r="F120" s="38">
        <f>IFERROR(__xludf.DUMMYFUNCTION("""COMPUTED_VALUE"""),46304.0)</f>
        <v>46304</v>
      </c>
      <c r="G120" s="42">
        <f>IFERROR(__xludf.DUMMYFUNCTION("""COMPUTED_VALUE"""),0.7097222222222223)</f>
        <v>0.7097222222</v>
      </c>
      <c r="H120" s="41" t="str">
        <f>IFERROR(__xludf.DUMMYFUNCTION("""COMPUTED_VALUE"""),"Usluga (xizmatlar)")</f>
        <v>Usluga (xizmatlar)</v>
      </c>
      <c r="I120" s="40">
        <f>IFERROR(__xludf.DUMMYFUNCTION("""COMPUTED_VALUE"""),52000.0)</f>
        <v>52000</v>
      </c>
      <c r="J120" s="41"/>
      <c r="K120" s="41" t="str">
        <f>IFERROR(__xludf.DUMMYFUNCTION("""COMPUTED_VALUE"""),"кромка распил полка хдф акбар")</f>
        <v>кромка распил полка хдф акбар</v>
      </c>
      <c r="L120" s="2"/>
      <c r="M120" s="41"/>
      <c r="N120" s="47"/>
      <c r="O120" s="41"/>
      <c r="P120" s="2"/>
    </row>
    <row r="121" ht="18.0" customHeight="1">
      <c r="A121" s="38"/>
      <c r="B121" s="40"/>
      <c r="C121" s="41"/>
      <c r="D121" s="41"/>
      <c r="E121" s="2"/>
      <c r="F121" s="38">
        <f>IFERROR(__xludf.DUMMYFUNCTION("""COMPUTED_VALUE"""),46304.0)</f>
        <v>46304</v>
      </c>
      <c r="G121" s="42">
        <f>IFERROR(__xludf.DUMMYFUNCTION("""COMPUTED_VALUE"""),0.7083333333333334)</f>
        <v>0.7083333333</v>
      </c>
      <c r="H121" s="41" t="str">
        <f>IFERROR(__xludf.DUMMYFUNCTION("""COMPUTED_VALUE"""),"Usluga (xizmatlar)")</f>
        <v>Usluga (xizmatlar)</v>
      </c>
      <c r="I121" s="40">
        <f>IFERROR(__xludf.DUMMYFUNCTION("""COMPUTED_VALUE"""),250000.0)</f>
        <v>250000</v>
      </c>
      <c r="J121" s="41"/>
      <c r="K121" s="41" t="str">
        <f>IFERROR(__xludf.DUMMYFUNCTION("""COMPUTED_VALUE"""),"Шпон акбар")</f>
        <v>Шпон акбар</v>
      </c>
      <c r="L121" s="2"/>
      <c r="M121" s="41"/>
      <c r="N121" s="47"/>
      <c r="O121" s="41"/>
      <c r="P121" s="2"/>
    </row>
    <row r="122" ht="18.0" customHeight="1">
      <c r="A122" s="38"/>
      <c r="B122" s="40"/>
      <c r="C122" s="41"/>
      <c r="D122" s="41"/>
      <c r="E122" s="2"/>
      <c r="F122" s="38">
        <f>IFERROR(__xludf.DUMMYFUNCTION("""COMPUTED_VALUE"""),46304.0)</f>
        <v>46304</v>
      </c>
      <c r="G122" s="42">
        <f>IFERROR(__xludf.DUMMYFUNCTION("""COMPUTED_VALUE"""),0.5944444444444444)</f>
        <v>0.5944444444</v>
      </c>
      <c r="H122" s="41" t="str">
        <f>IFERROR(__xludf.DUMMYFUNCTION("""COMPUTED_VALUE"""),"Ovqat")</f>
        <v>Ovqat</v>
      </c>
      <c r="I122" s="40">
        <f>IFERROR(__xludf.DUMMYFUNCTION("""COMPUTED_VALUE"""),35000.0)</f>
        <v>35000</v>
      </c>
      <c r="J122" s="41"/>
      <c r="K122" s="41" t="str">
        <f>IFERROR(__xludf.DUMMYFUNCTION("""COMPUTED_VALUE"""),"Обед озим 9.10.26")</f>
        <v>Обед озим 9.10.26</v>
      </c>
      <c r="L122" s="2"/>
      <c r="M122" s="41"/>
      <c r="N122" s="47"/>
      <c r="O122" s="41"/>
      <c r="P122" s="2"/>
    </row>
    <row r="123" ht="18.0" customHeight="1">
      <c r="A123" s="38"/>
      <c r="B123" s="40"/>
      <c r="C123" s="41"/>
      <c r="D123" s="41"/>
      <c r="E123" s="2"/>
      <c r="F123" s="38">
        <f>IFERROR(__xludf.DUMMYFUNCTION("""COMPUTED_VALUE"""),46304.0)</f>
        <v>46304</v>
      </c>
      <c r="G123" s="42">
        <f>IFERROR(__xludf.DUMMYFUNCTION("""COMPUTED_VALUE"""),0.59375)</f>
        <v>0.59375</v>
      </c>
      <c r="H123" s="41" t="str">
        <f>IFERROR(__xludf.DUMMYFUNCTION("""COMPUTED_VALUE"""),"Ovqat")</f>
        <v>Ovqat</v>
      </c>
      <c r="I123" s="40">
        <f>IFERROR(__xludf.DUMMYFUNCTION("""COMPUTED_VALUE"""),35000.0)</f>
        <v>35000</v>
      </c>
      <c r="J123" s="41"/>
      <c r="K123" s="41" t="str">
        <f>IFERROR(__xludf.DUMMYFUNCTION("""COMPUTED_VALUE"""),"Обед озим 8.10.26")</f>
        <v>Обед озим 8.10.26</v>
      </c>
      <c r="L123" s="2"/>
      <c r="M123" s="41"/>
      <c r="N123" s="47"/>
      <c r="O123" s="41"/>
      <c r="P123" s="2"/>
    </row>
    <row r="124" ht="18.0" customHeight="1">
      <c r="A124" s="38"/>
      <c r="B124" s="40"/>
      <c r="C124" s="41"/>
      <c r="D124" s="41"/>
      <c r="E124" s="2"/>
      <c r="F124" s="38">
        <f>IFERROR(__xludf.DUMMYFUNCTION("""COMPUTED_VALUE"""),46303.0)</f>
        <v>46303</v>
      </c>
      <c r="G124" s="42">
        <f>IFERROR(__xludf.DUMMYFUNCTION("""COMPUTED_VALUE"""),0.9326388888888889)</f>
        <v>0.9326388889</v>
      </c>
      <c r="H124" s="41" t="str">
        <f>IFERROR(__xludf.DUMMYFUNCTION("""COMPUTED_VALUE"""),"Zapravka")</f>
        <v>Zapravka</v>
      </c>
      <c r="I124" s="40">
        <f>IFERROR(__xludf.DUMMYFUNCTION("""COMPUTED_VALUE"""),465000.0)</f>
        <v>465000</v>
      </c>
      <c r="J124" s="41"/>
      <c r="K124" s="41" t="str">
        <f>IFERROR(__xludf.DUMMYFUNCTION("""COMPUTED_VALUE"""),"Газ чанган")</f>
        <v>Газ чанган</v>
      </c>
      <c r="L124" s="2"/>
      <c r="M124" s="41"/>
      <c r="N124" s="47"/>
      <c r="O124" s="41"/>
      <c r="P124" s="2"/>
    </row>
    <row r="125" ht="18.0" customHeight="1">
      <c r="A125" s="38"/>
      <c r="B125" s="40"/>
      <c r="C125" s="41"/>
      <c r="D125" s="41"/>
      <c r="E125" s="2"/>
      <c r="F125" s="38">
        <f>IFERROR(__xludf.DUMMYFUNCTION("""COMPUTED_VALUE"""),46303.0)</f>
        <v>46303</v>
      </c>
      <c r="G125" s="42">
        <f>IFERROR(__xludf.DUMMYFUNCTION("""COMPUTED_VALUE"""),0.7270833333333333)</f>
        <v>0.7270833333</v>
      </c>
      <c r="H125" s="41" t="str">
        <f>IFERROR(__xludf.DUMMYFUNCTION("""COMPUTED_VALUE"""),"Furnitura")</f>
        <v>Furnitura</v>
      </c>
      <c r="I125" s="40">
        <f>IFERROR(__xludf.DUMMYFUNCTION("""COMPUTED_VALUE"""),40000.0)</f>
        <v>40000</v>
      </c>
      <c r="J125" s="41"/>
      <c r="K125" s="41" t="str">
        <f>IFERROR(__xludf.DUMMYFUNCTION("""COMPUTED_VALUE"""),"Ручка 4та Акбар офият")</f>
        <v>Ручка 4та Акбар офият</v>
      </c>
      <c r="L125" s="2"/>
      <c r="M125" s="41"/>
      <c r="N125" s="47"/>
      <c r="O125" s="41"/>
      <c r="P125" s="2"/>
    </row>
    <row r="126" ht="18.0" customHeight="1">
      <c r="A126" s="38"/>
      <c r="B126" s="40"/>
      <c r="C126" s="41"/>
      <c r="D126" s="41"/>
      <c r="E126" s="2"/>
      <c r="F126" s="38">
        <f>IFERROR(__xludf.DUMMYFUNCTION("""COMPUTED_VALUE"""),46302.0)</f>
        <v>46302</v>
      </c>
      <c r="G126" s="42">
        <f>IFERROR(__xludf.DUMMYFUNCTION("""COMPUTED_VALUE"""),0.9444444444444444)</f>
        <v>0.9444444444</v>
      </c>
      <c r="H126" s="41" t="str">
        <f>IFERROR(__xludf.DUMMYFUNCTION("""COMPUTED_VALUE"""),"Ovqat")</f>
        <v>Ovqat</v>
      </c>
      <c r="I126" s="40">
        <f>IFERROR(__xludf.DUMMYFUNCTION("""COMPUTED_VALUE"""),80000.0)</f>
        <v>80000</v>
      </c>
      <c r="J126" s="41">
        <f>IFERROR(__xludf.DUMMYFUNCTION("""COMPUTED_VALUE"""),388.0)</f>
        <v>388</v>
      </c>
      <c r="K126" s="41" t="str">
        <f>IFERROR(__xludf.DUMMYFUNCTION("""COMPUTED_VALUE"""),"Ужин болла")</f>
        <v>Ужин болла</v>
      </c>
      <c r="L126" s="2"/>
      <c r="M126" s="41"/>
      <c r="N126" s="47"/>
      <c r="O126" s="41"/>
      <c r="P126" s="2"/>
    </row>
    <row r="127" ht="18.0" customHeight="1">
      <c r="A127" s="38"/>
      <c r="B127" s="40"/>
      <c r="C127" s="41"/>
      <c r="D127" s="41"/>
      <c r="E127" s="2"/>
      <c r="F127" s="38">
        <f>IFERROR(__xludf.DUMMYFUNCTION("""COMPUTED_VALUE"""),46302.0)</f>
        <v>46302</v>
      </c>
      <c r="G127" s="42">
        <f>IFERROR(__xludf.DUMMYFUNCTION("""COMPUTED_VALUE"""),0.83125)</f>
        <v>0.83125</v>
      </c>
      <c r="H127" s="41" t="str">
        <f>IFERROR(__xludf.DUMMYFUNCTION("""COMPUTED_VALUE"""),"Ovqat")</f>
        <v>Ovqat</v>
      </c>
      <c r="I127" s="40">
        <f>IFERROR(__xludf.DUMMYFUNCTION("""COMPUTED_VALUE"""),160000.0)</f>
        <v>160000</v>
      </c>
      <c r="J127" s="41"/>
      <c r="K127" s="41" t="str">
        <f>IFERROR(__xludf.DUMMYFUNCTION("""COMPUTED_VALUE"""),"Ужин болла Хуршид")</f>
        <v>Ужин болла Хуршид</v>
      </c>
      <c r="L127" s="2"/>
      <c r="M127" s="41"/>
      <c r="N127" s="47"/>
      <c r="O127" s="41"/>
      <c r="P127" s="2"/>
    </row>
    <row r="128" ht="18.0" customHeight="1">
      <c r="A128" s="38"/>
      <c r="B128" s="40"/>
      <c r="C128" s="41"/>
      <c r="D128" s="41"/>
      <c r="E128" s="2"/>
      <c r="F128" s="38">
        <f>IFERROR(__xludf.DUMMYFUNCTION("""COMPUTED_VALUE"""),46302.0)</f>
        <v>46302</v>
      </c>
      <c r="G128" s="42">
        <f>IFERROR(__xludf.DUMMYFUNCTION("""COMPUTED_VALUE"""),0.8305555555555556)</f>
        <v>0.8305555556</v>
      </c>
      <c r="H128" s="41" t="str">
        <f>IFERROR(__xludf.DUMMYFUNCTION("""COMPUTED_VALUE"""),"Ovqat")</f>
        <v>Ovqat</v>
      </c>
      <c r="I128" s="40">
        <f>IFERROR(__xludf.DUMMYFUNCTION("""COMPUTED_VALUE"""),35000.0)</f>
        <v>35000</v>
      </c>
      <c r="J128" s="41"/>
      <c r="K128" s="41" t="str">
        <f>IFERROR(__xludf.DUMMYFUNCTION("""COMPUTED_VALUE"""),"Обед озим")</f>
        <v>Обед озим</v>
      </c>
      <c r="L128" s="2"/>
      <c r="M128" s="41"/>
      <c r="N128" s="47"/>
      <c r="O128" s="41"/>
      <c r="P128" s="2"/>
    </row>
    <row r="129" ht="18.0" customHeight="1">
      <c r="A129" s="38"/>
      <c r="B129" s="40"/>
      <c r="C129" s="41"/>
      <c r="D129" s="41"/>
      <c r="E129" s="2"/>
      <c r="F129" s="38">
        <f>IFERROR(__xludf.DUMMYFUNCTION("""COMPUTED_VALUE"""),46302.0)</f>
        <v>46302</v>
      </c>
      <c r="G129" s="42">
        <f>IFERROR(__xludf.DUMMYFUNCTION("""COMPUTED_VALUE"""),0.8298611111111112)</f>
        <v>0.8298611111</v>
      </c>
      <c r="H129" s="41" t="str">
        <f>IFERROR(__xludf.DUMMYFUNCTION("""COMPUTED_VALUE"""),"Ovqat")</f>
        <v>Ovqat</v>
      </c>
      <c r="I129" s="40">
        <f>IFERROR(__xludf.DUMMYFUNCTION("""COMPUTED_VALUE"""),161000.0)</f>
        <v>161000</v>
      </c>
      <c r="J129" s="41"/>
      <c r="K129" s="41" t="str">
        <f>IFERROR(__xludf.DUMMYFUNCTION("""COMPUTED_VALUE"""),"обед болла Хуршид")</f>
        <v>обед болла Хуршид</v>
      </c>
      <c r="L129" s="2"/>
      <c r="M129" s="41"/>
      <c r="N129" s="47"/>
      <c r="O129" s="41"/>
      <c r="P129" s="2"/>
    </row>
    <row r="130" ht="18.0" customHeight="1">
      <c r="A130" s="38"/>
      <c r="B130" s="40"/>
      <c r="C130" s="41"/>
      <c r="D130" s="41"/>
      <c r="E130" s="2"/>
      <c r="F130" s="38">
        <f>IFERROR(__xludf.DUMMYFUNCTION("""COMPUTED_VALUE"""),46302.0)</f>
        <v>46302</v>
      </c>
      <c r="G130" s="42">
        <f>IFERROR(__xludf.DUMMYFUNCTION("""COMPUTED_VALUE"""),0.8298611111111112)</f>
        <v>0.8298611111</v>
      </c>
      <c r="H130" s="41" t="str">
        <f>IFERROR(__xludf.DUMMYFUNCTION("""COMPUTED_VALUE"""),"Ovqat")</f>
        <v>Ovqat</v>
      </c>
      <c r="I130" s="40">
        <f>IFERROR(__xludf.DUMMYFUNCTION("""COMPUTED_VALUE"""),80000.0)</f>
        <v>80000</v>
      </c>
      <c r="J130" s="41"/>
      <c r="K130" s="41" t="str">
        <f>IFERROR(__xludf.DUMMYFUNCTION("""COMPUTED_VALUE"""),"Обед болла Комил")</f>
        <v>Обед болла Комил</v>
      </c>
      <c r="L130" s="2"/>
      <c r="M130" s="41"/>
      <c r="N130" s="47"/>
      <c r="O130" s="41"/>
      <c r="P130" s="2"/>
    </row>
    <row r="131" ht="18.0" customHeight="1">
      <c r="A131" s="38"/>
      <c r="B131" s="40"/>
      <c r="C131" s="41"/>
      <c r="D131" s="41"/>
      <c r="E131" s="2"/>
      <c r="F131" s="38">
        <f>IFERROR(__xludf.DUMMYFUNCTION("""COMPUTED_VALUE"""),46302.0)</f>
        <v>46302</v>
      </c>
      <c r="G131" s="42">
        <f>IFERROR(__xludf.DUMMYFUNCTION("""COMPUTED_VALUE"""),0.8284722222222223)</f>
        <v>0.8284722222</v>
      </c>
      <c r="H131" s="41" t="str">
        <f>IFERROR(__xludf.DUMMYFUNCTION("""COMPUTED_VALUE"""),"Zapravka")</f>
        <v>Zapravka</v>
      </c>
      <c r="I131" s="40">
        <f>IFERROR(__xludf.DUMMYFUNCTION("""COMPUTED_VALUE"""),374000.0)</f>
        <v>374000</v>
      </c>
      <c r="J131" s="41"/>
      <c r="K131" s="41" t="str">
        <f>IFERROR(__xludf.DUMMYFUNCTION("""COMPUTED_VALUE"""),"Газ Лабо")</f>
        <v>Газ Лабо</v>
      </c>
      <c r="L131" s="2"/>
      <c r="M131" s="41"/>
      <c r="N131" s="47"/>
      <c r="O131" s="41"/>
      <c r="P131" s="2"/>
    </row>
    <row r="132" ht="18.0" customHeight="1">
      <c r="A132" s="38"/>
      <c r="B132" s="40"/>
      <c r="C132" s="41"/>
      <c r="D132" s="41"/>
      <c r="E132" s="2"/>
      <c r="F132" s="38">
        <f>IFERROR(__xludf.DUMMYFUNCTION("""COMPUTED_VALUE"""),46302.0)</f>
        <v>46302</v>
      </c>
      <c r="G132" s="42">
        <f>IFERROR(__xludf.DUMMYFUNCTION("""COMPUTED_VALUE"""),0.8277777777777777)</f>
        <v>0.8277777778</v>
      </c>
      <c r="H132" s="41" t="str">
        <f>IFERROR(__xludf.DUMMYFUNCTION("""COMPUTED_VALUE"""),"Заказ материал")</f>
        <v>Заказ материал</v>
      </c>
      <c r="I132" s="40">
        <f>IFERROR(__xludf.DUMMYFUNCTION("""COMPUTED_VALUE"""),312000.0)</f>
        <v>312000</v>
      </c>
      <c r="J132" s="41"/>
      <c r="K132" s="41" t="str">
        <f>IFERROR(__xludf.DUMMYFUNCTION("""COMPUTED_VALUE"""),"1. шпон прес+детал Азиз стол")</f>
        <v>1. шпон прес+детал Азиз стол</v>
      </c>
      <c r="L132" s="2"/>
      <c r="M132" s="41"/>
      <c r="N132" s="47"/>
      <c r="O132" s="41"/>
      <c r="P132" s="2"/>
    </row>
    <row r="133" ht="18.0" customHeight="1">
      <c r="A133" s="38"/>
      <c r="B133" s="40"/>
      <c r="C133" s="41"/>
      <c r="D133" s="41"/>
      <c r="E133" s="2"/>
      <c r="F133" s="38">
        <f>IFERROR(__xludf.DUMMYFUNCTION("""COMPUTED_VALUE"""),46301.0)</f>
        <v>46301</v>
      </c>
      <c r="G133" s="42">
        <f>IFERROR(__xludf.DUMMYFUNCTION("""COMPUTED_VALUE"""),0.6819444444444445)</f>
        <v>0.6819444444</v>
      </c>
      <c r="H133" s="41" t="str">
        <f>IFERROR(__xludf.DUMMYFUNCTION("""COMPUTED_VALUE"""),"Ovqat")</f>
        <v>Ovqat</v>
      </c>
      <c r="I133" s="40">
        <f>IFERROR(__xludf.DUMMYFUNCTION("""COMPUTED_VALUE"""),35000.0)</f>
        <v>35000</v>
      </c>
      <c r="J133" s="41"/>
      <c r="K133" s="41" t="str">
        <f>IFERROR(__xludf.DUMMYFUNCTION("""COMPUTED_VALUE"""),"Обед озим")</f>
        <v>Обед озим</v>
      </c>
      <c r="L133" s="2"/>
      <c r="M133" s="41"/>
      <c r="N133" s="47"/>
      <c r="O133" s="41"/>
      <c r="P133" s="2"/>
    </row>
    <row r="134" ht="18.0" customHeight="1">
      <c r="A134" s="38"/>
      <c r="B134" s="40"/>
      <c r="C134" s="41"/>
      <c r="D134" s="41"/>
      <c r="E134" s="2"/>
      <c r="F134" s="38"/>
      <c r="G134" s="42"/>
      <c r="H134" s="41"/>
      <c r="I134" s="40"/>
      <c r="J134" s="41"/>
      <c r="K134" s="41"/>
      <c r="L134" s="2"/>
      <c r="M134" s="41"/>
      <c r="N134" s="47"/>
      <c r="O134" s="41"/>
      <c r="P134" s="2"/>
    </row>
    <row r="135" ht="18.0" customHeight="1">
      <c r="A135" s="38"/>
      <c r="B135" s="40"/>
      <c r="C135" s="41"/>
      <c r="D135" s="41"/>
      <c r="E135" s="2"/>
      <c r="F135" s="38"/>
      <c r="G135" s="42"/>
      <c r="H135" s="41"/>
      <c r="I135" s="40"/>
      <c r="J135" s="41"/>
      <c r="K135" s="41"/>
      <c r="L135" s="2"/>
      <c r="M135" s="41"/>
      <c r="N135" s="47"/>
      <c r="O135" s="41"/>
      <c r="P135" s="2"/>
    </row>
    <row r="136" ht="18.0" customHeight="1">
      <c r="A136" s="38"/>
      <c r="B136" s="40"/>
      <c r="C136" s="41"/>
      <c r="D136" s="41"/>
      <c r="E136" s="2"/>
      <c r="F136" s="38"/>
      <c r="G136" s="42"/>
      <c r="H136" s="41"/>
      <c r="I136" s="40"/>
      <c r="J136" s="41"/>
      <c r="K136" s="41"/>
      <c r="L136" s="2"/>
      <c r="M136" s="41"/>
      <c r="N136" s="47"/>
      <c r="O136" s="41"/>
      <c r="P136" s="2"/>
    </row>
    <row r="137" ht="18.0" customHeight="1">
      <c r="A137" s="38"/>
      <c r="B137" s="40"/>
      <c r="C137" s="41"/>
      <c r="D137" s="41"/>
      <c r="E137" s="2"/>
      <c r="F137" s="38"/>
      <c r="G137" s="42"/>
      <c r="H137" s="41"/>
      <c r="I137" s="40"/>
      <c r="J137" s="41"/>
      <c r="K137" s="41"/>
      <c r="L137" s="2"/>
      <c r="M137" s="41"/>
      <c r="N137" s="47"/>
      <c r="O137" s="41"/>
      <c r="P137" s="2"/>
    </row>
    <row r="138" ht="18.0" customHeight="1">
      <c r="A138" s="38"/>
      <c r="B138" s="40"/>
      <c r="C138" s="41"/>
      <c r="D138" s="41"/>
      <c r="E138" s="2"/>
      <c r="F138" s="38"/>
      <c r="G138" s="42"/>
      <c r="H138" s="41"/>
      <c r="I138" s="40"/>
      <c r="J138" s="41"/>
      <c r="K138" s="41"/>
      <c r="L138" s="2"/>
      <c r="M138" s="41"/>
      <c r="N138" s="47"/>
      <c r="O138" s="41"/>
      <c r="P138" s="2"/>
    </row>
    <row r="139" ht="18.0" customHeight="1">
      <c r="A139" s="38"/>
      <c r="B139" s="40"/>
      <c r="C139" s="41"/>
      <c r="D139" s="41"/>
      <c r="E139" s="2"/>
      <c r="F139" s="38"/>
      <c r="G139" s="42"/>
      <c r="H139" s="41"/>
      <c r="I139" s="40"/>
      <c r="J139" s="41"/>
      <c r="K139" s="41"/>
      <c r="L139" s="2"/>
      <c r="M139" s="41"/>
      <c r="N139" s="47"/>
      <c r="O139" s="41"/>
      <c r="P139" s="2"/>
    </row>
    <row r="140" ht="18.0" customHeight="1">
      <c r="A140" s="38"/>
      <c r="B140" s="40"/>
      <c r="C140" s="41"/>
      <c r="D140" s="41"/>
      <c r="E140" s="2"/>
      <c r="F140" s="38"/>
      <c r="G140" s="42"/>
      <c r="H140" s="41"/>
      <c r="I140" s="40"/>
      <c r="J140" s="41"/>
      <c r="K140" s="41"/>
      <c r="L140" s="2"/>
      <c r="M140" s="41"/>
      <c r="N140" s="47"/>
      <c r="O140" s="41"/>
      <c r="P140" s="2"/>
    </row>
    <row r="141" ht="18.0" customHeight="1">
      <c r="A141" s="38"/>
      <c r="B141" s="40"/>
      <c r="C141" s="41"/>
      <c r="D141" s="41"/>
      <c r="E141" s="2"/>
      <c r="F141" s="38"/>
      <c r="G141" s="42"/>
      <c r="H141" s="41"/>
      <c r="I141" s="40"/>
      <c r="J141" s="41"/>
      <c r="K141" s="41"/>
      <c r="L141" s="2"/>
      <c r="M141" s="41"/>
      <c r="N141" s="47"/>
      <c r="O141" s="41"/>
      <c r="P141" s="2"/>
    </row>
    <row r="142" ht="18.0" customHeight="1">
      <c r="A142" s="38"/>
      <c r="B142" s="40"/>
      <c r="C142" s="41"/>
      <c r="D142" s="41"/>
      <c r="E142" s="2"/>
      <c r="F142" s="38"/>
      <c r="G142" s="42"/>
      <c r="H142" s="41"/>
      <c r="I142" s="40"/>
      <c r="J142" s="41"/>
      <c r="K142" s="41"/>
      <c r="L142" s="2"/>
      <c r="M142" s="41"/>
      <c r="N142" s="47"/>
      <c r="O142" s="41"/>
      <c r="P142" s="2"/>
    </row>
    <row r="143" ht="18.0" customHeight="1">
      <c r="A143" s="38"/>
      <c r="B143" s="40"/>
      <c r="C143" s="41"/>
      <c r="D143" s="41"/>
      <c r="E143" s="2"/>
      <c r="F143" s="38"/>
      <c r="G143" s="42"/>
      <c r="H143" s="41"/>
      <c r="I143" s="40"/>
      <c r="J143" s="41"/>
      <c r="K143" s="41"/>
      <c r="L143" s="2"/>
      <c r="M143" s="41"/>
      <c r="N143" s="47"/>
      <c r="O143" s="41"/>
      <c r="P143" s="2"/>
    </row>
    <row r="144" ht="18.0" customHeight="1">
      <c r="A144" s="38"/>
      <c r="B144" s="40"/>
      <c r="C144" s="41"/>
      <c r="D144" s="41"/>
      <c r="E144" s="2"/>
      <c r="F144" s="38"/>
      <c r="G144" s="42"/>
      <c r="H144" s="41"/>
      <c r="I144" s="40"/>
      <c r="J144" s="41"/>
      <c r="K144" s="41"/>
      <c r="L144" s="2"/>
      <c r="M144" s="41"/>
      <c r="N144" s="47"/>
      <c r="O144" s="41"/>
      <c r="P144" s="2"/>
    </row>
    <row r="145" ht="18.0" customHeight="1">
      <c r="A145" s="38"/>
      <c r="B145" s="40"/>
      <c r="C145" s="41"/>
      <c r="D145" s="41"/>
      <c r="E145" s="2"/>
      <c r="F145" s="38"/>
      <c r="G145" s="42"/>
      <c r="H145" s="41"/>
      <c r="I145" s="40"/>
      <c r="J145" s="41"/>
      <c r="K145" s="41"/>
      <c r="L145" s="2"/>
      <c r="M145" s="41"/>
      <c r="N145" s="47"/>
      <c r="O145" s="41"/>
      <c r="P145" s="2"/>
    </row>
    <row r="146" ht="18.0" customHeight="1">
      <c r="A146" s="38"/>
      <c r="B146" s="40"/>
      <c r="C146" s="41"/>
      <c r="D146" s="41"/>
      <c r="E146" s="2"/>
      <c r="F146" s="38"/>
      <c r="G146" s="42"/>
      <c r="H146" s="41"/>
      <c r="I146" s="40"/>
      <c r="J146" s="41"/>
      <c r="K146" s="41"/>
      <c r="L146" s="2"/>
      <c r="M146" s="41"/>
      <c r="N146" s="47"/>
      <c r="O146" s="41"/>
      <c r="P146" s="2"/>
    </row>
    <row r="147" ht="18.0" customHeight="1">
      <c r="A147" s="38"/>
      <c r="B147" s="40"/>
      <c r="C147" s="41"/>
      <c r="D147" s="41"/>
      <c r="E147" s="2"/>
      <c r="F147" s="38"/>
      <c r="G147" s="42"/>
      <c r="H147" s="41"/>
      <c r="I147" s="40"/>
      <c r="J147" s="41"/>
      <c r="K147" s="41"/>
      <c r="L147" s="2"/>
      <c r="M147" s="41"/>
      <c r="N147" s="47"/>
      <c r="O147" s="41"/>
      <c r="P147" s="2"/>
    </row>
    <row r="148" ht="18.0" customHeight="1">
      <c r="A148" s="38"/>
      <c r="B148" s="40"/>
      <c r="C148" s="41"/>
      <c r="D148" s="41"/>
      <c r="E148" s="2"/>
      <c r="F148" s="38"/>
      <c r="G148" s="42"/>
      <c r="H148" s="41"/>
      <c r="I148" s="40"/>
      <c r="J148" s="41"/>
      <c r="K148" s="41"/>
      <c r="L148" s="2"/>
      <c r="M148" s="41"/>
      <c r="N148" s="47"/>
      <c r="O148" s="41"/>
      <c r="P148" s="2"/>
    </row>
    <row r="149" ht="18.0" customHeight="1">
      <c r="A149" s="38"/>
      <c r="B149" s="40"/>
      <c r="C149" s="41"/>
      <c r="D149" s="41"/>
      <c r="E149" s="2"/>
      <c r="F149" s="38"/>
      <c r="G149" s="42"/>
      <c r="H149" s="41"/>
      <c r="I149" s="40"/>
      <c r="J149" s="41"/>
      <c r="K149" s="41"/>
      <c r="L149" s="2"/>
      <c r="M149" s="41"/>
      <c r="N149" s="47"/>
      <c r="O149" s="41"/>
      <c r="P149" s="2"/>
    </row>
    <row r="150" ht="18.0" customHeight="1">
      <c r="A150" s="38"/>
      <c r="B150" s="40"/>
      <c r="C150" s="41"/>
      <c r="D150" s="41"/>
      <c r="E150" s="2"/>
      <c r="F150" s="38"/>
      <c r="G150" s="42"/>
      <c r="H150" s="41"/>
      <c r="I150" s="40"/>
      <c r="J150" s="41"/>
      <c r="K150" s="41"/>
      <c r="L150" s="2"/>
      <c r="M150" s="41"/>
      <c r="N150" s="47"/>
      <c r="O150" s="41"/>
      <c r="P150" s="2"/>
    </row>
    <row r="151" ht="18.0" customHeight="1">
      <c r="A151" s="38"/>
      <c r="B151" s="40"/>
      <c r="C151" s="41"/>
      <c r="D151" s="41"/>
      <c r="E151" s="2"/>
      <c r="F151" s="38"/>
      <c r="G151" s="42"/>
      <c r="H151" s="41"/>
      <c r="I151" s="40"/>
      <c r="J151" s="41"/>
      <c r="K151" s="41"/>
      <c r="L151" s="2"/>
      <c r="M151" s="41"/>
      <c r="N151" s="47"/>
      <c r="O151" s="41"/>
      <c r="P151" s="2"/>
    </row>
    <row r="152" ht="18.0" customHeight="1">
      <c r="A152" s="38"/>
      <c r="B152" s="40"/>
      <c r="C152" s="41"/>
      <c r="D152" s="41"/>
      <c r="E152" s="2"/>
      <c r="F152" s="38"/>
      <c r="G152" s="42"/>
      <c r="H152" s="41"/>
      <c r="I152" s="40"/>
      <c r="J152" s="41"/>
      <c r="K152" s="41"/>
      <c r="L152" s="2"/>
      <c r="M152" s="41"/>
      <c r="N152" s="47"/>
      <c r="O152" s="41"/>
      <c r="P152" s="2"/>
    </row>
    <row r="153" ht="18.0" customHeight="1">
      <c r="A153" s="38"/>
      <c r="B153" s="40"/>
      <c r="C153" s="41"/>
      <c r="D153" s="41"/>
      <c r="E153" s="2"/>
      <c r="F153" s="38"/>
      <c r="G153" s="42"/>
      <c r="H153" s="41"/>
      <c r="I153" s="40"/>
      <c r="J153" s="41"/>
      <c r="K153" s="41"/>
      <c r="L153" s="2"/>
      <c r="M153" s="41"/>
      <c r="N153" s="47"/>
      <c r="O153" s="41"/>
      <c r="P153" s="2"/>
    </row>
    <row r="154" ht="18.0" customHeight="1">
      <c r="A154" s="38"/>
      <c r="B154" s="40"/>
      <c r="C154" s="41"/>
      <c r="D154" s="41"/>
      <c r="E154" s="2"/>
      <c r="F154" s="38"/>
      <c r="G154" s="42"/>
      <c r="H154" s="41"/>
      <c r="I154" s="40"/>
      <c r="J154" s="41"/>
      <c r="K154" s="41"/>
      <c r="L154" s="2"/>
      <c r="M154" s="41"/>
      <c r="N154" s="47"/>
      <c r="O154" s="41"/>
      <c r="P154" s="2"/>
    </row>
    <row r="155" ht="18.0" customHeight="1">
      <c r="A155" s="38"/>
      <c r="B155" s="40"/>
      <c r="C155" s="41"/>
      <c r="D155" s="41"/>
      <c r="E155" s="2"/>
      <c r="F155" s="38"/>
      <c r="G155" s="42"/>
      <c r="H155" s="41"/>
      <c r="I155" s="40"/>
      <c r="J155" s="41"/>
      <c r="K155" s="41"/>
      <c r="L155" s="2"/>
      <c r="M155" s="41"/>
      <c r="N155" s="47"/>
      <c r="O155" s="41"/>
      <c r="P155" s="2"/>
    </row>
    <row r="156" ht="18.0" customHeight="1">
      <c r="A156" s="38"/>
      <c r="B156" s="40"/>
      <c r="C156" s="41"/>
      <c r="D156" s="41"/>
      <c r="E156" s="2"/>
      <c r="F156" s="38"/>
      <c r="G156" s="42"/>
      <c r="H156" s="41"/>
      <c r="I156" s="40"/>
      <c r="J156" s="41"/>
      <c r="K156" s="41"/>
      <c r="L156" s="2"/>
      <c r="M156" s="41"/>
      <c r="N156" s="47"/>
      <c r="O156" s="41"/>
      <c r="P156" s="2"/>
    </row>
    <row r="157" ht="18.0" customHeight="1">
      <c r="A157" s="38"/>
      <c r="B157" s="40"/>
      <c r="C157" s="41"/>
      <c r="D157" s="41"/>
      <c r="E157" s="2"/>
      <c r="F157" s="38"/>
      <c r="G157" s="42"/>
      <c r="H157" s="41"/>
      <c r="I157" s="40"/>
      <c r="J157" s="41"/>
      <c r="K157" s="41"/>
      <c r="L157" s="2"/>
      <c r="M157" s="41"/>
      <c r="N157" s="47"/>
      <c r="O157" s="41"/>
      <c r="P157" s="2"/>
    </row>
    <row r="158" ht="18.0" customHeight="1">
      <c r="A158" s="38"/>
      <c r="B158" s="40"/>
      <c r="C158" s="41"/>
      <c r="D158" s="41"/>
      <c r="E158" s="2"/>
      <c r="F158" s="38"/>
      <c r="G158" s="42"/>
      <c r="H158" s="41"/>
      <c r="I158" s="40"/>
      <c r="J158" s="41"/>
      <c r="K158" s="41"/>
      <c r="L158" s="2"/>
      <c r="M158" s="41"/>
      <c r="N158" s="47"/>
      <c r="O158" s="41"/>
      <c r="P158" s="2"/>
    </row>
    <row r="159" ht="18.0" customHeight="1">
      <c r="A159" s="38"/>
      <c r="B159" s="40"/>
      <c r="C159" s="41"/>
      <c r="D159" s="41"/>
      <c r="E159" s="2"/>
      <c r="F159" s="38"/>
      <c r="G159" s="42"/>
      <c r="H159" s="41"/>
      <c r="I159" s="40"/>
      <c r="J159" s="41"/>
      <c r="K159" s="41"/>
      <c r="L159" s="2"/>
      <c r="M159" s="41"/>
      <c r="N159" s="47"/>
      <c r="O159" s="41"/>
      <c r="P159" s="2"/>
    </row>
    <row r="160" ht="18.0" customHeight="1">
      <c r="A160" s="38"/>
      <c r="B160" s="40"/>
      <c r="C160" s="41"/>
      <c r="D160" s="41"/>
      <c r="E160" s="2"/>
      <c r="F160" s="38"/>
      <c r="G160" s="42"/>
      <c r="H160" s="41"/>
      <c r="I160" s="40"/>
      <c r="J160" s="41"/>
      <c r="K160" s="41"/>
      <c r="L160" s="2"/>
      <c r="M160" s="41"/>
      <c r="N160" s="47"/>
      <c r="O160" s="41"/>
      <c r="P160" s="2"/>
    </row>
    <row r="161" ht="18.0" customHeight="1">
      <c r="A161" s="38"/>
      <c r="B161" s="40"/>
      <c r="C161" s="41"/>
      <c r="D161" s="41"/>
      <c r="E161" s="2"/>
      <c r="F161" s="38"/>
      <c r="G161" s="42"/>
      <c r="H161" s="41"/>
      <c r="I161" s="40"/>
      <c r="J161" s="41"/>
      <c r="K161" s="41"/>
      <c r="L161" s="2"/>
      <c r="M161" s="41"/>
      <c r="N161" s="47"/>
      <c r="O161" s="41"/>
      <c r="P161" s="2"/>
    </row>
    <row r="162" ht="18.0" customHeight="1">
      <c r="A162" s="38"/>
      <c r="B162" s="40"/>
      <c r="C162" s="41"/>
      <c r="D162" s="41"/>
      <c r="E162" s="2"/>
      <c r="F162" s="38"/>
      <c r="G162" s="42"/>
      <c r="H162" s="41"/>
      <c r="I162" s="40"/>
      <c r="J162" s="41"/>
      <c r="K162" s="41"/>
      <c r="L162" s="2"/>
      <c r="M162" s="41"/>
      <c r="N162" s="47"/>
      <c r="O162" s="41"/>
      <c r="P162" s="2"/>
    </row>
    <row r="163" ht="18.0" customHeight="1">
      <c r="A163" s="38"/>
      <c r="B163" s="40"/>
      <c r="C163" s="41"/>
      <c r="D163" s="41"/>
      <c r="E163" s="2"/>
      <c r="F163" s="38"/>
      <c r="G163" s="42"/>
      <c r="H163" s="41"/>
      <c r="I163" s="40"/>
      <c r="J163" s="41"/>
      <c r="K163" s="41"/>
      <c r="L163" s="2"/>
      <c r="M163" s="41"/>
      <c r="N163" s="47"/>
      <c r="O163" s="41"/>
      <c r="P163" s="2"/>
    </row>
    <row r="164" ht="18.0" customHeight="1">
      <c r="A164" s="38"/>
      <c r="B164" s="40"/>
      <c r="C164" s="41"/>
      <c r="D164" s="41"/>
      <c r="E164" s="2"/>
      <c r="F164" s="38"/>
      <c r="G164" s="42"/>
      <c r="H164" s="41"/>
      <c r="I164" s="40"/>
      <c r="J164" s="41"/>
      <c r="K164" s="41"/>
      <c r="L164" s="2"/>
      <c r="M164" s="41"/>
      <c r="N164" s="47"/>
      <c r="O164" s="41"/>
      <c r="P164" s="2"/>
    </row>
    <row r="165" ht="18.0" customHeight="1">
      <c r="A165" s="38"/>
      <c r="B165" s="40"/>
      <c r="C165" s="41"/>
      <c r="D165" s="41"/>
      <c r="E165" s="2"/>
      <c r="F165" s="38"/>
      <c r="G165" s="42"/>
      <c r="H165" s="41"/>
      <c r="I165" s="40"/>
      <c r="J165" s="41"/>
      <c r="K165" s="41"/>
      <c r="L165" s="2"/>
      <c r="M165" s="41"/>
      <c r="N165" s="47"/>
      <c r="O165" s="41"/>
      <c r="P165" s="2"/>
    </row>
    <row r="166" ht="18.0" customHeight="1">
      <c r="A166" s="38"/>
      <c r="B166" s="40"/>
      <c r="C166" s="41"/>
      <c r="D166" s="41"/>
      <c r="E166" s="2"/>
      <c r="F166" s="38"/>
      <c r="G166" s="42"/>
      <c r="H166" s="41"/>
      <c r="I166" s="40"/>
      <c r="J166" s="41"/>
      <c r="K166" s="41"/>
      <c r="L166" s="2"/>
      <c r="M166" s="41"/>
      <c r="N166" s="47"/>
      <c r="O166" s="41"/>
      <c r="P166" s="2"/>
    </row>
    <row r="167" ht="18.0" customHeight="1">
      <c r="A167" s="38"/>
      <c r="B167" s="40"/>
      <c r="C167" s="41"/>
      <c r="D167" s="41"/>
      <c r="E167" s="2"/>
      <c r="F167" s="38"/>
      <c r="G167" s="42"/>
      <c r="H167" s="41"/>
      <c r="I167" s="40"/>
      <c r="J167" s="41"/>
      <c r="K167" s="41"/>
      <c r="L167" s="2"/>
      <c r="M167" s="41"/>
      <c r="N167" s="47"/>
      <c r="O167" s="41"/>
      <c r="P167" s="2"/>
    </row>
    <row r="168" ht="18.0" customHeight="1">
      <c r="A168" s="38"/>
      <c r="B168" s="40"/>
      <c r="C168" s="41"/>
      <c r="D168" s="41"/>
      <c r="E168" s="2"/>
      <c r="F168" s="38"/>
      <c r="G168" s="42"/>
      <c r="H168" s="41"/>
      <c r="I168" s="40"/>
      <c r="J168" s="41"/>
      <c r="K168" s="41"/>
      <c r="L168" s="2"/>
      <c r="M168" s="41"/>
      <c r="N168" s="47"/>
      <c r="O168" s="41"/>
      <c r="P168" s="2"/>
    </row>
    <row r="169" ht="18.0" customHeight="1">
      <c r="A169" s="38"/>
      <c r="B169" s="40"/>
      <c r="C169" s="41"/>
      <c r="D169" s="41"/>
      <c r="E169" s="2"/>
      <c r="F169" s="38"/>
      <c r="G169" s="42"/>
      <c r="H169" s="41"/>
      <c r="I169" s="40"/>
      <c r="J169" s="41"/>
      <c r="K169" s="41"/>
      <c r="L169" s="2"/>
      <c r="M169" s="41"/>
      <c r="N169" s="47"/>
      <c r="O169" s="41"/>
      <c r="P169" s="2"/>
    </row>
    <row r="170" ht="18.0" customHeight="1">
      <c r="A170" s="38"/>
      <c r="B170" s="40"/>
      <c r="C170" s="41"/>
      <c r="D170" s="41"/>
      <c r="E170" s="2"/>
      <c r="F170" s="38"/>
      <c r="G170" s="42"/>
      <c r="H170" s="41"/>
      <c r="I170" s="40"/>
      <c r="J170" s="41"/>
      <c r="K170" s="41"/>
      <c r="L170" s="2"/>
      <c r="M170" s="41"/>
      <c r="N170" s="47"/>
      <c r="O170" s="41"/>
      <c r="P170" s="2"/>
    </row>
    <row r="171" ht="18.0" customHeight="1">
      <c r="A171" s="38"/>
      <c r="B171" s="40"/>
      <c r="C171" s="41"/>
      <c r="D171" s="41"/>
      <c r="E171" s="2"/>
      <c r="F171" s="38"/>
      <c r="G171" s="42"/>
      <c r="H171" s="41"/>
      <c r="I171" s="40"/>
      <c r="J171" s="41"/>
      <c r="K171" s="41"/>
      <c r="L171" s="2"/>
      <c r="M171" s="41"/>
      <c r="N171" s="47"/>
      <c r="O171" s="41"/>
      <c r="P171" s="2"/>
    </row>
    <row r="172" ht="18.0" customHeight="1">
      <c r="A172" s="38"/>
      <c r="B172" s="40"/>
      <c r="C172" s="41"/>
      <c r="D172" s="41"/>
      <c r="E172" s="2"/>
      <c r="F172" s="38"/>
      <c r="G172" s="42"/>
      <c r="H172" s="41"/>
      <c r="I172" s="40"/>
      <c r="J172" s="41"/>
      <c r="K172" s="41"/>
      <c r="L172" s="2"/>
      <c r="M172" s="41"/>
      <c r="N172" s="47"/>
      <c r="O172" s="41"/>
      <c r="P172" s="2"/>
    </row>
    <row r="173" ht="18.0" customHeight="1">
      <c r="A173" s="38"/>
      <c r="B173" s="40"/>
      <c r="C173" s="41"/>
      <c r="D173" s="41"/>
      <c r="E173" s="2"/>
      <c r="F173" s="38"/>
      <c r="G173" s="42"/>
      <c r="H173" s="41"/>
      <c r="I173" s="40"/>
      <c r="J173" s="41"/>
      <c r="K173" s="41"/>
      <c r="L173" s="2"/>
      <c r="M173" s="41"/>
      <c r="N173" s="47"/>
      <c r="O173" s="41"/>
      <c r="P173" s="2"/>
    </row>
    <row r="174" ht="18.0" customHeight="1">
      <c r="A174" s="38"/>
      <c r="B174" s="40"/>
      <c r="C174" s="41"/>
      <c r="D174" s="41"/>
      <c r="E174" s="2"/>
      <c r="F174" s="38"/>
      <c r="G174" s="42"/>
      <c r="H174" s="41"/>
      <c r="I174" s="40"/>
      <c r="J174" s="41"/>
      <c r="K174" s="41"/>
      <c r="L174" s="2"/>
      <c r="M174" s="41"/>
      <c r="N174" s="47"/>
      <c r="O174" s="41"/>
      <c r="P174" s="2"/>
    </row>
    <row r="175" ht="18.0" customHeight="1">
      <c r="A175" s="38"/>
      <c r="B175" s="40"/>
      <c r="C175" s="41"/>
      <c r="D175" s="41"/>
      <c r="E175" s="2"/>
      <c r="F175" s="38"/>
      <c r="G175" s="42"/>
      <c r="H175" s="41"/>
      <c r="I175" s="40"/>
      <c r="J175" s="41"/>
      <c r="K175" s="41"/>
      <c r="L175" s="2"/>
      <c r="M175" s="41"/>
      <c r="N175" s="47"/>
      <c r="O175" s="41"/>
      <c r="P175" s="2"/>
    </row>
    <row r="176" ht="18.0" customHeight="1">
      <c r="A176" s="38"/>
      <c r="B176" s="40"/>
      <c r="C176" s="41"/>
      <c r="D176" s="41"/>
      <c r="E176" s="2"/>
      <c r="F176" s="38"/>
      <c r="G176" s="42"/>
      <c r="H176" s="41"/>
      <c r="I176" s="40"/>
      <c r="J176" s="41"/>
      <c r="K176" s="41"/>
      <c r="L176" s="2"/>
      <c r="M176" s="41"/>
      <c r="N176" s="47"/>
      <c r="O176" s="41"/>
      <c r="P176" s="2"/>
    </row>
    <row r="177" ht="18.0" customHeight="1">
      <c r="A177" s="38"/>
      <c r="B177" s="40"/>
      <c r="C177" s="41"/>
      <c r="D177" s="41"/>
      <c r="E177" s="2"/>
      <c r="F177" s="38"/>
      <c r="G177" s="42"/>
      <c r="H177" s="41"/>
      <c r="I177" s="40"/>
      <c r="J177" s="41"/>
      <c r="K177" s="41"/>
      <c r="L177" s="2"/>
      <c r="M177" s="41"/>
      <c r="N177" s="47"/>
      <c r="O177" s="41"/>
      <c r="P177" s="2"/>
    </row>
    <row r="178" ht="18.0" customHeight="1">
      <c r="A178" s="38"/>
      <c r="B178" s="40"/>
      <c r="C178" s="41"/>
      <c r="D178" s="41"/>
      <c r="E178" s="2"/>
      <c r="F178" s="38"/>
      <c r="G178" s="42"/>
      <c r="H178" s="41"/>
      <c r="I178" s="40"/>
      <c r="J178" s="41"/>
      <c r="K178" s="41"/>
      <c r="L178" s="2"/>
      <c r="M178" s="41"/>
      <c r="N178" s="47"/>
      <c r="O178" s="41"/>
      <c r="P178" s="2"/>
    </row>
    <row r="179" ht="18.0" customHeight="1">
      <c r="A179" s="38"/>
      <c r="B179" s="40"/>
      <c r="C179" s="41"/>
      <c r="D179" s="41"/>
      <c r="E179" s="2"/>
      <c r="F179" s="38"/>
      <c r="G179" s="42"/>
      <c r="H179" s="41"/>
      <c r="I179" s="40"/>
      <c r="J179" s="41"/>
      <c r="K179" s="41"/>
      <c r="L179" s="2"/>
      <c r="M179" s="41"/>
      <c r="N179" s="47"/>
      <c r="O179" s="41"/>
      <c r="P179" s="2"/>
    </row>
    <row r="180" ht="18.0" customHeight="1">
      <c r="A180" s="38"/>
      <c r="B180" s="40"/>
      <c r="C180" s="41"/>
      <c r="D180" s="41"/>
      <c r="E180" s="2"/>
      <c r="F180" s="38"/>
      <c r="G180" s="42"/>
      <c r="H180" s="41"/>
      <c r="I180" s="40"/>
      <c r="J180" s="41"/>
      <c r="K180" s="41"/>
      <c r="L180" s="2"/>
      <c r="M180" s="41"/>
      <c r="N180" s="47"/>
      <c r="O180" s="41"/>
      <c r="P180" s="2"/>
    </row>
    <row r="181" ht="18.0" customHeight="1">
      <c r="A181" s="38"/>
      <c r="B181" s="40"/>
      <c r="C181" s="41"/>
      <c r="D181" s="41"/>
      <c r="E181" s="2"/>
      <c r="F181" s="38"/>
      <c r="G181" s="42"/>
      <c r="H181" s="41"/>
      <c r="I181" s="40"/>
      <c r="J181" s="41"/>
      <c r="K181" s="41"/>
      <c r="L181" s="2"/>
      <c r="M181" s="41"/>
      <c r="N181" s="47"/>
      <c r="O181" s="41"/>
      <c r="P181" s="2"/>
    </row>
    <row r="182" ht="18.0" customHeight="1">
      <c r="A182" s="38"/>
      <c r="B182" s="40"/>
      <c r="C182" s="41"/>
      <c r="D182" s="41"/>
      <c r="E182" s="2"/>
      <c r="F182" s="38"/>
      <c r="G182" s="42"/>
      <c r="H182" s="41"/>
      <c r="I182" s="40"/>
      <c r="J182" s="41"/>
      <c r="K182" s="41"/>
      <c r="L182" s="2"/>
      <c r="M182" s="41"/>
      <c r="N182" s="47"/>
      <c r="O182" s="41"/>
      <c r="P182" s="2"/>
    </row>
    <row r="183" ht="18.0" customHeight="1">
      <c r="A183" s="38"/>
      <c r="B183" s="40"/>
      <c r="C183" s="41"/>
      <c r="D183" s="41"/>
      <c r="E183" s="2"/>
      <c r="F183" s="38"/>
      <c r="G183" s="42"/>
      <c r="H183" s="41"/>
      <c r="I183" s="40"/>
      <c r="J183" s="41"/>
      <c r="K183" s="41"/>
      <c r="L183" s="2"/>
      <c r="M183" s="41"/>
      <c r="N183" s="47"/>
      <c r="O183" s="41"/>
      <c r="P183" s="2"/>
    </row>
    <row r="184" ht="18.0" customHeight="1">
      <c r="A184" s="38"/>
      <c r="B184" s="40"/>
      <c r="C184" s="41"/>
      <c r="D184" s="41"/>
      <c r="E184" s="2"/>
      <c r="F184" s="38"/>
      <c r="G184" s="42"/>
      <c r="H184" s="41"/>
      <c r="I184" s="40"/>
      <c r="J184" s="41"/>
      <c r="K184" s="41"/>
      <c r="L184" s="2"/>
      <c r="M184" s="41"/>
      <c r="N184" s="47"/>
      <c r="O184" s="41"/>
      <c r="P184" s="2"/>
    </row>
    <row r="185" ht="18.0" customHeight="1">
      <c r="A185" s="38"/>
      <c r="B185" s="40"/>
      <c r="C185" s="41"/>
      <c r="D185" s="41"/>
      <c r="E185" s="2"/>
      <c r="F185" s="38"/>
      <c r="G185" s="42"/>
      <c r="H185" s="41"/>
      <c r="I185" s="40"/>
      <c r="J185" s="41"/>
      <c r="K185" s="41"/>
      <c r="L185" s="2"/>
      <c r="M185" s="41"/>
      <c r="N185" s="47"/>
      <c r="O185" s="41"/>
      <c r="P185" s="2"/>
    </row>
    <row r="186" ht="18.0" customHeight="1">
      <c r="A186" s="38"/>
      <c r="B186" s="40"/>
      <c r="C186" s="41"/>
      <c r="D186" s="41"/>
      <c r="E186" s="2"/>
      <c r="F186" s="38"/>
      <c r="G186" s="42"/>
      <c r="H186" s="41"/>
      <c r="I186" s="40"/>
      <c r="J186" s="41"/>
      <c r="K186" s="41"/>
      <c r="L186" s="2"/>
      <c r="M186" s="41"/>
      <c r="N186" s="47"/>
      <c r="O186" s="41"/>
      <c r="P186" s="2"/>
    </row>
    <row r="187" ht="18.0" customHeight="1">
      <c r="A187" s="38"/>
      <c r="B187" s="40"/>
      <c r="C187" s="41"/>
      <c r="D187" s="41"/>
      <c r="E187" s="2"/>
      <c r="F187" s="38"/>
      <c r="G187" s="42"/>
      <c r="H187" s="41"/>
      <c r="I187" s="40"/>
      <c r="J187" s="41"/>
      <c r="K187" s="41"/>
      <c r="L187" s="2"/>
      <c r="M187" s="41"/>
      <c r="N187" s="47"/>
      <c r="O187" s="41"/>
      <c r="P187" s="2"/>
    </row>
    <row r="188" ht="18.0" customHeight="1">
      <c r="A188" s="38"/>
      <c r="B188" s="40"/>
      <c r="C188" s="41"/>
      <c r="D188" s="41"/>
      <c r="E188" s="2"/>
      <c r="F188" s="38"/>
      <c r="G188" s="42"/>
      <c r="H188" s="41"/>
      <c r="I188" s="40"/>
      <c r="J188" s="41"/>
      <c r="K188" s="41"/>
      <c r="L188" s="2"/>
      <c r="M188" s="41"/>
      <c r="N188" s="47"/>
      <c r="O188" s="41"/>
      <c r="P188" s="2"/>
    </row>
    <row r="189" ht="18.0" customHeight="1">
      <c r="A189" s="38"/>
      <c r="B189" s="40"/>
      <c r="C189" s="41"/>
      <c r="D189" s="41"/>
      <c r="E189" s="2"/>
      <c r="F189" s="38"/>
      <c r="G189" s="42"/>
      <c r="H189" s="41"/>
      <c r="I189" s="40"/>
      <c r="J189" s="41"/>
      <c r="K189" s="41"/>
      <c r="L189" s="2"/>
      <c r="M189" s="41"/>
      <c r="N189" s="47"/>
      <c r="O189" s="41"/>
      <c r="P189" s="2"/>
    </row>
    <row r="190" ht="18.0" customHeight="1">
      <c r="A190" s="38"/>
      <c r="B190" s="40"/>
      <c r="C190" s="41"/>
      <c r="D190" s="41"/>
      <c r="E190" s="2"/>
      <c r="F190" s="38"/>
      <c r="G190" s="42"/>
      <c r="H190" s="41"/>
      <c r="I190" s="40"/>
      <c r="J190" s="41"/>
      <c r="K190" s="41"/>
      <c r="L190" s="2"/>
      <c r="M190" s="41"/>
      <c r="N190" s="47"/>
      <c r="O190" s="41"/>
      <c r="P190" s="2"/>
    </row>
    <row r="191" ht="18.0" customHeight="1">
      <c r="A191" s="38"/>
      <c r="B191" s="40"/>
      <c r="C191" s="41"/>
      <c r="D191" s="41"/>
      <c r="E191" s="2"/>
      <c r="F191" s="38"/>
      <c r="G191" s="42"/>
      <c r="H191" s="41"/>
      <c r="I191" s="40"/>
      <c r="J191" s="41"/>
      <c r="K191" s="41"/>
      <c r="L191" s="2"/>
      <c r="M191" s="41"/>
      <c r="N191" s="47"/>
      <c r="O191" s="41"/>
      <c r="P191" s="2"/>
    </row>
    <row r="192" ht="18.0" customHeight="1">
      <c r="A192" s="38"/>
      <c r="B192" s="40"/>
      <c r="C192" s="41"/>
      <c r="D192" s="41"/>
      <c r="E192" s="2"/>
      <c r="F192" s="38"/>
      <c r="G192" s="42"/>
      <c r="H192" s="41"/>
      <c r="I192" s="40"/>
      <c r="J192" s="41"/>
      <c r="K192" s="41"/>
      <c r="L192" s="2"/>
      <c r="M192" s="41"/>
      <c r="N192" s="47"/>
      <c r="O192" s="41"/>
      <c r="P192" s="2"/>
    </row>
    <row r="193" ht="18.0" customHeight="1">
      <c r="A193" s="38"/>
      <c r="B193" s="40"/>
      <c r="C193" s="41"/>
      <c r="D193" s="41"/>
      <c r="E193" s="2"/>
      <c r="F193" s="38"/>
      <c r="G193" s="42"/>
      <c r="H193" s="41"/>
      <c r="I193" s="40"/>
      <c r="J193" s="41"/>
      <c r="K193" s="41"/>
      <c r="L193" s="2"/>
      <c r="M193" s="41"/>
      <c r="N193" s="47"/>
      <c r="O193" s="41"/>
      <c r="P193" s="2"/>
    </row>
    <row r="194" ht="18.0" customHeight="1">
      <c r="A194" s="38"/>
      <c r="B194" s="40"/>
      <c r="C194" s="41"/>
      <c r="D194" s="41"/>
      <c r="E194" s="2"/>
      <c r="F194" s="38"/>
      <c r="G194" s="42"/>
      <c r="H194" s="41"/>
      <c r="I194" s="40"/>
      <c r="J194" s="41"/>
      <c r="K194" s="41"/>
      <c r="L194" s="2"/>
      <c r="M194" s="41"/>
      <c r="N194" s="47"/>
      <c r="O194" s="41"/>
      <c r="P194" s="2"/>
    </row>
    <row r="195" ht="18.0" customHeight="1">
      <c r="A195" s="38"/>
      <c r="B195" s="40"/>
      <c r="C195" s="41"/>
      <c r="D195" s="41"/>
      <c r="E195" s="2"/>
      <c r="F195" s="38"/>
      <c r="G195" s="42"/>
      <c r="H195" s="41"/>
      <c r="I195" s="40"/>
      <c r="J195" s="41"/>
      <c r="K195" s="41"/>
      <c r="L195" s="2"/>
      <c r="M195" s="41"/>
      <c r="N195" s="47"/>
      <c r="O195" s="41"/>
      <c r="P195" s="2"/>
    </row>
    <row r="196" ht="18.0" customHeight="1">
      <c r="A196" s="38"/>
      <c r="B196" s="40"/>
      <c r="C196" s="41"/>
      <c r="D196" s="41"/>
      <c r="E196" s="2"/>
      <c r="F196" s="38"/>
      <c r="G196" s="42"/>
      <c r="H196" s="41"/>
      <c r="I196" s="40"/>
      <c r="J196" s="41"/>
      <c r="K196" s="41"/>
      <c r="L196" s="2"/>
      <c r="M196" s="41"/>
      <c r="N196" s="47"/>
      <c r="O196" s="41"/>
      <c r="P196" s="2"/>
    </row>
    <row r="197" ht="18.0" customHeight="1">
      <c r="A197" s="38"/>
      <c r="B197" s="40"/>
      <c r="C197" s="41"/>
      <c r="D197" s="41"/>
      <c r="E197" s="2"/>
      <c r="F197" s="38"/>
      <c r="G197" s="42"/>
      <c r="H197" s="41"/>
      <c r="I197" s="40"/>
      <c r="J197" s="41"/>
      <c r="K197" s="41"/>
      <c r="L197" s="2"/>
      <c r="M197" s="41"/>
      <c r="N197" s="47"/>
      <c r="O197" s="41"/>
      <c r="P197" s="2"/>
    </row>
    <row r="198" ht="18.0" customHeight="1">
      <c r="A198" s="38"/>
      <c r="B198" s="40"/>
      <c r="C198" s="41"/>
      <c r="D198" s="41"/>
      <c r="E198" s="2"/>
      <c r="F198" s="38"/>
      <c r="G198" s="42"/>
      <c r="H198" s="41"/>
      <c r="I198" s="40"/>
      <c r="J198" s="41"/>
      <c r="K198" s="41"/>
      <c r="L198" s="2"/>
      <c r="M198" s="41"/>
      <c r="N198" s="47"/>
      <c r="O198" s="41"/>
      <c r="P198" s="2"/>
    </row>
    <row r="199" ht="18.0" customHeight="1">
      <c r="A199" s="38"/>
      <c r="B199" s="40"/>
      <c r="C199" s="41"/>
      <c r="D199" s="41"/>
      <c r="E199" s="2"/>
      <c r="F199" s="38"/>
      <c r="G199" s="42"/>
      <c r="H199" s="41"/>
      <c r="I199" s="40"/>
      <c r="J199" s="41"/>
      <c r="K199" s="41"/>
      <c r="L199" s="2"/>
      <c r="M199" s="41"/>
      <c r="N199" s="47"/>
      <c r="O199" s="41"/>
      <c r="P199" s="2"/>
    </row>
    <row r="200" ht="18.0" customHeight="1">
      <c r="A200" s="38"/>
      <c r="B200" s="40"/>
      <c r="C200" s="41"/>
      <c r="D200" s="41"/>
      <c r="E200" s="2"/>
      <c r="F200" s="38"/>
      <c r="G200" s="42"/>
      <c r="H200" s="41"/>
      <c r="I200" s="40"/>
      <c r="J200" s="41"/>
      <c r="K200" s="41"/>
      <c r="L200" s="2"/>
      <c r="M200" s="41"/>
      <c r="N200" s="47"/>
      <c r="O200" s="41"/>
      <c r="P200" s="2"/>
    </row>
    <row r="201" ht="18.0" customHeight="1">
      <c r="A201" s="38"/>
      <c r="B201" s="40"/>
      <c r="C201" s="41"/>
      <c r="D201" s="41"/>
      <c r="E201" s="2"/>
      <c r="F201" s="38"/>
      <c r="G201" s="42"/>
      <c r="H201" s="41"/>
      <c r="I201" s="40"/>
      <c r="J201" s="41"/>
      <c r="K201" s="41"/>
      <c r="L201" s="2"/>
      <c r="M201" s="41"/>
      <c r="N201" s="47"/>
      <c r="O201" s="41"/>
      <c r="P201" s="2"/>
    </row>
    <row r="202" ht="18.0" customHeight="1">
      <c r="A202" s="38"/>
      <c r="B202" s="40"/>
      <c r="C202" s="41"/>
      <c r="D202" s="41"/>
      <c r="E202" s="2"/>
      <c r="F202" s="38"/>
      <c r="G202" s="42"/>
      <c r="H202" s="41"/>
      <c r="I202" s="40"/>
      <c r="J202" s="41"/>
      <c r="K202" s="41"/>
      <c r="L202" s="2"/>
      <c r="M202" s="41"/>
      <c r="N202" s="47"/>
      <c r="O202" s="41"/>
      <c r="P202" s="2"/>
    </row>
    <row r="203" ht="18.0" customHeight="1">
      <c r="A203" s="38"/>
      <c r="B203" s="40"/>
      <c r="C203" s="41"/>
      <c r="D203" s="41"/>
      <c r="E203" s="2"/>
      <c r="F203" s="38"/>
      <c r="G203" s="42"/>
      <c r="H203" s="41"/>
      <c r="I203" s="40"/>
      <c r="J203" s="41"/>
      <c r="K203" s="41"/>
      <c r="L203" s="2"/>
      <c r="M203" s="41"/>
      <c r="N203" s="47"/>
      <c r="O203" s="41"/>
      <c r="P203" s="2"/>
    </row>
    <row r="204" ht="18.0" customHeight="1">
      <c r="A204" s="38"/>
      <c r="B204" s="40"/>
      <c r="C204" s="41"/>
      <c r="D204" s="41"/>
      <c r="E204" s="2"/>
      <c r="F204" s="38"/>
      <c r="G204" s="42"/>
      <c r="H204" s="41"/>
      <c r="I204" s="40"/>
      <c r="J204" s="41"/>
      <c r="K204" s="41"/>
      <c r="L204" s="2"/>
      <c r="M204" s="41"/>
      <c r="N204" s="47"/>
      <c r="O204" s="41"/>
      <c r="P204" s="2"/>
    </row>
    <row r="205" ht="18.0" customHeight="1">
      <c r="A205" s="38"/>
      <c r="B205" s="40"/>
      <c r="C205" s="41"/>
      <c r="D205" s="41"/>
      <c r="E205" s="2"/>
      <c r="F205" s="38"/>
      <c r="G205" s="42"/>
      <c r="H205" s="41"/>
      <c r="I205" s="40"/>
      <c r="J205" s="41"/>
      <c r="K205" s="41"/>
      <c r="L205" s="2"/>
      <c r="M205" s="41"/>
      <c r="N205" s="47"/>
      <c r="O205" s="41"/>
      <c r="P205" s="2"/>
    </row>
    <row r="206" ht="18.0" customHeight="1">
      <c r="A206" s="38"/>
      <c r="B206" s="40"/>
      <c r="C206" s="41"/>
      <c r="D206" s="41"/>
      <c r="E206" s="2"/>
      <c r="F206" s="38"/>
      <c r="G206" s="42"/>
      <c r="H206" s="41"/>
      <c r="I206" s="40"/>
      <c r="J206" s="41"/>
      <c r="K206" s="41"/>
      <c r="L206" s="2"/>
      <c r="M206" s="41"/>
      <c r="N206" s="47"/>
      <c r="O206" s="41"/>
      <c r="P206" s="2"/>
    </row>
    <row r="207" ht="18.0" customHeight="1">
      <c r="A207" s="38"/>
      <c r="B207" s="40"/>
      <c r="C207" s="41"/>
      <c r="D207" s="41"/>
      <c r="E207" s="2"/>
      <c r="F207" s="38"/>
      <c r="G207" s="42"/>
      <c r="H207" s="41"/>
      <c r="I207" s="40"/>
      <c r="J207" s="41"/>
      <c r="K207" s="41"/>
      <c r="L207" s="2"/>
      <c r="M207" s="41"/>
      <c r="N207" s="47"/>
      <c r="O207" s="41"/>
      <c r="P207" s="2"/>
    </row>
    <row r="208" ht="18.0" customHeight="1">
      <c r="A208" s="38"/>
      <c r="B208" s="40"/>
      <c r="C208" s="41"/>
      <c r="D208" s="41"/>
      <c r="E208" s="2"/>
      <c r="F208" s="38"/>
      <c r="G208" s="42"/>
      <c r="H208" s="41"/>
      <c r="I208" s="40"/>
      <c r="J208" s="41"/>
      <c r="K208" s="41"/>
      <c r="L208" s="2"/>
      <c r="M208" s="41"/>
      <c r="N208" s="47"/>
      <c r="O208" s="41"/>
      <c r="P208" s="2"/>
    </row>
    <row r="209" ht="18.0" customHeight="1">
      <c r="A209" s="38"/>
      <c r="B209" s="40"/>
      <c r="C209" s="41"/>
      <c r="D209" s="41"/>
      <c r="E209" s="2"/>
      <c r="F209" s="38"/>
      <c r="G209" s="42"/>
      <c r="H209" s="41"/>
      <c r="I209" s="40"/>
      <c r="J209" s="41"/>
      <c r="K209" s="41"/>
      <c r="L209" s="2"/>
      <c r="M209" s="41"/>
      <c r="N209" s="47"/>
      <c r="O209" s="41"/>
      <c r="P209" s="2"/>
    </row>
    <row r="210" ht="18.0" customHeight="1">
      <c r="A210" s="38"/>
      <c r="B210" s="40"/>
      <c r="C210" s="41"/>
      <c r="D210" s="41"/>
      <c r="E210" s="2"/>
      <c r="F210" s="38"/>
      <c r="G210" s="42"/>
      <c r="H210" s="41"/>
      <c r="I210" s="40"/>
      <c r="J210" s="41"/>
      <c r="K210" s="41"/>
      <c r="L210" s="2"/>
      <c r="M210" s="41"/>
      <c r="N210" s="47"/>
      <c r="O210" s="41"/>
      <c r="P210" s="2"/>
    </row>
    <row r="211" ht="18.0" customHeight="1">
      <c r="A211" s="38"/>
      <c r="B211" s="40"/>
      <c r="C211" s="41"/>
      <c r="D211" s="41"/>
      <c r="E211" s="2"/>
      <c r="F211" s="38"/>
      <c r="G211" s="42"/>
      <c r="H211" s="41"/>
      <c r="I211" s="40"/>
      <c r="J211" s="41"/>
      <c r="K211" s="41"/>
      <c r="L211" s="2"/>
      <c r="M211" s="41"/>
      <c r="N211" s="47"/>
      <c r="O211" s="41"/>
      <c r="P211" s="2"/>
    </row>
    <row r="212" ht="18.0" customHeight="1">
      <c r="A212" s="38"/>
      <c r="B212" s="40"/>
      <c r="C212" s="41"/>
      <c r="D212" s="41"/>
      <c r="E212" s="2"/>
      <c r="F212" s="38"/>
      <c r="G212" s="42"/>
      <c r="H212" s="41"/>
      <c r="I212" s="40"/>
      <c r="J212" s="41"/>
      <c r="K212" s="41"/>
      <c r="L212" s="2"/>
      <c r="M212" s="41"/>
      <c r="N212" s="47"/>
      <c r="O212" s="41"/>
      <c r="P212" s="2"/>
    </row>
    <row r="213" ht="18.0" customHeight="1">
      <c r="A213" s="38"/>
      <c r="B213" s="40"/>
      <c r="C213" s="41"/>
      <c r="D213" s="41"/>
      <c r="E213" s="2"/>
      <c r="F213" s="38"/>
      <c r="G213" s="42"/>
      <c r="H213" s="41"/>
      <c r="I213" s="40"/>
      <c r="J213" s="41"/>
      <c r="K213" s="41"/>
      <c r="L213" s="2"/>
      <c r="M213" s="41"/>
      <c r="N213" s="47"/>
      <c r="O213" s="41"/>
      <c r="P213" s="2"/>
    </row>
    <row r="214" ht="18.0" customHeight="1">
      <c r="A214" s="38"/>
      <c r="B214" s="40"/>
      <c r="C214" s="41"/>
      <c r="D214" s="41"/>
      <c r="E214" s="2"/>
      <c r="F214" s="38"/>
      <c r="G214" s="42"/>
      <c r="H214" s="41"/>
      <c r="I214" s="40"/>
      <c r="J214" s="41"/>
      <c r="K214" s="41"/>
      <c r="L214" s="2"/>
      <c r="M214" s="41"/>
      <c r="N214" s="47"/>
      <c r="O214" s="41"/>
      <c r="P214" s="2"/>
    </row>
    <row r="215" ht="18.0" customHeight="1">
      <c r="A215" s="38"/>
      <c r="B215" s="40"/>
      <c r="C215" s="41"/>
      <c r="D215" s="41"/>
      <c r="E215" s="2"/>
      <c r="F215" s="38"/>
      <c r="G215" s="42"/>
      <c r="H215" s="41"/>
      <c r="I215" s="40"/>
      <c r="J215" s="41"/>
      <c r="K215" s="41"/>
      <c r="L215" s="2"/>
      <c r="M215" s="41"/>
      <c r="N215" s="47"/>
      <c r="O215" s="41"/>
      <c r="P215" s="2"/>
    </row>
    <row r="216" ht="18.0" customHeight="1">
      <c r="A216" s="38"/>
      <c r="B216" s="40"/>
      <c r="C216" s="41"/>
      <c r="D216" s="41"/>
      <c r="E216" s="2"/>
      <c r="F216" s="38"/>
      <c r="G216" s="42"/>
      <c r="H216" s="41"/>
      <c r="I216" s="40"/>
      <c r="J216" s="41"/>
      <c r="K216" s="41"/>
      <c r="L216" s="2"/>
      <c r="M216" s="41"/>
      <c r="N216" s="47"/>
      <c r="O216" s="41"/>
      <c r="P216" s="2"/>
    </row>
    <row r="217" ht="18.0" customHeight="1">
      <c r="A217" s="38"/>
      <c r="B217" s="40"/>
      <c r="C217" s="41"/>
      <c r="D217" s="41"/>
      <c r="E217" s="2"/>
      <c r="F217" s="38"/>
      <c r="G217" s="42"/>
      <c r="H217" s="41"/>
      <c r="I217" s="40"/>
      <c r="J217" s="41"/>
      <c r="K217" s="41"/>
      <c r="L217" s="2"/>
      <c r="M217" s="41"/>
      <c r="N217" s="47"/>
      <c r="O217" s="41"/>
      <c r="P217" s="2"/>
    </row>
    <row r="218" ht="18.0" customHeight="1">
      <c r="A218" s="38"/>
      <c r="B218" s="40"/>
      <c r="C218" s="41"/>
      <c r="D218" s="41"/>
      <c r="E218" s="2"/>
      <c r="F218" s="38"/>
      <c r="G218" s="42"/>
      <c r="H218" s="41"/>
      <c r="I218" s="40"/>
      <c r="J218" s="41"/>
      <c r="K218" s="41"/>
      <c r="L218" s="2"/>
      <c r="M218" s="41"/>
      <c r="N218" s="47"/>
      <c r="O218" s="41"/>
      <c r="P218" s="2"/>
    </row>
    <row r="219" ht="18.0" customHeight="1">
      <c r="A219" s="38"/>
      <c r="B219" s="40"/>
      <c r="C219" s="41"/>
      <c r="D219" s="41"/>
      <c r="E219" s="2"/>
      <c r="F219" s="38"/>
      <c r="G219" s="42"/>
      <c r="H219" s="41"/>
      <c r="I219" s="40"/>
      <c r="J219" s="41"/>
      <c r="K219" s="41"/>
      <c r="L219" s="2"/>
      <c r="M219" s="41"/>
      <c r="N219" s="47"/>
      <c r="O219" s="41"/>
      <c r="P219" s="2"/>
    </row>
    <row r="220" ht="18.0" customHeight="1">
      <c r="A220" s="38"/>
      <c r="B220" s="40"/>
      <c r="C220" s="41"/>
      <c r="D220" s="41"/>
      <c r="E220" s="2"/>
      <c r="F220" s="38"/>
      <c r="G220" s="42"/>
      <c r="H220" s="41"/>
      <c r="I220" s="40"/>
      <c r="J220" s="41"/>
      <c r="K220" s="41"/>
      <c r="L220" s="2"/>
      <c r="M220" s="41"/>
      <c r="N220" s="47"/>
      <c r="O220" s="41"/>
      <c r="P220" s="2"/>
    </row>
    <row r="221" ht="18.0" customHeight="1">
      <c r="A221" s="38"/>
      <c r="B221" s="40"/>
      <c r="C221" s="41"/>
      <c r="D221" s="41"/>
      <c r="E221" s="2"/>
      <c r="F221" s="38"/>
      <c r="G221" s="42"/>
      <c r="H221" s="41"/>
      <c r="I221" s="40"/>
      <c r="J221" s="41"/>
      <c r="K221" s="41"/>
      <c r="L221" s="2"/>
      <c r="M221" s="41"/>
      <c r="N221" s="47"/>
      <c r="O221" s="41"/>
      <c r="P221" s="2"/>
    </row>
    <row r="222" ht="18.0" customHeight="1">
      <c r="A222" s="38"/>
      <c r="B222" s="40"/>
      <c r="C222" s="41"/>
      <c r="D222" s="41"/>
      <c r="E222" s="2"/>
      <c r="F222" s="38"/>
      <c r="G222" s="42"/>
      <c r="H222" s="41"/>
      <c r="I222" s="40"/>
      <c r="J222" s="41"/>
      <c r="K222" s="41"/>
      <c r="L222" s="2"/>
      <c r="M222" s="41"/>
      <c r="N222" s="47"/>
      <c r="O222" s="41"/>
      <c r="P222" s="2"/>
    </row>
    <row r="223" ht="18.0" customHeight="1">
      <c r="A223" s="38"/>
      <c r="B223" s="40"/>
      <c r="C223" s="41"/>
      <c r="D223" s="41"/>
      <c r="E223" s="2"/>
      <c r="F223" s="38"/>
      <c r="G223" s="42"/>
      <c r="H223" s="41"/>
      <c r="I223" s="40"/>
      <c r="J223" s="41"/>
      <c r="K223" s="41"/>
      <c r="L223" s="2"/>
      <c r="M223" s="41"/>
      <c r="N223" s="47"/>
      <c r="O223" s="41"/>
      <c r="P223" s="2"/>
    </row>
    <row r="224" ht="18.0" customHeight="1">
      <c r="A224" s="38"/>
      <c r="B224" s="40"/>
      <c r="C224" s="41"/>
      <c r="D224" s="41"/>
      <c r="E224" s="2"/>
      <c r="F224" s="38"/>
      <c r="G224" s="42"/>
      <c r="H224" s="41"/>
      <c r="I224" s="40"/>
      <c r="J224" s="41"/>
      <c r="K224" s="41"/>
      <c r="L224" s="2"/>
      <c r="M224" s="41"/>
      <c r="N224" s="47"/>
      <c r="O224" s="41"/>
      <c r="P224" s="2"/>
    </row>
    <row r="225" ht="18.0" customHeight="1">
      <c r="A225" s="38"/>
      <c r="B225" s="40"/>
      <c r="C225" s="41"/>
      <c r="D225" s="41"/>
      <c r="E225" s="2"/>
      <c r="F225" s="38"/>
      <c r="G225" s="42"/>
      <c r="H225" s="41"/>
      <c r="I225" s="40"/>
      <c r="J225" s="41"/>
      <c r="K225" s="41"/>
      <c r="L225" s="2"/>
      <c r="M225" s="41"/>
      <c r="N225" s="47"/>
      <c r="O225" s="41"/>
      <c r="P225" s="2"/>
    </row>
    <row r="226" ht="18.0" customHeight="1">
      <c r="A226" s="38"/>
      <c r="B226" s="40"/>
      <c r="C226" s="41"/>
      <c r="D226" s="41"/>
      <c r="E226" s="2"/>
      <c r="F226" s="38"/>
      <c r="G226" s="42"/>
      <c r="H226" s="41"/>
      <c r="I226" s="40"/>
      <c r="J226" s="41"/>
      <c r="K226" s="41"/>
      <c r="L226" s="2"/>
      <c r="M226" s="41"/>
      <c r="N226" s="47"/>
      <c r="O226" s="41"/>
      <c r="P226" s="2"/>
    </row>
    <row r="227" ht="18.0" customHeight="1">
      <c r="A227" s="38"/>
      <c r="B227" s="40"/>
      <c r="C227" s="41"/>
      <c r="D227" s="41"/>
      <c r="E227" s="2"/>
      <c r="F227" s="38"/>
      <c r="G227" s="42"/>
      <c r="H227" s="41"/>
      <c r="I227" s="40"/>
      <c r="J227" s="41"/>
      <c r="K227" s="41"/>
      <c r="L227" s="2"/>
      <c r="M227" s="41"/>
      <c r="N227" s="47"/>
      <c r="O227" s="41"/>
      <c r="P227" s="2"/>
    </row>
    <row r="228" ht="18.0" customHeight="1">
      <c r="A228" s="38"/>
      <c r="B228" s="40"/>
      <c r="C228" s="41"/>
      <c r="D228" s="41"/>
      <c r="E228" s="2"/>
      <c r="F228" s="38"/>
      <c r="G228" s="42"/>
      <c r="H228" s="41"/>
      <c r="I228" s="40"/>
      <c r="J228" s="41"/>
      <c r="K228" s="41"/>
      <c r="L228" s="2"/>
      <c r="M228" s="41"/>
      <c r="N228" s="47"/>
      <c r="O228" s="41"/>
      <c r="P228" s="2"/>
    </row>
    <row r="229" ht="18.0" customHeight="1">
      <c r="A229" s="38"/>
      <c r="B229" s="40"/>
      <c r="C229" s="41"/>
      <c r="D229" s="41"/>
      <c r="E229" s="2"/>
      <c r="F229" s="38"/>
      <c r="G229" s="42"/>
      <c r="H229" s="41"/>
      <c r="I229" s="40"/>
      <c r="J229" s="41"/>
      <c r="K229" s="41"/>
      <c r="L229" s="2"/>
      <c r="M229" s="41"/>
      <c r="N229" s="47"/>
      <c r="O229" s="41"/>
      <c r="P229" s="2"/>
    </row>
    <row r="230" ht="18.0" customHeight="1">
      <c r="A230" s="38"/>
      <c r="B230" s="40"/>
      <c r="C230" s="41"/>
      <c r="D230" s="41"/>
      <c r="E230" s="2"/>
      <c r="F230" s="38"/>
      <c r="G230" s="42"/>
      <c r="H230" s="41"/>
      <c r="I230" s="40"/>
      <c r="J230" s="41"/>
      <c r="K230" s="41"/>
      <c r="L230" s="2"/>
      <c r="M230" s="41"/>
      <c r="N230" s="47"/>
      <c r="O230" s="41"/>
      <c r="P230" s="2"/>
    </row>
    <row r="231" ht="18.0" customHeight="1">
      <c r="A231" s="38"/>
      <c r="B231" s="40"/>
      <c r="C231" s="41"/>
      <c r="D231" s="41"/>
      <c r="E231" s="2"/>
      <c r="F231" s="38"/>
      <c r="G231" s="42"/>
      <c r="H231" s="41"/>
      <c r="I231" s="40"/>
      <c r="J231" s="41"/>
      <c r="K231" s="41"/>
      <c r="L231" s="2"/>
      <c r="M231" s="41"/>
      <c r="N231" s="47"/>
      <c r="O231" s="41"/>
      <c r="P231" s="2"/>
    </row>
    <row r="232" ht="18.0" customHeight="1">
      <c r="A232" s="38"/>
      <c r="B232" s="40"/>
      <c r="C232" s="41"/>
      <c r="D232" s="41"/>
      <c r="E232" s="2"/>
      <c r="F232" s="38"/>
      <c r="G232" s="42"/>
      <c r="H232" s="41"/>
      <c r="I232" s="40"/>
      <c r="J232" s="41"/>
      <c r="K232" s="41"/>
      <c r="L232" s="2"/>
      <c r="M232" s="41"/>
      <c r="N232" s="47"/>
      <c r="O232" s="41"/>
      <c r="P232" s="2"/>
    </row>
    <row r="233" ht="18.0" customHeight="1">
      <c r="A233" s="38"/>
      <c r="B233" s="40"/>
      <c r="C233" s="41"/>
      <c r="D233" s="41"/>
      <c r="E233" s="2"/>
      <c r="F233" s="38"/>
      <c r="G233" s="42"/>
      <c r="H233" s="41"/>
      <c r="I233" s="40"/>
      <c r="J233" s="41"/>
      <c r="K233" s="41"/>
      <c r="L233" s="2"/>
      <c r="M233" s="41"/>
      <c r="N233" s="47"/>
      <c r="O233" s="41"/>
      <c r="P233" s="2"/>
    </row>
    <row r="234" ht="18.0" customHeight="1">
      <c r="A234" s="38"/>
      <c r="B234" s="40"/>
      <c r="C234" s="41"/>
      <c r="D234" s="41"/>
      <c r="E234" s="2"/>
      <c r="F234" s="38"/>
      <c r="G234" s="42"/>
      <c r="H234" s="41"/>
      <c r="I234" s="40"/>
      <c r="J234" s="41"/>
      <c r="K234" s="41"/>
      <c r="L234" s="2"/>
      <c r="M234" s="41"/>
      <c r="N234" s="47"/>
      <c r="O234" s="41"/>
      <c r="P234" s="2"/>
    </row>
    <row r="235" ht="18.0" customHeight="1">
      <c r="A235" s="38"/>
      <c r="B235" s="40"/>
      <c r="C235" s="41"/>
      <c r="D235" s="41"/>
      <c r="E235" s="2"/>
      <c r="F235" s="38"/>
      <c r="G235" s="42"/>
      <c r="H235" s="41"/>
      <c r="I235" s="40"/>
      <c r="J235" s="41"/>
      <c r="K235" s="41"/>
      <c r="L235" s="2"/>
      <c r="M235" s="41"/>
      <c r="N235" s="47"/>
      <c r="O235" s="41"/>
      <c r="P235" s="2"/>
    </row>
    <row r="236" ht="18.0" customHeight="1">
      <c r="A236" s="38"/>
      <c r="B236" s="40"/>
      <c r="C236" s="41"/>
      <c r="D236" s="41"/>
      <c r="E236" s="2"/>
      <c r="F236" s="38"/>
      <c r="G236" s="42"/>
      <c r="H236" s="41"/>
      <c r="I236" s="40"/>
      <c r="J236" s="41"/>
      <c r="K236" s="41"/>
      <c r="L236" s="2"/>
      <c r="M236" s="41"/>
      <c r="N236" s="47"/>
      <c r="O236" s="41"/>
      <c r="P236" s="2"/>
    </row>
    <row r="237" ht="18.0" customHeight="1">
      <c r="A237" s="38"/>
      <c r="B237" s="40"/>
      <c r="C237" s="41"/>
      <c r="D237" s="41"/>
      <c r="E237" s="2"/>
      <c r="F237" s="38"/>
      <c r="G237" s="42"/>
      <c r="H237" s="41"/>
      <c r="I237" s="40"/>
      <c r="J237" s="41"/>
      <c r="K237" s="41"/>
      <c r="L237" s="2"/>
      <c r="M237" s="41"/>
      <c r="N237" s="47"/>
      <c r="O237" s="41"/>
      <c r="P237" s="2"/>
    </row>
    <row r="238" ht="18.0" customHeight="1">
      <c r="A238" s="38"/>
      <c r="B238" s="40"/>
      <c r="C238" s="41"/>
      <c r="D238" s="41"/>
      <c r="E238" s="2"/>
      <c r="F238" s="38"/>
      <c r="G238" s="42"/>
      <c r="H238" s="41"/>
      <c r="I238" s="40"/>
      <c r="J238" s="41"/>
      <c r="K238" s="41"/>
      <c r="L238" s="2"/>
      <c r="M238" s="41"/>
      <c r="N238" s="47"/>
      <c r="O238" s="41"/>
      <c r="P238" s="2"/>
    </row>
    <row r="239" ht="18.0" customHeight="1">
      <c r="A239" s="38"/>
      <c r="B239" s="40"/>
      <c r="C239" s="41"/>
      <c r="D239" s="41"/>
      <c r="E239" s="2"/>
      <c r="F239" s="38"/>
      <c r="G239" s="42"/>
      <c r="H239" s="41"/>
      <c r="I239" s="40"/>
      <c r="J239" s="41"/>
      <c r="K239" s="41"/>
      <c r="L239" s="2"/>
      <c r="M239" s="41"/>
      <c r="N239" s="47"/>
      <c r="O239" s="41"/>
      <c r="P239" s="2"/>
    </row>
    <row r="240" ht="18.0" customHeight="1">
      <c r="A240" s="38"/>
      <c r="B240" s="40"/>
      <c r="C240" s="41"/>
      <c r="D240" s="41"/>
      <c r="E240" s="2"/>
      <c r="F240" s="38"/>
      <c r="G240" s="42"/>
      <c r="H240" s="41"/>
      <c r="I240" s="40"/>
      <c r="J240" s="41"/>
      <c r="K240" s="41"/>
      <c r="L240" s="2"/>
      <c r="M240" s="41"/>
      <c r="N240" s="47"/>
      <c r="O240" s="41"/>
      <c r="P240" s="2"/>
    </row>
    <row r="241" ht="18.0" customHeight="1">
      <c r="A241" s="38"/>
      <c r="B241" s="40"/>
      <c r="C241" s="41"/>
      <c r="D241" s="41"/>
      <c r="E241" s="2"/>
      <c r="F241" s="38"/>
      <c r="G241" s="42"/>
      <c r="H241" s="41"/>
      <c r="I241" s="40"/>
      <c r="J241" s="41"/>
      <c r="K241" s="41"/>
      <c r="L241" s="2"/>
      <c r="M241" s="41"/>
      <c r="N241" s="47"/>
      <c r="O241" s="41"/>
      <c r="P241" s="2"/>
    </row>
    <row r="242" ht="18.0" customHeight="1">
      <c r="A242" s="38"/>
      <c r="B242" s="40"/>
      <c r="C242" s="41"/>
      <c r="D242" s="41"/>
      <c r="E242" s="2"/>
      <c r="F242" s="38"/>
      <c r="G242" s="42"/>
      <c r="H242" s="41"/>
      <c r="I242" s="40"/>
      <c r="J242" s="41"/>
      <c r="K242" s="41"/>
      <c r="L242" s="2"/>
      <c r="M242" s="41"/>
      <c r="N242" s="47"/>
      <c r="O242" s="41"/>
      <c r="P242" s="2"/>
    </row>
    <row r="243" ht="18.0" customHeight="1">
      <c r="A243" s="38"/>
      <c r="B243" s="40"/>
      <c r="C243" s="41"/>
      <c r="D243" s="41"/>
      <c r="E243" s="2"/>
      <c r="F243" s="38"/>
      <c r="G243" s="42"/>
      <c r="H243" s="41"/>
      <c r="I243" s="40"/>
      <c r="J243" s="41"/>
      <c r="K243" s="41"/>
      <c r="L243" s="2"/>
      <c r="M243" s="41"/>
      <c r="N243" s="47"/>
      <c r="O243" s="41"/>
      <c r="P243" s="2"/>
    </row>
    <row r="244" ht="18.0" customHeight="1">
      <c r="A244" s="38"/>
      <c r="B244" s="40"/>
      <c r="C244" s="41"/>
      <c r="D244" s="41"/>
      <c r="E244" s="2"/>
      <c r="F244" s="38"/>
      <c r="G244" s="42"/>
      <c r="H244" s="41"/>
      <c r="I244" s="40"/>
      <c r="J244" s="41"/>
      <c r="K244" s="41"/>
      <c r="L244" s="2"/>
      <c r="M244" s="41"/>
      <c r="N244" s="47"/>
      <c r="O244" s="41"/>
      <c r="P244" s="2"/>
    </row>
    <row r="245" ht="18.0" customHeight="1">
      <c r="A245" s="38"/>
      <c r="B245" s="40"/>
      <c r="C245" s="41"/>
      <c r="D245" s="41"/>
      <c r="E245" s="2"/>
      <c r="F245" s="38"/>
      <c r="G245" s="42"/>
      <c r="H245" s="41"/>
      <c r="I245" s="40"/>
      <c r="J245" s="41"/>
      <c r="K245" s="41"/>
      <c r="L245" s="2"/>
      <c r="M245" s="41"/>
      <c r="N245" s="47"/>
      <c r="O245" s="41"/>
      <c r="P245" s="2"/>
    </row>
    <row r="246" ht="18.0" customHeight="1">
      <c r="A246" s="38"/>
      <c r="B246" s="40"/>
      <c r="C246" s="41"/>
      <c r="D246" s="41"/>
      <c r="E246" s="2"/>
      <c r="F246" s="38"/>
      <c r="G246" s="42"/>
      <c r="H246" s="41"/>
      <c r="I246" s="40"/>
      <c r="J246" s="41"/>
      <c r="K246" s="41"/>
      <c r="L246" s="2"/>
      <c r="M246" s="41"/>
      <c r="N246" s="47"/>
      <c r="O246" s="41"/>
      <c r="P246" s="2"/>
    </row>
    <row r="247" ht="18.0" customHeight="1">
      <c r="A247" s="38"/>
      <c r="B247" s="40"/>
      <c r="C247" s="41"/>
      <c r="D247" s="41"/>
      <c r="E247" s="2"/>
      <c r="F247" s="38"/>
      <c r="G247" s="42"/>
      <c r="H247" s="41"/>
      <c r="I247" s="40"/>
      <c r="J247" s="41"/>
      <c r="K247" s="41"/>
      <c r="L247" s="2"/>
      <c r="M247" s="41"/>
      <c r="N247" s="47"/>
      <c r="O247" s="41"/>
      <c r="P247" s="2"/>
    </row>
    <row r="248" ht="18.0" customHeight="1">
      <c r="A248" s="38"/>
      <c r="B248" s="40"/>
      <c r="C248" s="41"/>
      <c r="D248" s="41"/>
      <c r="E248" s="2"/>
      <c r="F248" s="38"/>
      <c r="G248" s="42"/>
      <c r="H248" s="41"/>
      <c r="I248" s="40"/>
      <c r="J248" s="41"/>
      <c r="K248" s="41"/>
      <c r="L248" s="2"/>
      <c r="M248" s="41"/>
      <c r="N248" s="47"/>
      <c r="O248" s="41"/>
      <c r="P248" s="2"/>
    </row>
    <row r="249" ht="18.0" customHeight="1">
      <c r="A249" s="38"/>
      <c r="B249" s="40"/>
      <c r="C249" s="41"/>
      <c r="D249" s="41"/>
      <c r="E249" s="2"/>
      <c r="F249" s="38"/>
      <c r="G249" s="42"/>
      <c r="H249" s="41"/>
      <c r="I249" s="40"/>
      <c r="J249" s="41"/>
      <c r="K249" s="41"/>
      <c r="L249" s="2"/>
      <c r="M249" s="41"/>
      <c r="N249" s="47"/>
      <c r="O249" s="41"/>
      <c r="P249" s="2"/>
    </row>
    <row r="250" ht="18.0" customHeight="1">
      <c r="A250" s="38"/>
      <c r="B250" s="40"/>
      <c r="C250" s="41"/>
      <c r="D250" s="41"/>
      <c r="E250" s="2"/>
      <c r="F250" s="38"/>
      <c r="G250" s="42"/>
      <c r="H250" s="41"/>
      <c r="I250" s="40"/>
      <c r="J250" s="41"/>
      <c r="K250" s="41"/>
      <c r="L250" s="2"/>
      <c r="M250" s="41"/>
      <c r="N250" s="47"/>
      <c r="O250" s="41"/>
      <c r="P250" s="2"/>
    </row>
    <row r="251" ht="18.0" customHeight="1">
      <c r="A251" s="38"/>
      <c r="B251" s="40"/>
      <c r="C251" s="41"/>
      <c r="D251" s="41"/>
      <c r="E251" s="2"/>
      <c r="F251" s="38"/>
      <c r="G251" s="42"/>
      <c r="H251" s="41"/>
      <c r="I251" s="40"/>
      <c r="J251" s="41"/>
      <c r="K251" s="41"/>
      <c r="L251" s="2"/>
      <c r="M251" s="41"/>
      <c r="N251" s="47"/>
      <c r="O251" s="41"/>
      <c r="P251" s="2"/>
    </row>
    <row r="252" ht="18.0" customHeight="1">
      <c r="A252" s="38"/>
      <c r="B252" s="40"/>
      <c r="C252" s="41"/>
      <c r="D252" s="41"/>
      <c r="E252" s="2"/>
      <c r="F252" s="38"/>
      <c r="G252" s="42"/>
      <c r="H252" s="41"/>
      <c r="I252" s="40"/>
      <c r="J252" s="41"/>
      <c r="K252" s="41"/>
      <c r="L252" s="2"/>
      <c r="M252" s="41"/>
      <c r="N252" s="47"/>
      <c r="O252" s="41"/>
      <c r="P252" s="2"/>
    </row>
    <row r="253" ht="18.0" customHeight="1">
      <c r="A253" s="38"/>
      <c r="B253" s="40"/>
      <c r="C253" s="41"/>
      <c r="D253" s="41"/>
      <c r="E253" s="2"/>
      <c r="F253" s="38"/>
      <c r="G253" s="42"/>
      <c r="H253" s="41"/>
      <c r="I253" s="40"/>
      <c r="J253" s="41"/>
      <c r="K253" s="41"/>
      <c r="L253" s="2"/>
      <c r="M253" s="41"/>
      <c r="N253" s="47"/>
      <c r="O253" s="41"/>
      <c r="P253" s="2"/>
    </row>
    <row r="254" ht="18.0" customHeight="1">
      <c r="A254" s="38"/>
      <c r="B254" s="40"/>
      <c r="C254" s="41"/>
      <c r="D254" s="41"/>
      <c r="E254" s="2"/>
      <c r="F254" s="38"/>
      <c r="G254" s="42"/>
      <c r="H254" s="41"/>
      <c r="I254" s="40"/>
      <c r="J254" s="41"/>
      <c r="K254" s="41"/>
      <c r="L254" s="2"/>
      <c r="M254" s="41"/>
      <c r="N254" s="47"/>
      <c r="O254" s="41"/>
      <c r="P254" s="2"/>
    </row>
    <row r="255" ht="18.0" customHeight="1">
      <c r="A255" s="38"/>
      <c r="B255" s="40"/>
      <c r="C255" s="41"/>
      <c r="D255" s="41"/>
      <c r="E255" s="2"/>
      <c r="F255" s="38"/>
      <c r="G255" s="42"/>
      <c r="H255" s="41"/>
      <c r="I255" s="40"/>
      <c r="J255" s="41"/>
      <c r="K255" s="41"/>
      <c r="L255" s="2"/>
      <c r="M255" s="41"/>
      <c r="N255" s="47"/>
      <c r="O255" s="41"/>
      <c r="P255" s="2"/>
    </row>
    <row r="256" ht="18.0" customHeight="1">
      <c r="A256" s="38"/>
      <c r="B256" s="40"/>
      <c r="C256" s="41"/>
      <c r="D256" s="41"/>
      <c r="E256" s="2"/>
      <c r="F256" s="38"/>
      <c r="G256" s="42"/>
      <c r="H256" s="41"/>
      <c r="I256" s="40"/>
      <c r="J256" s="41"/>
      <c r="K256" s="41"/>
      <c r="L256" s="2"/>
      <c r="M256" s="41"/>
      <c r="N256" s="47"/>
      <c r="O256" s="41"/>
      <c r="P256" s="2"/>
    </row>
    <row r="257" ht="18.0" customHeight="1">
      <c r="A257" s="38"/>
      <c r="B257" s="40"/>
      <c r="C257" s="41"/>
      <c r="D257" s="41"/>
      <c r="E257" s="2"/>
      <c r="F257" s="38"/>
      <c r="G257" s="42"/>
      <c r="H257" s="41"/>
      <c r="I257" s="40"/>
      <c r="J257" s="41"/>
      <c r="K257" s="41"/>
      <c r="L257" s="2"/>
      <c r="M257" s="41"/>
      <c r="N257" s="47"/>
      <c r="O257" s="41"/>
      <c r="P257" s="2"/>
    </row>
    <row r="258" ht="18.0" customHeight="1">
      <c r="A258" s="38"/>
      <c r="B258" s="40"/>
      <c r="C258" s="41"/>
      <c r="D258" s="41"/>
      <c r="E258" s="2"/>
      <c r="F258" s="38"/>
      <c r="G258" s="42"/>
      <c r="H258" s="41"/>
      <c r="I258" s="40"/>
      <c r="J258" s="41"/>
      <c r="K258" s="41"/>
      <c r="L258" s="2"/>
      <c r="M258" s="41"/>
      <c r="N258" s="47"/>
      <c r="O258" s="41"/>
      <c r="P258" s="2"/>
    </row>
    <row r="259" ht="18.0" customHeight="1">
      <c r="A259" s="38"/>
      <c r="B259" s="40"/>
      <c r="C259" s="41"/>
      <c r="D259" s="41"/>
      <c r="E259" s="2"/>
      <c r="F259" s="38"/>
      <c r="G259" s="42"/>
      <c r="H259" s="41"/>
      <c r="I259" s="40"/>
      <c r="J259" s="41"/>
      <c r="K259" s="41"/>
      <c r="L259" s="2"/>
      <c r="M259" s="41"/>
      <c r="N259" s="47"/>
      <c r="O259" s="41"/>
      <c r="P259" s="2"/>
    </row>
    <row r="260" ht="18.0" customHeight="1">
      <c r="A260" s="38"/>
      <c r="B260" s="40"/>
      <c r="C260" s="41"/>
      <c r="D260" s="41"/>
      <c r="E260" s="2"/>
      <c r="F260" s="38"/>
      <c r="G260" s="42"/>
      <c r="H260" s="41"/>
      <c r="I260" s="40"/>
      <c r="J260" s="41"/>
      <c r="K260" s="41"/>
      <c r="L260" s="2"/>
      <c r="M260" s="41"/>
      <c r="N260" s="47"/>
      <c r="O260" s="41"/>
      <c r="P260" s="2"/>
    </row>
    <row r="261" ht="18.0" customHeight="1">
      <c r="A261" s="38"/>
      <c r="B261" s="40"/>
      <c r="C261" s="41"/>
      <c r="D261" s="41"/>
      <c r="E261" s="2"/>
      <c r="F261" s="38"/>
      <c r="G261" s="42"/>
      <c r="H261" s="41"/>
      <c r="I261" s="40"/>
      <c r="J261" s="41"/>
      <c r="K261" s="41"/>
      <c r="L261" s="2"/>
      <c r="M261" s="41"/>
      <c r="N261" s="47"/>
      <c r="O261" s="41"/>
      <c r="P261" s="2"/>
    </row>
    <row r="262" ht="18.0" customHeight="1">
      <c r="A262" s="38"/>
      <c r="B262" s="40"/>
      <c r="C262" s="41"/>
      <c r="D262" s="41"/>
      <c r="E262" s="2"/>
      <c r="F262" s="38"/>
      <c r="G262" s="42"/>
      <c r="H262" s="41"/>
      <c r="I262" s="40"/>
      <c r="J262" s="41"/>
      <c r="K262" s="41"/>
      <c r="L262" s="2"/>
      <c r="M262" s="41"/>
      <c r="N262" s="47"/>
      <c r="O262" s="41"/>
      <c r="P262" s="2"/>
    </row>
    <row r="263" ht="18.0" customHeight="1">
      <c r="A263" s="38"/>
      <c r="B263" s="40"/>
      <c r="C263" s="41"/>
      <c r="D263" s="41"/>
      <c r="E263" s="2"/>
      <c r="F263" s="38"/>
      <c r="G263" s="42"/>
      <c r="H263" s="41"/>
      <c r="I263" s="40"/>
      <c r="J263" s="41"/>
      <c r="K263" s="41"/>
      <c r="L263" s="2"/>
      <c r="M263" s="41"/>
      <c r="N263" s="47"/>
      <c r="O263" s="41"/>
      <c r="P263" s="2"/>
    </row>
    <row r="264" ht="18.0" customHeight="1">
      <c r="A264" s="38"/>
      <c r="B264" s="40"/>
      <c r="C264" s="41"/>
      <c r="D264" s="41"/>
      <c r="E264" s="2"/>
      <c r="F264" s="38"/>
      <c r="G264" s="42"/>
      <c r="H264" s="41"/>
      <c r="I264" s="40"/>
      <c r="J264" s="41"/>
      <c r="K264" s="41"/>
      <c r="L264" s="2"/>
      <c r="M264" s="41"/>
      <c r="N264" s="47"/>
      <c r="O264" s="41"/>
      <c r="P264" s="2"/>
    </row>
    <row r="265" ht="18.0" customHeight="1">
      <c r="A265" s="38"/>
      <c r="B265" s="40"/>
      <c r="C265" s="41"/>
      <c r="D265" s="41"/>
      <c r="E265" s="2"/>
      <c r="F265" s="38"/>
      <c r="G265" s="42"/>
      <c r="H265" s="41"/>
      <c r="I265" s="40"/>
      <c r="J265" s="41"/>
      <c r="K265" s="41"/>
      <c r="L265" s="2"/>
      <c r="M265" s="41"/>
      <c r="N265" s="47"/>
      <c r="O265" s="41"/>
      <c r="P265" s="2"/>
    </row>
    <row r="266" ht="18.0" customHeight="1">
      <c r="A266" s="38"/>
      <c r="B266" s="40"/>
      <c r="C266" s="41"/>
      <c r="D266" s="41"/>
      <c r="E266" s="2"/>
      <c r="F266" s="38"/>
      <c r="G266" s="42"/>
      <c r="H266" s="41"/>
      <c r="I266" s="40"/>
      <c r="J266" s="41"/>
      <c r="K266" s="41"/>
      <c r="L266" s="2"/>
      <c r="M266" s="41"/>
      <c r="N266" s="47"/>
      <c r="O266" s="41"/>
      <c r="P266" s="2"/>
    </row>
    <row r="267" ht="18.0" customHeight="1">
      <c r="A267" s="38"/>
      <c r="B267" s="40"/>
      <c r="C267" s="41"/>
      <c r="D267" s="41"/>
      <c r="E267" s="2"/>
      <c r="F267" s="38"/>
      <c r="G267" s="42"/>
      <c r="H267" s="41"/>
      <c r="I267" s="40"/>
      <c r="J267" s="41"/>
      <c r="K267" s="41"/>
      <c r="L267" s="2"/>
      <c r="M267" s="41"/>
      <c r="N267" s="47"/>
      <c r="O267" s="41"/>
      <c r="P267" s="2"/>
    </row>
    <row r="268" ht="18.0" customHeight="1">
      <c r="A268" s="38"/>
      <c r="B268" s="40"/>
      <c r="C268" s="41"/>
      <c r="D268" s="41"/>
      <c r="E268" s="2"/>
      <c r="F268" s="38"/>
      <c r="G268" s="42"/>
      <c r="H268" s="41"/>
      <c r="I268" s="40"/>
      <c r="J268" s="41"/>
      <c r="K268" s="41"/>
      <c r="L268" s="2"/>
      <c r="M268" s="41"/>
      <c r="N268" s="47"/>
      <c r="O268" s="41"/>
      <c r="P268" s="2"/>
    </row>
    <row r="269" ht="18.0" customHeight="1">
      <c r="A269" s="38"/>
      <c r="B269" s="40"/>
      <c r="C269" s="41"/>
      <c r="D269" s="41"/>
      <c r="E269" s="2"/>
      <c r="F269" s="38"/>
      <c r="G269" s="42"/>
      <c r="H269" s="41"/>
      <c r="I269" s="40"/>
      <c r="J269" s="41"/>
      <c r="K269" s="41"/>
      <c r="L269" s="2"/>
      <c r="M269" s="41"/>
      <c r="N269" s="47"/>
      <c r="O269" s="41"/>
      <c r="P269" s="2"/>
    </row>
    <row r="270" ht="18.0" customHeight="1">
      <c r="A270" s="38"/>
      <c r="B270" s="40"/>
      <c r="C270" s="41"/>
      <c r="D270" s="41"/>
      <c r="E270" s="2"/>
      <c r="F270" s="38"/>
      <c r="G270" s="42"/>
      <c r="H270" s="41"/>
      <c r="I270" s="40"/>
      <c r="J270" s="41"/>
      <c r="K270" s="41"/>
      <c r="L270" s="2"/>
      <c r="M270" s="41"/>
      <c r="N270" s="47"/>
      <c r="O270" s="41"/>
      <c r="P270" s="2"/>
    </row>
    <row r="271" ht="18.0" customHeight="1">
      <c r="A271" s="38"/>
      <c r="B271" s="40"/>
      <c r="C271" s="41"/>
      <c r="D271" s="41"/>
      <c r="E271" s="2"/>
      <c r="F271" s="38"/>
      <c r="G271" s="42"/>
      <c r="H271" s="41"/>
      <c r="I271" s="40"/>
      <c r="J271" s="41"/>
      <c r="K271" s="41"/>
      <c r="L271" s="2"/>
      <c r="M271" s="41"/>
      <c r="N271" s="47"/>
      <c r="O271" s="41"/>
      <c r="P271" s="2"/>
    </row>
    <row r="272" ht="18.0" customHeight="1">
      <c r="A272" s="38"/>
      <c r="B272" s="40"/>
      <c r="C272" s="41"/>
      <c r="D272" s="41"/>
      <c r="E272" s="2"/>
      <c r="F272" s="38"/>
      <c r="G272" s="42"/>
      <c r="H272" s="41"/>
      <c r="I272" s="40"/>
      <c r="J272" s="41"/>
      <c r="K272" s="41"/>
      <c r="L272" s="2"/>
      <c r="M272" s="41"/>
      <c r="N272" s="47"/>
      <c r="O272" s="41"/>
      <c r="P272" s="2"/>
    </row>
    <row r="273" ht="18.0" customHeight="1">
      <c r="A273" s="38"/>
      <c r="B273" s="40"/>
      <c r="C273" s="41"/>
      <c r="D273" s="41"/>
      <c r="E273" s="2"/>
      <c r="F273" s="38"/>
      <c r="G273" s="42"/>
      <c r="H273" s="41"/>
      <c r="I273" s="40"/>
      <c r="J273" s="41"/>
      <c r="K273" s="41"/>
      <c r="L273" s="2"/>
      <c r="M273" s="41"/>
      <c r="N273" s="47"/>
      <c r="O273" s="41"/>
      <c r="P273" s="2"/>
    </row>
    <row r="274" ht="18.0" customHeight="1">
      <c r="A274" s="38"/>
      <c r="B274" s="40"/>
      <c r="C274" s="41"/>
      <c r="D274" s="41"/>
      <c r="E274" s="2"/>
      <c r="F274" s="38"/>
      <c r="G274" s="42"/>
      <c r="H274" s="41"/>
      <c r="I274" s="40"/>
      <c r="J274" s="41"/>
      <c r="K274" s="41"/>
      <c r="L274" s="2"/>
      <c r="M274" s="41"/>
      <c r="N274" s="47"/>
      <c r="O274" s="41"/>
      <c r="P274" s="2"/>
    </row>
    <row r="275" ht="18.0" customHeight="1">
      <c r="A275" s="38"/>
      <c r="B275" s="40"/>
      <c r="C275" s="41"/>
      <c r="D275" s="41"/>
      <c r="E275" s="2"/>
      <c r="F275" s="38"/>
      <c r="G275" s="42"/>
      <c r="H275" s="41"/>
      <c r="I275" s="40"/>
      <c r="J275" s="41"/>
      <c r="K275" s="41"/>
      <c r="L275" s="2"/>
      <c r="M275" s="41"/>
      <c r="N275" s="47"/>
      <c r="O275" s="41"/>
      <c r="P275" s="2"/>
    </row>
    <row r="276" ht="18.0" customHeight="1">
      <c r="A276" s="38"/>
      <c r="B276" s="40"/>
      <c r="C276" s="41"/>
      <c r="D276" s="41"/>
      <c r="E276" s="2"/>
      <c r="F276" s="38"/>
      <c r="G276" s="42"/>
      <c r="H276" s="41"/>
      <c r="I276" s="40"/>
      <c r="J276" s="41"/>
      <c r="K276" s="41"/>
      <c r="L276" s="2"/>
      <c r="M276" s="41"/>
      <c r="N276" s="47"/>
      <c r="O276" s="41"/>
      <c r="P276" s="2"/>
    </row>
    <row r="277" ht="18.0" customHeight="1">
      <c r="A277" s="38"/>
      <c r="B277" s="40"/>
      <c r="C277" s="41"/>
      <c r="D277" s="41"/>
      <c r="E277" s="2"/>
      <c r="F277" s="38"/>
      <c r="G277" s="42"/>
      <c r="H277" s="41"/>
      <c r="I277" s="40"/>
      <c r="J277" s="41"/>
      <c r="K277" s="41"/>
      <c r="L277" s="2"/>
      <c r="M277" s="41"/>
      <c r="N277" s="47"/>
      <c r="O277" s="41"/>
      <c r="P277" s="2"/>
    </row>
    <row r="278" ht="18.0" customHeight="1">
      <c r="A278" s="38"/>
      <c r="B278" s="40"/>
      <c r="C278" s="41"/>
      <c r="D278" s="41"/>
      <c r="E278" s="2"/>
      <c r="F278" s="38"/>
      <c r="G278" s="42"/>
      <c r="H278" s="41"/>
      <c r="I278" s="40"/>
      <c r="J278" s="41"/>
      <c r="K278" s="41"/>
      <c r="L278" s="2"/>
      <c r="M278" s="41"/>
      <c r="N278" s="47"/>
      <c r="O278" s="41"/>
      <c r="P278" s="2"/>
    </row>
    <row r="279" ht="18.0" customHeight="1">
      <c r="A279" s="38"/>
      <c r="B279" s="40"/>
      <c r="C279" s="41"/>
      <c r="D279" s="41"/>
      <c r="E279" s="2"/>
      <c r="F279" s="38"/>
      <c r="G279" s="42"/>
      <c r="H279" s="41"/>
      <c r="I279" s="40"/>
      <c r="J279" s="41"/>
      <c r="K279" s="41"/>
      <c r="L279" s="2"/>
      <c r="M279" s="41"/>
      <c r="N279" s="47"/>
      <c r="O279" s="41"/>
      <c r="P279" s="2"/>
    </row>
    <row r="280" ht="18.0" customHeight="1">
      <c r="A280" s="38"/>
      <c r="B280" s="40"/>
      <c r="C280" s="41"/>
      <c r="D280" s="41"/>
      <c r="E280" s="2"/>
      <c r="F280" s="38"/>
      <c r="G280" s="42"/>
      <c r="H280" s="41"/>
      <c r="I280" s="40"/>
      <c r="J280" s="41"/>
      <c r="K280" s="41"/>
      <c r="L280" s="2"/>
      <c r="M280" s="41"/>
      <c r="N280" s="47"/>
      <c r="O280" s="41"/>
      <c r="P280" s="2"/>
    </row>
    <row r="281" ht="18.0" customHeight="1">
      <c r="A281" s="38"/>
      <c r="B281" s="40"/>
      <c r="C281" s="41"/>
      <c r="D281" s="41"/>
      <c r="E281" s="2"/>
      <c r="F281" s="38"/>
      <c r="G281" s="42"/>
      <c r="H281" s="41"/>
      <c r="I281" s="40"/>
      <c r="J281" s="41"/>
      <c r="K281" s="41"/>
      <c r="L281" s="2"/>
      <c r="M281" s="41"/>
      <c r="N281" s="47"/>
      <c r="O281" s="41"/>
      <c r="P281" s="2"/>
    </row>
    <row r="282" ht="18.0" customHeight="1">
      <c r="A282" s="38"/>
      <c r="B282" s="40"/>
      <c r="C282" s="41"/>
      <c r="D282" s="41"/>
      <c r="E282" s="2"/>
      <c r="F282" s="38"/>
      <c r="G282" s="42"/>
      <c r="H282" s="41"/>
      <c r="I282" s="40"/>
      <c r="J282" s="41"/>
      <c r="K282" s="41"/>
      <c r="L282" s="2"/>
      <c r="M282" s="41"/>
      <c r="N282" s="47"/>
      <c r="O282" s="41"/>
      <c r="P282" s="2"/>
    </row>
    <row r="283" ht="18.0" customHeight="1">
      <c r="A283" s="38"/>
      <c r="B283" s="40"/>
      <c r="C283" s="41"/>
      <c r="D283" s="41"/>
      <c r="E283" s="2"/>
      <c r="F283" s="38"/>
      <c r="G283" s="42"/>
      <c r="H283" s="41"/>
      <c r="I283" s="40"/>
      <c r="J283" s="41"/>
      <c r="K283" s="41"/>
      <c r="L283" s="2"/>
      <c r="M283" s="41"/>
      <c r="N283" s="47"/>
      <c r="O283" s="41"/>
      <c r="P283" s="2"/>
    </row>
    <row r="284" ht="18.0" customHeight="1">
      <c r="A284" s="38"/>
      <c r="B284" s="40"/>
      <c r="C284" s="41"/>
      <c r="D284" s="41"/>
      <c r="E284" s="2"/>
      <c r="F284" s="38"/>
      <c r="G284" s="42"/>
      <c r="H284" s="41"/>
      <c r="I284" s="40"/>
      <c r="J284" s="41"/>
      <c r="K284" s="41"/>
      <c r="L284" s="2"/>
      <c r="M284" s="41"/>
      <c r="N284" s="47"/>
      <c r="O284" s="41"/>
      <c r="P284" s="2"/>
    </row>
    <row r="285" ht="18.0" customHeight="1">
      <c r="A285" s="38"/>
      <c r="B285" s="40"/>
      <c r="C285" s="41"/>
      <c r="D285" s="41"/>
      <c r="E285" s="2"/>
      <c r="F285" s="38"/>
      <c r="G285" s="42"/>
      <c r="H285" s="41"/>
      <c r="I285" s="40"/>
      <c r="J285" s="41"/>
      <c r="K285" s="41"/>
      <c r="L285" s="2"/>
      <c r="M285" s="41"/>
      <c r="N285" s="47"/>
      <c r="O285" s="41"/>
      <c r="P285" s="2"/>
    </row>
    <row r="286" ht="18.0" customHeight="1">
      <c r="A286" s="38"/>
      <c r="B286" s="40"/>
      <c r="C286" s="41"/>
      <c r="D286" s="41"/>
      <c r="E286" s="2"/>
      <c r="F286" s="38"/>
      <c r="G286" s="42"/>
      <c r="H286" s="41"/>
      <c r="I286" s="40"/>
      <c r="J286" s="41"/>
      <c r="K286" s="41"/>
      <c r="L286" s="2"/>
      <c r="M286" s="41"/>
      <c r="N286" s="47"/>
      <c r="O286" s="41"/>
      <c r="P286" s="2"/>
    </row>
    <row r="287" ht="18.0" customHeight="1">
      <c r="A287" s="38"/>
      <c r="B287" s="40"/>
      <c r="C287" s="41"/>
      <c r="D287" s="41"/>
      <c r="E287" s="2"/>
      <c r="F287" s="38"/>
      <c r="G287" s="42"/>
      <c r="H287" s="41"/>
      <c r="I287" s="40"/>
      <c r="J287" s="41"/>
      <c r="K287" s="41"/>
      <c r="L287" s="2"/>
      <c r="M287" s="41"/>
      <c r="N287" s="47"/>
      <c r="O287" s="41"/>
      <c r="P287" s="2"/>
    </row>
    <row r="288" ht="18.0" customHeight="1">
      <c r="A288" s="38"/>
      <c r="B288" s="40"/>
      <c r="C288" s="41"/>
      <c r="D288" s="41"/>
      <c r="E288" s="2"/>
      <c r="F288" s="38"/>
      <c r="G288" s="42"/>
      <c r="H288" s="41"/>
      <c r="I288" s="40"/>
      <c r="J288" s="41"/>
      <c r="K288" s="41"/>
      <c r="L288" s="2"/>
      <c r="M288" s="41"/>
      <c r="N288" s="47"/>
      <c r="O288" s="41"/>
      <c r="P288" s="2"/>
    </row>
    <row r="289" ht="18.0" customHeight="1">
      <c r="A289" s="38"/>
      <c r="B289" s="40"/>
      <c r="C289" s="41"/>
      <c r="D289" s="41"/>
      <c r="E289" s="2"/>
      <c r="F289" s="38"/>
      <c r="G289" s="42"/>
      <c r="H289" s="41"/>
      <c r="I289" s="40"/>
      <c r="J289" s="41"/>
      <c r="K289" s="41"/>
      <c r="L289" s="2"/>
      <c r="M289" s="41"/>
      <c r="N289" s="47"/>
      <c r="O289" s="41"/>
      <c r="P289" s="2"/>
    </row>
    <row r="290" ht="18.0" customHeight="1">
      <c r="A290" s="38"/>
      <c r="B290" s="40"/>
      <c r="C290" s="41"/>
      <c r="D290" s="41"/>
      <c r="E290" s="2"/>
      <c r="F290" s="38"/>
      <c r="G290" s="42"/>
      <c r="H290" s="41"/>
      <c r="I290" s="40"/>
      <c r="J290" s="41"/>
      <c r="K290" s="41"/>
      <c r="L290" s="2"/>
      <c r="M290" s="41"/>
      <c r="N290" s="47"/>
      <c r="O290" s="41"/>
      <c r="P290" s="2"/>
    </row>
    <row r="291" ht="18.0" customHeight="1">
      <c r="A291" s="38"/>
      <c r="B291" s="40"/>
      <c r="C291" s="41"/>
      <c r="D291" s="41"/>
      <c r="E291" s="2"/>
      <c r="F291" s="38"/>
      <c r="G291" s="42"/>
      <c r="H291" s="41"/>
      <c r="I291" s="40"/>
      <c r="J291" s="41"/>
      <c r="K291" s="41"/>
      <c r="L291" s="2"/>
      <c r="M291" s="41"/>
      <c r="N291" s="47"/>
      <c r="O291" s="41"/>
      <c r="P291" s="2"/>
    </row>
    <row r="292" ht="18.0" customHeight="1">
      <c r="A292" s="38"/>
      <c r="B292" s="40"/>
      <c r="C292" s="41"/>
      <c r="D292" s="41"/>
      <c r="E292" s="2"/>
      <c r="F292" s="38"/>
      <c r="G292" s="42"/>
      <c r="H292" s="41"/>
      <c r="I292" s="40"/>
      <c r="J292" s="41"/>
      <c r="K292" s="41"/>
      <c r="L292" s="2"/>
      <c r="M292" s="41"/>
      <c r="N292" s="47"/>
      <c r="O292" s="41"/>
      <c r="P292" s="2"/>
    </row>
    <row r="293" ht="18.0" customHeight="1">
      <c r="A293" s="38"/>
      <c r="B293" s="40"/>
      <c r="C293" s="41"/>
      <c r="D293" s="41"/>
      <c r="E293" s="2"/>
      <c r="F293" s="38"/>
      <c r="G293" s="42"/>
      <c r="H293" s="41"/>
      <c r="I293" s="40"/>
      <c r="J293" s="41"/>
      <c r="K293" s="41"/>
      <c r="L293" s="2"/>
      <c r="M293" s="41"/>
      <c r="N293" s="47"/>
      <c r="O293" s="41"/>
      <c r="P293" s="2"/>
    </row>
    <row r="294" ht="18.0" customHeight="1">
      <c r="A294" s="38"/>
      <c r="B294" s="40"/>
      <c r="C294" s="41"/>
      <c r="D294" s="41"/>
      <c r="E294" s="2"/>
      <c r="F294" s="38"/>
      <c r="G294" s="42"/>
      <c r="H294" s="41"/>
      <c r="I294" s="40"/>
      <c r="J294" s="41"/>
      <c r="K294" s="41"/>
      <c r="L294" s="2"/>
      <c r="M294" s="41"/>
      <c r="N294" s="47"/>
      <c r="O294" s="41"/>
      <c r="P294" s="2"/>
    </row>
    <row r="295" ht="18.0" customHeight="1">
      <c r="A295" s="38"/>
      <c r="B295" s="40"/>
      <c r="C295" s="41"/>
      <c r="D295" s="41"/>
      <c r="E295" s="2"/>
      <c r="F295" s="38"/>
      <c r="G295" s="42"/>
      <c r="H295" s="41"/>
      <c r="I295" s="40"/>
      <c r="J295" s="41"/>
      <c r="K295" s="41"/>
      <c r="L295" s="2"/>
      <c r="M295" s="41"/>
      <c r="N295" s="47"/>
      <c r="O295" s="41"/>
      <c r="P295" s="2"/>
    </row>
    <row r="296" ht="18.0" customHeight="1">
      <c r="A296" s="38"/>
      <c r="B296" s="40"/>
      <c r="C296" s="41"/>
      <c r="D296" s="41"/>
      <c r="E296" s="2"/>
      <c r="F296" s="38"/>
      <c r="G296" s="42"/>
      <c r="H296" s="41"/>
      <c r="I296" s="40"/>
      <c r="J296" s="41"/>
      <c r="K296" s="41"/>
      <c r="L296" s="2"/>
      <c r="M296" s="41"/>
      <c r="N296" s="47"/>
      <c r="O296" s="41"/>
      <c r="P296" s="2"/>
    </row>
    <row r="297" ht="18.0" customHeight="1">
      <c r="A297" s="38"/>
      <c r="B297" s="40"/>
      <c r="C297" s="41"/>
      <c r="D297" s="41"/>
      <c r="E297" s="2"/>
      <c r="F297" s="38"/>
      <c r="G297" s="42"/>
      <c r="H297" s="41"/>
      <c r="I297" s="40"/>
      <c r="J297" s="41"/>
      <c r="K297" s="41"/>
      <c r="L297" s="2"/>
      <c r="M297" s="41"/>
      <c r="N297" s="47"/>
      <c r="O297" s="41"/>
      <c r="P297" s="2"/>
    </row>
    <row r="298" ht="18.0" customHeight="1">
      <c r="A298" s="38"/>
      <c r="B298" s="40"/>
      <c r="C298" s="41"/>
      <c r="D298" s="41"/>
      <c r="E298" s="2"/>
      <c r="F298" s="38"/>
      <c r="G298" s="42"/>
      <c r="H298" s="41"/>
      <c r="I298" s="40"/>
      <c r="J298" s="41"/>
      <c r="K298" s="41"/>
      <c r="L298" s="2"/>
      <c r="M298" s="41"/>
      <c r="N298" s="47"/>
      <c r="O298" s="41"/>
      <c r="P298" s="2"/>
    </row>
    <row r="299" ht="18.0" customHeight="1">
      <c r="A299" s="38"/>
      <c r="B299" s="40"/>
      <c r="C299" s="41"/>
      <c r="D299" s="41"/>
      <c r="E299" s="2"/>
      <c r="F299" s="38"/>
      <c r="G299" s="42"/>
      <c r="H299" s="41"/>
      <c r="I299" s="40"/>
      <c r="J299" s="41"/>
      <c r="K299" s="41"/>
      <c r="L299" s="2"/>
      <c r="M299" s="41"/>
      <c r="N299" s="47"/>
      <c r="O299" s="41"/>
      <c r="P299" s="2"/>
    </row>
    <row r="300" ht="18.0" customHeight="1">
      <c r="A300" s="38"/>
      <c r="B300" s="40"/>
      <c r="C300" s="41"/>
      <c r="D300" s="41"/>
      <c r="E300" s="2"/>
      <c r="F300" s="38"/>
      <c r="G300" s="42"/>
      <c r="H300" s="41"/>
      <c r="I300" s="40"/>
      <c r="J300" s="41"/>
      <c r="K300" s="41"/>
      <c r="L300" s="2"/>
      <c r="M300" s="41"/>
      <c r="N300" s="47"/>
      <c r="O300" s="41"/>
      <c r="P300" s="2"/>
    </row>
    <row r="301" ht="18.0" customHeight="1">
      <c r="A301" s="38"/>
      <c r="B301" s="40"/>
      <c r="C301" s="41"/>
      <c r="D301" s="41"/>
      <c r="E301" s="2"/>
      <c r="F301" s="38"/>
      <c r="G301" s="42"/>
      <c r="H301" s="41"/>
      <c r="I301" s="40"/>
      <c r="J301" s="41"/>
      <c r="K301" s="41"/>
      <c r="L301" s="2"/>
      <c r="M301" s="41"/>
      <c r="N301" s="47"/>
      <c r="O301" s="41"/>
      <c r="P301" s="2"/>
    </row>
    <row r="302" ht="18.0" customHeight="1">
      <c r="A302" s="38"/>
      <c r="B302" s="40"/>
      <c r="C302" s="41"/>
      <c r="D302" s="41"/>
      <c r="E302" s="2"/>
      <c r="F302" s="38"/>
      <c r="G302" s="42"/>
      <c r="H302" s="41"/>
      <c r="I302" s="40"/>
      <c r="J302" s="41"/>
      <c r="K302" s="41"/>
      <c r="L302" s="2"/>
      <c r="M302" s="41"/>
      <c r="N302" s="47"/>
      <c r="O302" s="41"/>
      <c r="P302" s="2"/>
    </row>
    <row r="303" ht="18.0" customHeight="1">
      <c r="A303" s="38"/>
      <c r="B303" s="40"/>
      <c r="C303" s="41"/>
      <c r="D303" s="41"/>
      <c r="E303" s="2"/>
      <c r="F303" s="38"/>
      <c r="G303" s="42"/>
      <c r="H303" s="41"/>
      <c r="I303" s="40"/>
      <c r="J303" s="41"/>
      <c r="K303" s="41"/>
      <c r="L303" s="2"/>
      <c r="M303" s="41"/>
      <c r="N303" s="47"/>
      <c r="O303" s="41"/>
      <c r="P303" s="2"/>
    </row>
    <row r="304" ht="18.0" customHeight="1">
      <c r="A304" s="38"/>
      <c r="B304" s="40"/>
      <c r="C304" s="41"/>
      <c r="D304" s="41"/>
      <c r="E304" s="2"/>
      <c r="F304" s="38"/>
      <c r="G304" s="42"/>
      <c r="H304" s="41"/>
      <c r="I304" s="40"/>
      <c r="J304" s="41"/>
      <c r="K304" s="41"/>
      <c r="L304" s="2"/>
      <c r="M304" s="41"/>
      <c r="N304" s="47"/>
      <c r="O304" s="41"/>
      <c r="P304" s="2"/>
    </row>
    <row r="305" ht="18.0" customHeight="1">
      <c r="A305" s="38"/>
      <c r="B305" s="40"/>
      <c r="C305" s="41"/>
      <c r="D305" s="41"/>
      <c r="E305" s="2"/>
      <c r="F305" s="38"/>
      <c r="G305" s="42"/>
      <c r="H305" s="41"/>
      <c r="I305" s="40"/>
      <c r="J305" s="41"/>
      <c r="K305" s="41"/>
      <c r="L305" s="2"/>
      <c r="M305" s="41"/>
      <c r="N305" s="47"/>
      <c r="O305" s="41"/>
      <c r="P305" s="2"/>
    </row>
    <row r="306" ht="18.0" customHeight="1">
      <c r="A306" s="38"/>
      <c r="B306" s="40"/>
      <c r="C306" s="41"/>
      <c r="D306" s="41"/>
      <c r="E306" s="2"/>
      <c r="F306" s="38"/>
      <c r="G306" s="42"/>
      <c r="H306" s="41"/>
      <c r="I306" s="40"/>
      <c r="J306" s="41"/>
      <c r="K306" s="41"/>
      <c r="L306" s="2"/>
      <c r="M306" s="41"/>
      <c r="N306" s="47"/>
      <c r="O306" s="41"/>
      <c r="P306" s="2"/>
    </row>
    <row r="307" ht="18.0" customHeight="1">
      <c r="A307" s="38"/>
      <c r="B307" s="40"/>
      <c r="C307" s="41"/>
      <c r="D307" s="41"/>
      <c r="E307" s="2"/>
      <c r="F307" s="38"/>
      <c r="G307" s="42"/>
      <c r="H307" s="41"/>
      <c r="I307" s="40"/>
      <c r="J307" s="41"/>
      <c r="K307" s="41"/>
      <c r="L307" s="2"/>
      <c r="M307" s="41"/>
      <c r="N307" s="47"/>
      <c r="O307" s="41"/>
      <c r="P307" s="2"/>
    </row>
    <row r="308" ht="18.0" customHeight="1">
      <c r="A308" s="38"/>
      <c r="B308" s="40"/>
      <c r="C308" s="41"/>
      <c r="D308" s="41"/>
      <c r="E308" s="2"/>
      <c r="F308" s="38"/>
      <c r="G308" s="42"/>
      <c r="H308" s="41"/>
      <c r="I308" s="40"/>
      <c r="J308" s="41"/>
      <c r="K308" s="41"/>
      <c r="L308" s="2"/>
      <c r="M308" s="41"/>
      <c r="N308" s="47"/>
      <c r="O308" s="41"/>
      <c r="P308" s="2"/>
    </row>
    <row r="309" ht="18.0" customHeight="1">
      <c r="A309" s="38"/>
      <c r="B309" s="40"/>
      <c r="C309" s="41"/>
      <c r="D309" s="41"/>
      <c r="E309" s="2"/>
      <c r="F309" s="38"/>
      <c r="G309" s="42"/>
      <c r="H309" s="41"/>
      <c r="I309" s="40"/>
      <c r="J309" s="41"/>
      <c r="K309" s="41"/>
      <c r="L309" s="2"/>
      <c r="M309" s="41"/>
      <c r="N309" s="47"/>
      <c r="O309" s="41"/>
      <c r="P309" s="2"/>
    </row>
    <row r="310" ht="18.0" customHeight="1">
      <c r="A310" s="38"/>
      <c r="B310" s="40"/>
      <c r="C310" s="41"/>
      <c r="D310" s="41"/>
      <c r="E310" s="2"/>
      <c r="F310" s="38"/>
      <c r="G310" s="42"/>
      <c r="H310" s="41"/>
      <c r="I310" s="40"/>
      <c r="J310" s="41"/>
      <c r="K310" s="41"/>
      <c r="L310" s="2"/>
      <c r="M310" s="41"/>
      <c r="N310" s="47"/>
      <c r="O310" s="41"/>
      <c r="P310" s="2"/>
    </row>
    <row r="311" ht="18.0" customHeight="1">
      <c r="A311" s="38"/>
      <c r="B311" s="40"/>
      <c r="C311" s="41"/>
      <c r="D311" s="41"/>
      <c r="E311" s="2"/>
      <c r="F311" s="38"/>
      <c r="G311" s="42"/>
      <c r="H311" s="41"/>
      <c r="I311" s="40"/>
      <c r="J311" s="41"/>
      <c r="K311" s="41"/>
      <c r="L311" s="2"/>
      <c r="M311" s="41"/>
      <c r="N311" s="47"/>
      <c r="O311" s="41"/>
      <c r="P311" s="2"/>
    </row>
    <row r="312" ht="18.0" customHeight="1">
      <c r="A312" s="38"/>
      <c r="B312" s="40"/>
      <c r="C312" s="41"/>
      <c r="D312" s="41"/>
      <c r="E312" s="2"/>
      <c r="F312" s="38"/>
      <c r="G312" s="42"/>
      <c r="H312" s="41"/>
      <c r="I312" s="40"/>
      <c r="J312" s="41"/>
      <c r="K312" s="41"/>
      <c r="L312" s="2"/>
      <c r="M312" s="41"/>
      <c r="N312" s="47"/>
      <c r="O312" s="41"/>
      <c r="P312" s="2"/>
    </row>
    <row r="313" ht="18.0" customHeight="1">
      <c r="A313" s="38"/>
      <c r="B313" s="40"/>
      <c r="C313" s="41"/>
      <c r="D313" s="41"/>
      <c r="E313" s="2"/>
      <c r="F313" s="38"/>
      <c r="G313" s="42"/>
      <c r="H313" s="41"/>
      <c r="I313" s="40"/>
      <c r="J313" s="41"/>
      <c r="K313" s="41"/>
      <c r="L313" s="2"/>
      <c r="M313" s="41"/>
      <c r="N313" s="47"/>
      <c r="O313" s="41"/>
      <c r="P313" s="2"/>
    </row>
    <row r="314" ht="18.0" customHeight="1">
      <c r="A314" s="38"/>
      <c r="B314" s="40"/>
      <c r="C314" s="41"/>
      <c r="D314" s="41"/>
      <c r="E314" s="2"/>
      <c r="F314" s="38"/>
      <c r="G314" s="42"/>
      <c r="H314" s="41"/>
      <c r="I314" s="40"/>
      <c r="J314" s="41"/>
      <c r="K314" s="41"/>
      <c r="L314" s="2"/>
      <c r="M314" s="41"/>
      <c r="N314" s="47"/>
      <c r="O314" s="41"/>
      <c r="P314" s="2"/>
    </row>
    <row r="315" ht="18.0" customHeight="1">
      <c r="A315" s="38"/>
      <c r="B315" s="40"/>
      <c r="C315" s="41"/>
      <c r="D315" s="41"/>
      <c r="E315" s="2"/>
      <c r="F315" s="38"/>
      <c r="G315" s="42"/>
      <c r="H315" s="41"/>
      <c r="I315" s="40"/>
      <c r="J315" s="41"/>
      <c r="K315" s="41"/>
      <c r="L315" s="2"/>
      <c r="M315" s="41"/>
      <c r="N315" s="47"/>
      <c r="O315" s="41"/>
      <c r="P315" s="2"/>
    </row>
    <row r="316" ht="18.0" customHeight="1">
      <c r="A316" s="38"/>
      <c r="B316" s="40"/>
      <c r="C316" s="41"/>
      <c r="D316" s="41"/>
      <c r="E316" s="2"/>
      <c r="F316" s="38"/>
      <c r="G316" s="42"/>
      <c r="H316" s="41"/>
      <c r="I316" s="40"/>
      <c r="J316" s="41"/>
      <c r="K316" s="41"/>
      <c r="L316" s="2"/>
      <c r="M316" s="41"/>
      <c r="N316" s="47"/>
      <c r="O316" s="41"/>
      <c r="P316" s="2"/>
    </row>
    <row r="317" ht="18.0" customHeight="1">
      <c r="A317" s="38"/>
      <c r="B317" s="40"/>
      <c r="C317" s="41"/>
      <c r="D317" s="41"/>
      <c r="E317" s="2"/>
      <c r="F317" s="38"/>
      <c r="G317" s="42"/>
      <c r="H317" s="41"/>
      <c r="I317" s="40"/>
      <c r="J317" s="41"/>
      <c r="K317" s="41"/>
      <c r="L317" s="2"/>
      <c r="M317" s="41"/>
      <c r="N317" s="47"/>
      <c r="O317" s="41"/>
      <c r="P317" s="2"/>
    </row>
    <row r="318" ht="18.0" customHeight="1">
      <c r="A318" s="38"/>
      <c r="B318" s="40"/>
      <c r="C318" s="41"/>
      <c r="D318" s="41"/>
      <c r="E318" s="2"/>
      <c r="F318" s="38"/>
      <c r="G318" s="42"/>
      <c r="H318" s="41"/>
      <c r="I318" s="40"/>
      <c r="J318" s="41"/>
      <c r="K318" s="41"/>
      <c r="L318" s="2"/>
      <c r="M318" s="41"/>
      <c r="N318" s="47"/>
      <c r="O318" s="41"/>
      <c r="P318" s="2"/>
    </row>
    <row r="319" ht="18.0" customHeight="1">
      <c r="A319" s="38"/>
      <c r="B319" s="40"/>
      <c r="C319" s="41"/>
      <c r="D319" s="41"/>
      <c r="E319" s="2"/>
      <c r="F319" s="38"/>
      <c r="G319" s="42"/>
      <c r="H319" s="41"/>
      <c r="I319" s="40"/>
      <c r="J319" s="41"/>
      <c r="K319" s="41"/>
      <c r="L319" s="2"/>
      <c r="M319" s="41"/>
      <c r="N319" s="47"/>
      <c r="O319" s="41"/>
      <c r="P319" s="2"/>
    </row>
    <row r="320" ht="18.0" customHeight="1">
      <c r="A320" s="38"/>
      <c r="B320" s="40"/>
      <c r="C320" s="41"/>
      <c r="D320" s="41"/>
      <c r="E320" s="2"/>
      <c r="F320" s="38"/>
      <c r="G320" s="42"/>
      <c r="H320" s="41"/>
      <c r="I320" s="40"/>
      <c r="J320" s="41"/>
      <c r="K320" s="41"/>
      <c r="L320" s="2"/>
      <c r="M320" s="41"/>
      <c r="N320" s="47"/>
      <c r="O320" s="41"/>
      <c r="P320" s="2"/>
    </row>
    <row r="321" ht="18.0" customHeight="1">
      <c r="A321" s="38"/>
      <c r="B321" s="40"/>
      <c r="C321" s="41"/>
      <c r="D321" s="41"/>
      <c r="E321" s="2"/>
      <c r="F321" s="38"/>
      <c r="G321" s="42"/>
      <c r="H321" s="41"/>
      <c r="I321" s="40"/>
      <c r="J321" s="41"/>
      <c r="K321" s="41"/>
      <c r="L321" s="2"/>
      <c r="M321" s="41"/>
      <c r="N321" s="47"/>
      <c r="O321" s="41"/>
      <c r="P321" s="2"/>
    </row>
    <row r="322" ht="18.0" customHeight="1">
      <c r="A322" s="38"/>
      <c r="B322" s="40"/>
      <c r="C322" s="41"/>
      <c r="D322" s="41"/>
      <c r="E322" s="2"/>
      <c r="F322" s="38"/>
      <c r="G322" s="42"/>
      <c r="H322" s="41"/>
      <c r="I322" s="40"/>
      <c r="J322" s="41"/>
      <c r="K322" s="41"/>
      <c r="L322" s="2"/>
      <c r="M322" s="41"/>
      <c r="N322" s="47"/>
      <c r="O322" s="41"/>
      <c r="P322" s="2"/>
    </row>
    <row r="323" ht="18.0" customHeight="1">
      <c r="A323" s="38"/>
      <c r="B323" s="40"/>
      <c r="C323" s="41"/>
      <c r="D323" s="41"/>
      <c r="E323" s="2"/>
      <c r="F323" s="38"/>
      <c r="G323" s="42"/>
      <c r="H323" s="41"/>
      <c r="I323" s="40"/>
      <c r="J323" s="41"/>
      <c r="K323" s="41"/>
      <c r="L323" s="2"/>
      <c r="M323" s="41"/>
      <c r="N323" s="47"/>
      <c r="O323" s="41"/>
      <c r="P323" s="2"/>
    </row>
    <row r="324" ht="18.0" customHeight="1">
      <c r="A324" s="38"/>
      <c r="B324" s="40"/>
      <c r="C324" s="41"/>
      <c r="D324" s="41"/>
      <c r="E324" s="2"/>
      <c r="F324" s="38"/>
      <c r="G324" s="42"/>
      <c r="H324" s="41"/>
      <c r="I324" s="40"/>
      <c r="J324" s="41"/>
      <c r="K324" s="41"/>
      <c r="L324" s="2"/>
      <c r="M324" s="41"/>
      <c r="N324" s="47"/>
      <c r="O324" s="41"/>
      <c r="P324" s="2"/>
    </row>
    <row r="325" ht="18.0" customHeight="1">
      <c r="A325" s="38"/>
      <c r="B325" s="40"/>
      <c r="C325" s="41"/>
      <c r="D325" s="41"/>
      <c r="E325" s="2"/>
      <c r="F325" s="38"/>
      <c r="G325" s="42"/>
      <c r="H325" s="41"/>
      <c r="I325" s="40"/>
      <c r="J325" s="41"/>
      <c r="K325" s="41"/>
      <c r="L325" s="2"/>
      <c r="M325" s="41"/>
      <c r="N325" s="47"/>
      <c r="O325" s="41"/>
      <c r="P325" s="2"/>
    </row>
    <row r="326" ht="18.0" customHeight="1">
      <c r="A326" s="38"/>
      <c r="B326" s="40"/>
      <c r="C326" s="41"/>
      <c r="D326" s="41"/>
      <c r="E326" s="2"/>
      <c r="F326" s="38"/>
      <c r="G326" s="42"/>
      <c r="H326" s="41"/>
      <c r="I326" s="40"/>
      <c r="J326" s="41"/>
      <c r="K326" s="41"/>
      <c r="L326" s="2"/>
      <c r="M326" s="41"/>
      <c r="N326" s="47"/>
      <c r="O326" s="41"/>
      <c r="P326" s="2"/>
    </row>
    <row r="327" ht="18.0" customHeight="1">
      <c r="A327" s="38"/>
      <c r="B327" s="40"/>
      <c r="C327" s="41"/>
      <c r="D327" s="41"/>
      <c r="E327" s="2"/>
      <c r="F327" s="38"/>
      <c r="G327" s="42"/>
      <c r="H327" s="41"/>
      <c r="I327" s="40"/>
      <c r="J327" s="41"/>
      <c r="K327" s="41"/>
      <c r="L327" s="2"/>
      <c r="M327" s="41"/>
      <c r="N327" s="47"/>
      <c r="O327" s="41"/>
      <c r="P327" s="2"/>
    </row>
    <row r="328" ht="18.0" customHeight="1">
      <c r="A328" s="38"/>
      <c r="B328" s="40"/>
      <c r="C328" s="41"/>
      <c r="D328" s="41"/>
      <c r="E328" s="2"/>
      <c r="F328" s="38"/>
      <c r="G328" s="42"/>
      <c r="H328" s="41"/>
      <c r="I328" s="40"/>
      <c r="J328" s="41"/>
      <c r="K328" s="41"/>
      <c r="L328" s="2"/>
      <c r="M328" s="41"/>
      <c r="N328" s="47"/>
      <c r="O328" s="41"/>
      <c r="P328" s="2"/>
    </row>
    <row r="329" ht="18.0" customHeight="1">
      <c r="A329" s="38"/>
      <c r="B329" s="40"/>
      <c r="C329" s="41"/>
      <c r="D329" s="41"/>
      <c r="E329" s="2"/>
      <c r="F329" s="38"/>
      <c r="G329" s="42"/>
      <c r="H329" s="41"/>
      <c r="I329" s="40"/>
      <c r="J329" s="41"/>
      <c r="K329" s="41"/>
      <c r="L329" s="2"/>
      <c r="M329" s="41"/>
      <c r="N329" s="47"/>
      <c r="O329" s="41"/>
      <c r="P329" s="2"/>
    </row>
    <row r="330" ht="18.0" customHeight="1">
      <c r="A330" s="38"/>
      <c r="B330" s="40"/>
      <c r="C330" s="41"/>
      <c r="D330" s="41"/>
      <c r="E330" s="2"/>
      <c r="F330" s="38"/>
      <c r="G330" s="42"/>
      <c r="H330" s="41"/>
      <c r="I330" s="40"/>
      <c r="J330" s="41"/>
      <c r="K330" s="41"/>
      <c r="L330" s="2"/>
      <c r="M330" s="41"/>
      <c r="N330" s="47"/>
      <c r="O330" s="41"/>
      <c r="P330" s="2"/>
    </row>
    <row r="331" ht="18.0" customHeight="1">
      <c r="A331" s="38"/>
      <c r="B331" s="40"/>
      <c r="C331" s="41"/>
      <c r="D331" s="41"/>
      <c r="E331" s="2"/>
      <c r="F331" s="38"/>
      <c r="G331" s="42"/>
      <c r="H331" s="41"/>
      <c r="I331" s="40"/>
      <c r="J331" s="41"/>
      <c r="K331" s="41"/>
      <c r="L331" s="2"/>
      <c r="M331" s="41"/>
      <c r="N331" s="47"/>
      <c r="O331" s="41"/>
      <c r="P331" s="2"/>
    </row>
    <row r="332" ht="18.0" customHeight="1">
      <c r="A332" s="38"/>
      <c r="B332" s="40"/>
      <c r="C332" s="41"/>
      <c r="D332" s="41"/>
      <c r="E332" s="2"/>
      <c r="F332" s="38"/>
      <c r="G332" s="42"/>
      <c r="H332" s="41"/>
      <c r="I332" s="40"/>
      <c r="J332" s="41"/>
      <c r="K332" s="41"/>
      <c r="L332" s="2"/>
      <c r="M332" s="41"/>
      <c r="N332" s="47"/>
      <c r="O332" s="41"/>
      <c r="P332" s="2"/>
    </row>
    <row r="333" ht="18.0" customHeight="1">
      <c r="A333" s="38"/>
      <c r="B333" s="40"/>
      <c r="C333" s="41"/>
      <c r="D333" s="41"/>
      <c r="E333" s="2"/>
      <c r="F333" s="38"/>
      <c r="G333" s="42"/>
      <c r="H333" s="41"/>
      <c r="I333" s="40"/>
      <c r="J333" s="41"/>
      <c r="K333" s="41"/>
      <c r="L333" s="2"/>
      <c r="M333" s="41"/>
      <c r="N333" s="47"/>
      <c r="O333" s="41"/>
      <c r="P333" s="2"/>
    </row>
    <row r="334" ht="18.0" customHeight="1">
      <c r="A334" s="38"/>
      <c r="B334" s="40"/>
      <c r="C334" s="41"/>
      <c r="D334" s="41"/>
      <c r="E334" s="2"/>
      <c r="F334" s="38"/>
      <c r="G334" s="42"/>
      <c r="H334" s="41"/>
      <c r="I334" s="40"/>
      <c r="J334" s="41"/>
      <c r="K334" s="41"/>
      <c r="L334" s="2"/>
      <c r="M334" s="41"/>
      <c r="N334" s="47"/>
      <c r="O334" s="41"/>
      <c r="P334" s="2"/>
    </row>
    <row r="335" ht="18.0" customHeight="1">
      <c r="A335" s="38"/>
      <c r="B335" s="40"/>
      <c r="C335" s="41"/>
      <c r="D335" s="41"/>
      <c r="E335" s="2"/>
      <c r="F335" s="38"/>
      <c r="G335" s="42"/>
      <c r="H335" s="41"/>
      <c r="I335" s="40"/>
      <c r="J335" s="41"/>
      <c r="K335" s="41"/>
      <c r="L335" s="2"/>
      <c r="M335" s="41"/>
      <c r="N335" s="47"/>
      <c r="O335" s="41"/>
      <c r="P335" s="2"/>
    </row>
    <row r="336" ht="18.0" customHeight="1">
      <c r="A336" s="38"/>
      <c r="B336" s="40"/>
      <c r="C336" s="41"/>
      <c r="D336" s="41"/>
      <c r="E336" s="2"/>
      <c r="F336" s="38"/>
      <c r="G336" s="42"/>
      <c r="H336" s="41"/>
      <c r="I336" s="40"/>
      <c r="J336" s="41"/>
      <c r="K336" s="41"/>
      <c r="L336" s="2"/>
      <c r="M336" s="41"/>
      <c r="N336" s="47"/>
      <c r="O336" s="41"/>
      <c r="P336" s="2"/>
    </row>
    <row r="337" ht="18.0" customHeight="1">
      <c r="A337" s="38"/>
      <c r="B337" s="40"/>
      <c r="C337" s="41"/>
      <c r="D337" s="41"/>
      <c r="E337" s="2"/>
      <c r="F337" s="38"/>
      <c r="G337" s="42"/>
      <c r="H337" s="41"/>
      <c r="I337" s="40"/>
      <c r="J337" s="41"/>
      <c r="K337" s="41"/>
      <c r="L337" s="2"/>
      <c r="M337" s="41"/>
      <c r="N337" s="47"/>
      <c r="O337" s="41"/>
      <c r="P337" s="2"/>
    </row>
    <row r="338" ht="18.0" customHeight="1">
      <c r="A338" s="38"/>
      <c r="B338" s="40"/>
      <c r="C338" s="41"/>
      <c r="D338" s="41"/>
      <c r="E338" s="2"/>
      <c r="F338" s="38"/>
      <c r="G338" s="42"/>
      <c r="H338" s="41"/>
      <c r="I338" s="40"/>
      <c r="J338" s="41"/>
      <c r="K338" s="41"/>
      <c r="L338" s="2"/>
      <c r="M338" s="41"/>
      <c r="N338" s="47"/>
      <c r="O338" s="41"/>
      <c r="P338" s="2"/>
    </row>
    <row r="339" ht="18.0" customHeight="1">
      <c r="A339" s="38"/>
      <c r="B339" s="40"/>
      <c r="C339" s="41"/>
      <c r="D339" s="41"/>
      <c r="E339" s="2"/>
      <c r="F339" s="38"/>
      <c r="G339" s="42"/>
      <c r="H339" s="41"/>
      <c r="I339" s="40"/>
      <c r="J339" s="41"/>
      <c r="K339" s="41"/>
      <c r="L339" s="2"/>
      <c r="M339" s="41"/>
      <c r="N339" s="47"/>
      <c r="O339" s="41"/>
      <c r="P339" s="2"/>
    </row>
    <row r="340" ht="18.0" customHeight="1">
      <c r="A340" s="38"/>
      <c r="B340" s="40"/>
      <c r="C340" s="41"/>
      <c r="D340" s="41"/>
      <c r="E340" s="2"/>
      <c r="F340" s="38"/>
      <c r="G340" s="42"/>
      <c r="H340" s="41"/>
      <c r="I340" s="40"/>
      <c r="J340" s="41"/>
      <c r="K340" s="41"/>
      <c r="L340" s="2"/>
      <c r="M340" s="41"/>
      <c r="N340" s="47"/>
      <c r="O340" s="41"/>
      <c r="P340" s="2"/>
    </row>
    <row r="341" ht="18.0" customHeight="1">
      <c r="A341" s="38"/>
      <c r="B341" s="40"/>
      <c r="C341" s="41"/>
      <c r="D341" s="41"/>
      <c r="E341" s="2"/>
      <c r="F341" s="38"/>
      <c r="G341" s="42"/>
      <c r="H341" s="41"/>
      <c r="I341" s="40"/>
      <c r="J341" s="41"/>
      <c r="K341" s="41"/>
      <c r="L341" s="2"/>
      <c r="M341" s="41"/>
      <c r="N341" s="47"/>
      <c r="O341" s="41"/>
      <c r="P341" s="2"/>
    </row>
    <row r="342" ht="18.0" customHeight="1">
      <c r="A342" s="38"/>
      <c r="B342" s="40"/>
      <c r="C342" s="41"/>
      <c r="D342" s="41"/>
      <c r="E342" s="2"/>
      <c r="F342" s="38"/>
      <c r="G342" s="42"/>
      <c r="H342" s="41"/>
      <c r="I342" s="40"/>
      <c r="J342" s="41"/>
      <c r="K342" s="41"/>
      <c r="L342" s="2"/>
      <c r="M342" s="41"/>
      <c r="N342" s="47"/>
      <c r="O342" s="41"/>
      <c r="P342" s="2"/>
    </row>
    <row r="343" ht="18.0" customHeight="1">
      <c r="A343" s="38"/>
      <c r="B343" s="40"/>
      <c r="C343" s="41"/>
      <c r="D343" s="41"/>
      <c r="E343" s="2"/>
      <c r="F343" s="38"/>
      <c r="G343" s="42"/>
      <c r="H343" s="41"/>
      <c r="I343" s="40"/>
      <c r="J343" s="41"/>
      <c r="K343" s="41"/>
      <c r="L343" s="2"/>
      <c r="M343" s="41"/>
      <c r="N343" s="47"/>
      <c r="O343" s="41"/>
      <c r="P343" s="2"/>
    </row>
    <row r="344" ht="18.0" customHeight="1">
      <c r="A344" s="38"/>
      <c r="B344" s="40"/>
      <c r="C344" s="41"/>
      <c r="D344" s="41"/>
      <c r="E344" s="2"/>
      <c r="F344" s="38"/>
      <c r="G344" s="42"/>
      <c r="H344" s="41"/>
      <c r="I344" s="40"/>
      <c r="J344" s="41"/>
      <c r="K344" s="41"/>
      <c r="L344" s="2"/>
      <c r="M344" s="41"/>
      <c r="N344" s="47"/>
      <c r="O344" s="41"/>
      <c r="P344" s="2"/>
    </row>
    <row r="345" ht="18.0" customHeight="1">
      <c r="A345" s="38"/>
      <c r="B345" s="40"/>
      <c r="C345" s="41"/>
      <c r="D345" s="41"/>
      <c r="E345" s="2"/>
      <c r="F345" s="38"/>
      <c r="G345" s="42"/>
      <c r="H345" s="41"/>
      <c r="I345" s="40"/>
      <c r="J345" s="41"/>
      <c r="K345" s="41"/>
      <c r="L345" s="2"/>
      <c r="M345" s="41"/>
      <c r="N345" s="47"/>
      <c r="O345" s="41"/>
      <c r="P345" s="2"/>
    </row>
    <row r="346" ht="18.0" customHeight="1">
      <c r="A346" s="38"/>
      <c r="B346" s="40"/>
      <c r="C346" s="41"/>
      <c r="D346" s="41"/>
      <c r="E346" s="2"/>
      <c r="F346" s="38"/>
      <c r="G346" s="42"/>
      <c r="H346" s="41"/>
      <c r="I346" s="40"/>
      <c r="J346" s="41"/>
      <c r="K346" s="41"/>
      <c r="L346" s="2"/>
      <c r="M346" s="41"/>
      <c r="N346" s="47"/>
      <c r="O346" s="41"/>
      <c r="P346" s="2"/>
    </row>
    <row r="347" ht="18.0" customHeight="1">
      <c r="A347" s="38"/>
      <c r="B347" s="40"/>
      <c r="C347" s="41"/>
      <c r="D347" s="41"/>
      <c r="E347" s="2"/>
      <c r="F347" s="38"/>
      <c r="G347" s="42"/>
      <c r="H347" s="41"/>
      <c r="I347" s="40"/>
      <c r="J347" s="41"/>
      <c r="K347" s="41"/>
      <c r="L347" s="2"/>
      <c r="M347" s="41"/>
      <c r="N347" s="47"/>
      <c r="O347" s="41"/>
      <c r="P347" s="2"/>
    </row>
    <row r="348" ht="18.0" customHeight="1">
      <c r="A348" s="38"/>
      <c r="B348" s="40"/>
      <c r="C348" s="41"/>
      <c r="D348" s="41"/>
      <c r="E348" s="2"/>
      <c r="F348" s="38"/>
      <c r="G348" s="42"/>
      <c r="H348" s="41"/>
      <c r="I348" s="40"/>
      <c r="J348" s="41"/>
      <c r="K348" s="41"/>
      <c r="L348" s="2"/>
      <c r="M348" s="41"/>
      <c r="N348" s="47"/>
      <c r="O348" s="41"/>
      <c r="P348" s="2"/>
    </row>
    <row r="349" ht="18.0" customHeight="1">
      <c r="A349" s="38"/>
      <c r="B349" s="40"/>
      <c r="C349" s="41"/>
      <c r="D349" s="41"/>
      <c r="E349" s="2"/>
      <c r="F349" s="38"/>
      <c r="G349" s="42"/>
      <c r="H349" s="41"/>
      <c r="I349" s="40"/>
      <c r="J349" s="41"/>
      <c r="K349" s="41"/>
      <c r="L349" s="2"/>
      <c r="M349" s="41"/>
      <c r="N349" s="47"/>
      <c r="O349" s="41"/>
      <c r="P349" s="2"/>
    </row>
    <row r="350" ht="18.0" customHeight="1">
      <c r="A350" s="38"/>
      <c r="B350" s="40"/>
      <c r="C350" s="41"/>
      <c r="D350" s="41"/>
      <c r="E350" s="2"/>
      <c r="F350" s="38"/>
      <c r="G350" s="42"/>
      <c r="H350" s="41"/>
      <c r="I350" s="40"/>
      <c r="J350" s="41"/>
      <c r="K350" s="41"/>
      <c r="L350" s="2"/>
      <c r="M350" s="41"/>
      <c r="N350" s="47"/>
      <c r="O350" s="41"/>
      <c r="P350" s="2"/>
    </row>
    <row r="351" ht="18.0" customHeight="1">
      <c r="A351" s="38"/>
      <c r="B351" s="40"/>
      <c r="C351" s="41"/>
      <c r="D351" s="41"/>
      <c r="E351" s="2"/>
      <c r="F351" s="38"/>
      <c r="G351" s="42"/>
      <c r="H351" s="41"/>
      <c r="I351" s="40"/>
      <c r="J351" s="41"/>
      <c r="K351" s="41"/>
      <c r="L351" s="2"/>
      <c r="M351" s="41"/>
      <c r="N351" s="47"/>
      <c r="O351" s="41"/>
      <c r="P351" s="2"/>
    </row>
    <row r="352" ht="18.0" customHeight="1">
      <c r="A352" s="38"/>
      <c r="B352" s="40"/>
      <c r="C352" s="41"/>
      <c r="D352" s="41"/>
      <c r="E352" s="2"/>
      <c r="F352" s="38"/>
      <c r="G352" s="42"/>
      <c r="H352" s="41"/>
      <c r="I352" s="40"/>
      <c r="J352" s="41"/>
      <c r="K352" s="41"/>
      <c r="L352" s="2"/>
      <c r="M352" s="41"/>
      <c r="N352" s="47"/>
      <c r="O352" s="41"/>
      <c r="P352" s="2"/>
    </row>
    <row r="353" ht="18.0" customHeight="1">
      <c r="A353" s="38"/>
      <c r="B353" s="40"/>
      <c r="C353" s="41"/>
      <c r="D353" s="41"/>
      <c r="E353" s="2"/>
      <c r="F353" s="38"/>
      <c r="G353" s="42"/>
      <c r="H353" s="41"/>
      <c r="I353" s="40"/>
      <c r="J353" s="41"/>
      <c r="K353" s="41"/>
      <c r="L353" s="2"/>
      <c r="M353" s="41"/>
      <c r="N353" s="47"/>
      <c r="O353" s="41"/>
      <c r="P353" s="2"/>
    </row>
    <row r="354" ht="18.0" customHeight="1">
      <c r="A354" s="38"/>
      <c r="B354" s="40"/>
      <c r="C354" s="41"/>
      <c r="D354" s="41"/>
      <c r="E354" s="2"/>
      <c r="F354" s="38"/>
      <c r="G354" s="42"/>
      <c r="H354" s="41"/>
      <c r="I354" s="40"/>
      <c r="J354" s="41"/>
      <c r="K354" s="41"/>
      <c r="L354" s="2"/>
      <c r="M354" s="41"/>
      <c r="N354" s="47"/>
      <c r="O354" s="41"/>
      <c r="P354" s="2"/>
    </row>
    <row r="355" ht="18.0" customHeight="1">
      <c r="A355" s="38"/>
      <c r="B355" s="40"/>
      <c r="C355" s="41"/>
      <c r="D355" s="41"/>
      <c r="E355" s="2"/>
      <c r="F355" s="38"/>
      <c r="G355" s="42"/>
      <c r="H355" s="41"/>
      <c r="I355" s="40"/>
      <c r="J355" s="41"/>
      <c r="K355" s="41"/>
      <c r="L355" s="2"/>
      <c r="M355" s="41"/>
      <c r="N355" s="47"/>
      <c r="O355" s="41"/>
      <c r="P355" s="2"/>
    </row>
    <row r="356" ht="18.0" customHeight="1">
      <c r="A356" s="38"/>
      <c r="B356" s="40"/>
      <c r="C356" s="41"/>
      <c r="D356" s="41"/>
      <c r="E356" s="2"/>
      <c r="F356" s="38"/>
      <c r="G356" s="42"/>
      <c r="H356" s="41"/>
      <c r="I356" s="40"/>
      <c r="J356" s="41"/>
      <c r="K356" s="41"/>
      <c r="L356" s="2"/>
      <c r="M356" s="41"/>
      <c r="N356" s="47"/>
      <c r="O356" s="41"/>
      <c r="P356" s="2"/>
    </row>
    <row r="357" ht="18.0" customHeight="1">
      <c r="A357" s="38"/>
      <c r="B357" s="40"/>
      <c r="C357" s="41"/>
      <c r="D357" s="41"/>
      <c r="E357" s="2"/>
      <c r="F357" s="38"/>
      <c r="G357" s="42"/>
      <c r="H357" s="41"/>
      <c r="I357" s="40"/>
      <c r="J357" s="41"/>
      <c r="K357" s="41"/>
      <c r="L357" s="2"/>
      <c r="M357" s="41"/>
      <c r="N357" s="47"/>
      <c r="O357" s="41"/>
      <c r="P357" s="2"/>
    </row>
    <row r="358" ht="18.0" customHeight="1">
      <c r="A358" s="38"/>
      <c r="B358" s="40"/>
      <c r="C358" s="41"/>
      <c r="D358" s="41"/>
      <c r="E358" s="2"/>
      <c r="F358" s="38"/>
      <c r="G358" s="42"/>
      <c r="H358" s="41"/>
      <c r="I358" s="40"/>
      <c r="J358" s="41"/>
      <c r="K358" s="41"/>
      <c r="L358" s="2"/>
      <c r="M358" s="41"/>
      <c r="N358" s="47"/>
      <c r="O358" s="41"/>
      <c r="P358" s="2"/>
    </row>
    <row r="359" ht="18.0" customHeight="1">
      <c r="A359" s="38"/>
      <c r="B359" s="40"/>
      <c r="C359" s="41"/>
      <c r="D359" s="41"/>
      <c r="E359" s="2"/>
      <c r="F359" s="38"/>
      <c r="G359" s="42"/>
      <c r="H359" s="41"/>
      <c r="I359" s="40"/>
      <c r="J359" s="41"/>
      <c r="K359" s="41"/>
      <c r="L359" s="2"/>
      <c r="M359" s="41"/>
      <c r="N359" s="47"/>
      <c r="O359" s="41"/>
      <c r="P359" s="2"/>
    </row>
    <row r="360" ht="18.0" customHeight="1">
      <c r="A360" s="38"/>
      <c r="B360" s="40"/>
      <c r="C360" s="41"/>
      <c r="D360" s="41"/>
      <c r="E360" s="2"/>
      <c r="F360" s="38"/>
      <c r="G360" s="42"/>
      <c r="H360" s="41"/>
      <c r="I360" s="40"/>
      <c r="J360" s="41"/>
      <c r="K360" s="41"/>
      <c r="L360" s="2"/>
      <c r="M360" s="41"/>
      <c r="N360" s="47"/>
      <c r="O360" s="41"/>
      <c r="P360" s="2"/>
    </row>
    <row r="361" ht="18.0" customHeight="1">
      <c r="A361" s="38"/>
      <c r="B361" s="40"/>
      <c r="C361" s="41"/>
      <c r="D361" s="41"/>
      <c r="E361" s="2"/>
      <c r="F361" s="38"/>
      <c r="G361" s="42"/>
      <c r="H361" s="41"/>
      <c r="I361" s="40"/>
      <c r="J361" s="41"/>
      <c r="K361" s="41"/>
      <c r="L361" s="2"/>
      <c r="M361" s="41"/>
      <c r="N361" s="47"/>
      <c r="O361" s="41"/>
      <c r="P361" s="2"/>
    </row>
    <row r="362" ht="18.0" customHeight="1">
      <c r="A362" s="38"/>
      <c r="B362" s="40"/>
      <c r="C362" s="41"/>
      <c r="D362" s="41"/>
      <c r="E362" s="2"/>
      <c r="F362" s="38"/>
      <c r="G362" s="42"/>
      <c r="H362" s="41"/>
      <c r="I362" s="40"/>
      <c r="J362" s="41"/>
      <c r="K362" s="41"/>
      <c r="L362" s="2"/>
      <c r="M362" s="41"/>
      <c r="N362" s="47"/>
      <c r="O362" s="41"/>
      <c r="P362" s="2"/>
    </row>
    <row r="363" ht="18.0" customHeight="1">
      <c r="A363" s="38"/>
      <c r="B363" s="40"/>
      <c r="C363" s="41"/>
      <c r="D363" s="41"/>
      <c r="E363" s="2"/>
      <c r="F363" s="38"/>
      <c r="G363" s="42"/>
      <c r="H363" s="41"/>
      <c r="I363" s="40"/>
      <c r="J363" s="41"/>
      <c r="K363" s="41"/>
      <c r="L363" s="2"/>
      <c r="M363" s="41"/>
      <c r="N363" s="47"/>
      <c r="O363" s="41"/>
      <c r="P363" s="2"/>
    </row>
    <row r="364" ht="18.0" customHeight="1">
      <c r="A364" s="38"/>
      <c r="B364" s="40"/>
      <c r="C364" s="41"/>
      <c r="D364" s="41"/>
      <c r="E364" s="2"/>
      <c r="F364" s="38"/>
      <c r="G364" s="42"/>
      <c r="H364" s="41"/>
      <c r="I364" s="40"/>
      <c r="J364" s="41"/>
      <c r="K364" s="41"/>
      <c r="L364" s="2"/>
      <c r="M364" s="41"/>
      <c r="N364" s="47"/>
      <c r="O364" s="41"/>
      <c r="P364" s="2"/>
    </row>
    <row r="365" ht="18.0" customHeight="1">
      <c r="A365" s="38"/>
      <c r="B365" s="40"/>
      <c r="C365" s="41"/>
      <c r="D365" s="41"/>
      <c r="E365" s="2"/>
      <c r="F365" s="38"/>
      <c r="G365" s="42"/>
      <c r="H365" s="41"/>
      <c r="I365" s="40"/>
      <c r="J365" s="41"/>
      <c r="K365" s="41"/>
      <c r="L365" s="2"/>
      <c r="M365" s="41"/>
      <c r="N365" s="47"/>
      <c r="O365" s="41"/>
      <c r="P365" s="2"/>
    </row>
    <row r="366" ht="18.0" customHeight="1">
      <c r="A366" s="38"/>
      <c r="B366" s="40"/>
      <c r="C366" s="41"/>
      <c r="D366" s="41"/>
      <c r="E366" s="2"/>
      <c r="F366" s="38"/>
      <c r="G366" s="42"/>
      <c r="H366" s="41"/>
      <c r="I366" s="40"/>
      <c r="J366" s="41"/>
      <c r="K366" s="41"/>
      <c r="L366" s="2"/>
      <c r="M366" s="41"/>
      <c r="N366" s="47"/>
      <c r="O366" s="41"/>
      <c r="P366" s="2"/>
    </row>
    <row r="367" ht="18.0" customHeight="1">
      <c r="A367" s="38"/>
      <c r="B367" s="40"/>
      <c r="C367" s="41"/>
      <c r="D367" s="41"/>
      <c r="E367" s="2"/>
      <c r="F367" s="38"/>
      <c r="G367" s="42"/>
      <c r="H367" s="41"/>
      <c r="I367" s="40"/>
      <c r="J367" s="41"/>
      <c r="K367" s="41"/>
      <c r="L367" s="2"/>
      <c r="M367" s="41"/>
      <c r="N367" s="47"/>
      <c r="O367" s="41"/>
      <c r="P367" s="2"/>
    </row>
    <row r="368" ht="18.0" customHeight="1">
      <c r="A368" s="38"/>
      <c r="B368" s="40"/>
      <c r="C368" s="41"/>
      <c r="D368" s="41"/>
      <c r="E368" s="2"/>
      <c r="F368" s="38"/>
      <c r="G368" s="42"/>
      <c r="H368" s="41"/>
      <c r="I368" s="40"/>
      <c r="J368" s="41"/>
      <c r="K368" s="41"/>
      <c r="L368" s="2"/>
      <c r="M368" s="41"/>
      <c r="N368" s="47"/>
      <c r="O368" s="41"/>
      <c r="P368" s="2"/>
    </row>
    <row r="369" ht="18.0" customHeight="1">
      <c r="A369" s="38"/>
      <c r="B369" s="40"/>
      <c r="C369" s="41"/>
      <c r="D369" s="41"/>
      <c r="E369" s="2"/>
      <c r="F369" s="38"/>
      <c r="G369" s="42"/>
      <c r="H369" s="41"/>
      <c r="I369" s="40"/>
      <c r="J369" s="41"/>
      <c r="K369" s="41"/>
      <c r="L369" s="2"/>
      <c r="M369" s="41"/>
      <c r="N369" s="47"/>
      <c r="O369" s="41"/>
      <c r="P369" s="2"/>
    </row>
    <row r="370" ht="18.0" customHeight="1">
      <c r="A370" s="38"/>
      <c r="B370" s="40"/>
      <c r="C370" s="41"/>
      <c r="D370" s="41"/>
      <c r="E370" s="2"/>
      <c r="F370" s="38"/>
      <c r="G370" s="42"/>
      <c r="H370" s="41"/>
      <c r="I370" s="40"/>
      <c r="J370" s="41"/>
      <c r="K370" s="41"/>
      <c r="L370" s="2"/>
      <c r="M370" s="41"/>
      <c r="N370" s="47"/>
      <c r="O370" s="41"/>
      <c r="P370" s="2"/>
    </row>
    <row r="371" ht="18.0" customHeight="1">
      <c r="A371" s="38"/>
      <c r="B371" s="40"/>
      <c r="C371" s="41"/>
      <c r="D371" s="41"/>
      <c r="E371" s="2"/>
      <c r="F371" s="38"/>
      <c r="G371" s="42"/>
      <c r="H371" s="41"/>
      <c r="I371" s="40"/>
      <c r="J371" s="41"/>
      <c r="K371" s="41"/>
      <c r="L371" s="2"/>
      <c r="M371" s="41"/>
      <c r="N371" s="47"/>
      <c r="O371" s="41"/>
      <c r="P371" s="2"/>
    </row>
    <row r="372" ht="18.0" customHeight="1">
      <c r="A372" s="38"/>
      <c r="B372" s="40"/>
      <c r="C372" s="41"/>
      <c r="D372" s="41"/>
      <c r="E372" s="2"/>
      <c r="F372" s="38"/>
      <c r="G372" s="42"/>
      <c r="H372" s="41"/>
      <c r="I372" s="40"/>
      <c r="J372" s="41"/>
      <c r="K372" s="41"/>
      <c r="L372" s="2"/>
      <c r="M372" s="41"/>
      <c r="N372" s="47"/>
      <c r="O372" s="41"/>
      <c r="P372" s="2"/>
    </row>
    <row r="373" ht="18.0" customHeight="1">
      <c r="A373" s="38"/>
      <c r="B373" s="40"/>
      <c r="C373" s="41"/>
      <c r="D373" s="41"/>
      <c r="E373" s="2"/>
      <c r="F373" s="38"/>
      <c r="G373" s="42"/>
      <c r="H373" s="41"/>
      <c r="I373" s="40"/>
      <c r="J373" s="41"/>
      <c r="K373" s="41"/>
      <c r="L373" s="2"/>
      <c r="M373" s="41"/>
      <c r="N373" s="47"/>
      <c r="O373" s="41"/>
      <c r="P373" s="2"/>
    </row>
    <row r="374" ht="18.0" customHeight="1">
      <c r="A374" s="38"/>
      <c r="B374" s="40"/>
      <c r="C374" s="41"/>
      <c r="D374" s="41"/>
      <c r="E374" s="2"/>
      <c r="F374" s="38"/>
      <c r="G374" s="42"/>
      <c r="H374" s="41"/>
      <c r="I374" s="40"/>
      <c r="J374" s="41"/>
      <c r="K374" s="41"/>
      <c r="L374" s="2"/>
      <c r="M374" s="41"/>
      <c r="N374" s="47"/>
      <c r="O374" s="41"/>
      <c r="P374" s="2"/>
    </row>
    <row r="375" ht="18.0" customHeight="1">
      <c r="A375" s="38"/>
      <c r="B375" s="40"/>
      <c r="C375" s="41"/>
      <c r="D375" s="41"/>
      <c r="E375" s="2"/>
      <c r="F375" s="38"/>
      <c r="G375" s="42"/>
      <c r="H375" s="41"/>
      <c r="I375" s="40"/>
      <c r="J375" s="41"/>
      <c r="K375" s="41"/>
      <c r="L375" s="2"/>
      <c r="M375" s="41"/>
      <c r="N375" s="47"/>
      <c r="O375" s="41"/>
      <c r="P375" s="2"/>
    </row>
    <row r="376" ht="18.0" customHeight="1">
      <c r="A376" s="38"/>
      <c r="B376" s="40"/>
      <c r="C376" s="41"/>
      <c r="D376" s="41"/>
      <c r="E376" s="2"/>
      <c r="F376" s="38"/>
      <c r="G376" s="42"/>
      <c r="H376" s="41"/>
      <c r="I376" s="40"/>
      <c r="J376" s="41"/>
      <c r="K376" s="41"/>
      <c r="L376" s="2"/>
      <c r="M376" s="41"/>
      <c r="N376" s="47"/>
      <c r="O376" s="41"/>
      <c r="P376" s="2"/>
    </row>
    <row r="377" ht="18.0" customHeight="1">
      <c r="A377" s="38"/>
      <c r="B377" s="40"/>
      <c r="C377" s="41"/>
      <c r="D377" s="41"/>
      <c r="E377" s="2"/>
      <c r="F377" s="38"/>
      <c r="G377" s="42"/>
      <c r="H377" s="41"/>
      <c r="I377" s="40"/>
      <c r="J377" s="41"/>
      <c r="K377" s="41"/>
      <c r="L377" s="2"/>
      <c r="M377" s="41"/>
      <c r="N377" s="47"/>
      <c r="O377" s="41"/>
      <c r="P377" s="2"/>
    </row>
    <row r="378" ht="18.0" customHeight="1">
      <c r="A378" s="38"/>
      <c r="B378" s="40"/>
      <c r="C378" s="41"/>
      <c r="D378" s="41"/>
      <c r="E378" s="2"/>
      <c r="F378" s="38"/>
      <c r="G378" s="42"/>
      <c r="H378" s="41"/>
      <c r="I378" s="40"/>
      <c r="J378" s="41"/>
      <c r="K378" s="41"/>
      <c r="L378" s="2"/>
      <c r="M378" s="41"/>
      <c r="N378" s="47"/>
      <c r="O378" s="41"/>
      <c r="P378" s="2"/>
    </row>
    <row r="379" ht="18.0" customHeight="1">
      <c r="A379" s="38"/>
      <c r="B379" s="40"/>
      <c r="C379" s="41"/>
      <c r="D379" s="41"/>
      <c r="E379" s="2"/>
      <c r="F379" s="38"/>
      <c r="G379" s="42"/>
      <c r="H379" s="41"/>
      <c r="I379" s="40"/>
      <c r="J379" s="41"/>
      <c r="K379" s="41"/>
      <c r="L379" s="2"/>
      <c r="M379" s="41"/>
      <c r="N379" s="47"/>
      <c r="O379" s="41"/>
      <c r="P379" s="2"/>
    </row>
    <row r="380" ht="18.0" customHeight="1">
      <c r="A380" s="38"/>
      <c r="B380" s="40"/>
      <c r="C380" s="41"/>
      <c r="D380" s="41"/>
      <c r="E380" s="2"/>
      <c r="F380" s="38"/>
      <c r="G380" s="42"/>
      <c r="H380" s="41"/>
      <c r="I380" s="40"/>
      <c r="J380" s="41"/>
      <c r="K380" s="41"/>
      <c r="L380" s="2"/>
      <c r="M380" s="41"/>
      <c r="N380" s="47"/>
      <c r="O380" s="41"/>
      <c r="P380" s="2"/>
    </row>
    <row r="381" ht="18.0" customHeight="1">
      <c r="A381" s="38"/>
      <c r="B381" s="40"/>
      <c r="C381" s="41"/>
      <c r="D381" s="41"/>
      <c r="E381" s="2"/>
      <c r="F381" s="38"/>
      <c r="G381" s="42"/>
      <c r="H381" s="41"/>
      <c r="I381" s="40"/>
      <c r="J381" s="41"/>
      <c r="K381" s="41"/>
      <c r="L381" s="2"/>
      <c r="M381" s="41"/>
      <c r="N381" s="47"/>
      <c r="O381" s="41"/>
      <c r="P381" s="2"/>
    </row>
    <row r="382" ht="18.0" customHeight="1">
      <c r="A382" s="38"/>
      <c r="B382" s="40"/>
      <c r="C382" s="41"/>
      <c r="D382" s="41"/>
      <c r="E382" s="2"/>
      <c r="F382" s="38"/>
      <c r="G382" s="42"/>
      <c r="H382" s="41"/>
      <c r="I382" s="40"/>
      <c r="J382" s="41"/>
      <c r="K382" s="41"/>
      <c r="L382" s="2"/>
      <c r="M382" s="41"/>
      <c r="N382" s="47"/>
      <c r="O382" s="41"/>
      <c r="P382" s="2"/>
    </row>
    <row r="383" ht="18.0" customHeight="1">
      <c r="A383" s="38"/>
      <c r="B383" s="40"/>
      <c r="C383" s="41"/>
      <c r="D383" s="41"/>
      <c r="E383" s="2"/>
      <c r="F383" s="38"/>
      <c r="G383" s="42"/>
      <c r="H383" s="41"/>
      <c r="I383" s="40"/>
      <c r="J383" s="41"/>
      <c r="K383" s="41"/>
      <c r="L383" s="2"/>
      <c r="M383" s="41"/>
      <c r="N383" s="47"/>
      <c r="O383" s="41"/>
      <c r="P383" s="2"/>
    </row>
    <row r="384" ht="18.0" customHeight="1">
      <c r="A384" s="38"/>
      <c r="B384" s="40"/>
      <c r="C384" s="41"/>
      <c r="D384" s="41"/>
      <c r="E384" s="2"/>
      <c r="F384" s="38"/>
      <c r="G384" s="42"/>
      <c r="H384" s="41"/>
      <c r="I384" s="40"/>
      <c r="J384" s="41"/>
      <c r="K384" s="41"/>
      <c r="L384" s="2"/>
      <c r="M384" s="41"/>
      <c r="N384" s="47"/>
      <c r="O384" s="41"/>
      <c r="P384" s="2"/>
    </row>
    <row r="385" ht="18.0" customHeight="1">
      <c r="A385" s="38"/>
      <c r="B385" s="40"/>
      <c r="C385" s="41"/>
      <c r="D385" s="41"/>
      <c r="E385" s="2"/>
      <c r="F385" s="38"/>
      <c r="G385" s="42"/>
      <c r="H385" s="41"/>
      <c r="I385" s="40"/>
      <c r="J385" s="41"/>
      <c r="K385" s="41"/>
      <c r="L385" s="2"/>
      <c r="M385" s="41"/>
      <c r="N385" s="47"/>
      <c r="O385" s="41"/>
      <c r="P385" s="2"/>
    </row>
    <row r="386" ht="18.0" customHeight="1">
      <c r="A386" s="38"/>
      <c r="B386" s="40"/>
      <c r="C386" s="41"/>
      <c r="D386" s="41"/>
      <c r="E386" s="2"/>
      <c r="F386" s="38"/>
      <c r="G386" s="42"/>
      <c r="H386" s="41"/>
      <c r="I386" s="40"/>
      <c r="J386" s="41"/>
      <c r="K386" s="41"/>
      <c r="L386" s="2"/>
      <c r="M386" s="41"/>
      <c r="N386" s="47"/>
      <c r="O386" s="41"/>
      <c r="P386" s="2"/>
    </row>
    <row r="387" ht="18.0" customHeight="1">
      <c r="A387" s="38"/>
      <c r="B387" s="40"/>
      <c r="C387" s="41"/>
      <c r="D387" s="41"/>
      <c r="E387" s="2"/>
      <c r="F387" s="38"/>
      <c r="G387" s="42"/>
      <c r="H387" s="41"/>
      <c r="I387" s="40"/>
      <c r="J387" s="41"/>
      <c r="K387" s="41"/>
      <c r="L387" s="2"/>
      <c r="M387" s="41"/>
      <c r="N387" s="47"/>
      <c r="O387" s="41"/>
      <c r="P387" s="2"/>
    </row>
    <row r="388" ht="18.0" customHeight="1">
      <c r="A388" s="38"/>
      <c r="B388" s="40"/>
      <c r="C388" s="41"/>
      <c r="D388" s="41"/>
      <c r="E388" s="2"/>
      <c r="F388" s="38"/>
      <c r="G388" s="42"/>
      <c r="H388" s="41"/>
      <c r="I388" s="40"/>
      <c r="J388" s="41"/>
      <c r="K388" s="41"/>
      <c r="L388" s="2"/>
      <c r="M388" s="41"/>
      <c r="N388" s="47"/>
      <c r="O388" s="41"/>
      <c r="P388" s="2"/>
    </row>
    <row r="389" ht="18.0" customHeight="1">
      <c r="A389" s="38"/>
      <c r="B389" s="40"/>
      <c r="C389" s="41"/>
      <c r="D389" s="41"/>
      <c r="E389" s="2"/>
      <c r="F389" s="38"/>
      <c r="G389" s="42"/>
      <c r="H389" s="41"/>
      <c r="I389" s="40"/>
      <c r="J389" s="41"/>
      <c r="K389" s="41"/>
      <c r="L389" s="2"/>
      <c r="M389" s="41"/>
      <c r="N389" s="47"/>
      <c r="O389" s="41"/>
      <c r="P389" s="2"/>
    </row>
    <row r="390" ht="18.0" customHeight="1">
      <c r="A390" s="38"/>
      <c r="B390" s="40"/>
      <c r="C390" s="41"/>
      <c r="D390" s="41"/>
      <c r="E390" s="2"/>
      <c r="F390" s="38"/>
      <c r="G390" s="42"/>
      <c r="H390" s="41"/>
      <c r="I390" s="40"/>
      <c r="J390" s="41"/>
      <c r="K390" s="41"/>
      <c r="L390" s="2"/>
      <c r="M390" s="41"/>
      <c r="N390" s="47"/>
      <c r="O390" s="41"/>
      <c r="P390" s="2"/>
    </row>
    <row r="391" ht="18.0" customHeight="1">
      <c r="A391" s="38"/>
      <c r="B391" s="40"/>
      <c r="C391" s="41"/>
      <c r="D391" s="41"/>
      <c r="E391" s="2"/>
      <c r="F391" s="38"/>
      <c r="G391" s="42"/>
      <c r="H391" s="41"/>
      <c r="I391" s="40"/>
      <c r="J391" s="41"/>
      <c r="K391" s="41"/>
      <c r="L391" s="2"/>
      <c r="M391" s="41"/>
      <c r="N391" s="47"/>
      <c r="O391" s="41"/>
      <c r="P391" s="2"/>
    </row>
    <row r="392" ht="18.0" customHeight="1">
      <c r="A392" s="38"/>
      <c r="B392" s="40"/>
      <c r="C392" s="41"/>
      <c r="D392" s="41"/>
      <c r="E392" s="2"/>
      <c r="F392" s="38"/>
      <c r="G392" s="42"/>
      <c r="H392" s="41"/>
      <c r="I392" s="40"/>
      <c r="J392" s="41"/>
      <c r="K392" s="41"/>
      <c r="L392" s="2"/>
      <c r="M392" s="41"/>
      <c r="N392" s="47"/>
      <c r="O392" s="41"/>
      <c r="P392" s="2"/>
    </row>
    <row r="393" ht="18.0" customHeight="1">
      <c r="A393" s="38"/>
      <c r="B393" s="40"/>
      <c r="C393" s="41"/>
      <c r="D393" s="41"/>
      <c r="E393" s="2"/>
      <c r="F393" s="38"/>
      <c r="G393" s="42"/>
      <c r="H393" s="41"/>
      <c r="I393" s="40"/>
      <c r="J393" s="41"/>
      <c r="K393" s="41"/>
      <c r="L393" s="2"/>
      <c r="M393" s="41"/>
      <c r="N393" s="47"/>
      <c r="O393" s="41"/>
      <c r="P393" s="2"/>
    </row>
    <row r="394" ht="18.0" customHeight="1">
      <c r="A394" s="38"/>
      <c r="B394" s="40"/>
      <c r="C394" s="41"/>
      <c r="D394" s="41"/>
      <c r="E394" s="2"/>
      <c r="F394" s="38"/>
      <c r="G394" s="42"/>
      <c r="H394" s="41"/>
      <c r="I394" s="40"/>
      <c r="J394" s="41"/>
      <c r="K394" s="41"/>
      <c r="L394" s="2"/>
      <c r="M394" s="41"/>
      <c r="N394" s="47"/>
      <c r="O394" s="41"/>
      <c r="P394" s="2"/>
    </row>
    <row r="395" ht="18.0" customHeight="1">
      <c r="A395" s="38"/>
      <c r="B395" s="40"/>
      <c r="C395" s="41"/>
      <c r="D395" s="41"/>
      <c r="E395" s="2"/>
      <c r="F395" s="38"/>
      <c r="G395" s="42"/>
      <c r="H395" s="41"/>
      <c r="I395" s="40"/>
      <c r="J395" s="41"/>
      <c r="K395" s="41"/>
      <c r="L395" s="2"/>
      <c r="M395" s="41"/>
      <c r="N395" s="47"/>
      <c r="O395" s="41"/>
      <c r="P395" s="2"/>
    </row>
    <row r="396" ht="18.0" customHeight="1">
      <c r="A396" s="38"/>
      <c r="B396" s="40"/>
      <c r="C396" s="41"/>
      <c r="D396" s="41"/>
      <c r="E396" s="2"/>
      <c r="F396" s="38"/>
      <c r="G396" s="42"/>
      <c r="H396" s="41"/>
      <c r="I396" s="40"/>
      <c r="J396" s="41"/>
      <c r="K396" s="41"/>
      <c r="L396" s="2"/>
      <c r="M396" s="41"/>
      <c r="N396" s="47"/>
      <c r="O396" s="41"/>
      <c r="P396" s="2"/>
    </row>
    <row r="397" ht="18.0" customHeight="1">
      <c r="A397" s="38"/>
      <c r="B397" s="40"/>
      <c r="C397" s="41"/>
      <c r="D397" s="41"/>
      <c r="E397" s="2"/>
      <c r="F397" s="38"/>
      <c r="G397" s="42"/>
      <c r="H397" s="41"/>
      <c r="I397" s="40"/>
      <c r="J397" s="41"/>
      <c r="K397" s="41"/>
      <c r="L397" s="2"/>
      <c r="M397" s="41"/>
      <c r="N397" s="47"/>
      <c r="O397" s="41"/>
      <c r="P397" s="2"/>
    </row>
    <row r="398" ht="18.0" customHeight="1">
      <c r="A398" s="38"/>
      <c r="B398" s="40"/>
      <c r="C398" s="41"/>
      <c r="D398" s="41"/>
      <c r="E398" s="2"/>
      <c r="F398" s="38"/>
      <c r="G398" s="42"/>
      <c r="H398" s="41"/>
      <c r="I398" s="40"/>
      <c r="J398" s="41"/>
      <c r="K398" s="41"/>
      <c r="L398" s="2"/>
      <c r="M398" s="41"/>
      <c r="N398" s="47"/>
      <c r="O398" s="41"/>
      <c r="P398" s="2"/>
    </row>
    <row r="399" ht="18.0" customHeight="1">
      <c r="A399" s="38"/>
      <c r="B399" s="40"/>
      <c r="C399" s="41"/>
      <c r="D399" s="41"/>
      <c r="E399" s="2"/>
      <c r="F399" s="38"/>
      <c r="G399" s="42"/>
      <c r="H399" s="41"/>
      <c r="I399" s="40"/>
      <c r="J399" s="41"/>
      <c r="K399" s="41"/>
      <c r="L399" s="2"/>
      <c r="M399" s="41"/>
      <c r="N399" s="47"/>
      <c r="O399" s="41"/>
      <c r="P399" s="2"/>
    </row>
    <row r="400" ht="18.0" customHeight="1">
      <c r="A400" s="38"/>
      <c r="B400" s="40"/>
      <c r="C400" s="41"/>
      <c r="D400" s="41"/>
      <c r="E400" s="2"/>
      <c r="F400" s="38"/>
      <c r="G400" s="42"/>
      <c r="H400" s="41"/>
      <c r="I400" s="40"/>
      <c r="J400" s="41"/>
      <c r="K400" s="41"/>
      <c r="L400" s="2"/>
      <c r="M400" s="41"/>
      <c r="N400" s="47"/>
      <c r="O400" s="41"/>
      <c r="P400" s="2"/>
    </row>
    <row r="401">
      <c r="A401" s="104"/>
      <c r="B401" s="105"/>
      <c r="C401" s="2"/>
      <c r="D401" s="2"/>
      <c r="E401" s="2"/>
      <c r="F401" s="104"/>
      <c r="G401" s="106"/>
      <c r="H401" s="2"/>
      <c r="I401" s="105"/>
      <c r="J401" s="2"/>
      <c r="K401" s="2"/>
      <c r="L401" s="2"/>
      <c r="M401" s="2"/>
      <c r="N401" s="107"/>
      <c r="O401" s="2"/>
      <c r="P401" s="2"/>
    </row>
    <row r="402">
      <c r="A402" s="104"/>
      <c r="B402" s="105"/>
      <c r="C402" s="2"/>
      <c r="D402" s="2"/>
      <c r="E402" s="2"/>
      <c r="F402" s="104"/>
      <c r="G402" s="106"/>
      <c r="H402" s="2"/>
      <c r="I402" s="105"/>
      <c r="J402" s="2"/>
      <c r="K402" s="2"/>
      <c r="L402" s="2"/>
      <c r="M402" s="2"/>
      <c r="N402" s="107"/>
      <c r="O402" s="2"/>
      <c r="P402" s="2"/>
    </row>
    <row r="403">
      <c r="A403" s="104"/>
      <c r="B403" s="105"/>
      <c r="C403" s="2"/>
      <c r="D403" s="2"/>
      <c r="E403" s="2"/>
      <c r="F403" s="104"/>
      <c r="G403" s="106"/>
      <c r="H403" s="2"/>
      <c r="I403" s="105"/>
      <c r="J403" s="2"/>
      <c r="K403" s="2"/>
      <c r="L403" s="2"/>
      <c r="M403" s="2"/>
      <c r="N403" s="107"/>
      <c r="O403" s="2"/>
      <c r="P403" s="2"/>
    </row>
    <row r="404">
      <c r="A404" s="104"/>
      <c r="B404" s="105"/>
      <c r="C404" s="2"/>
      <c r="D404" s="2"/>
      <c r="E404" s="2"/>
      <c r="F404" s="104"/>
      <c r="G404" s="106"/>
      <c r="H404" s="2"/>
      <c r="I404" s="105"/>
      <c r="J404" s="2"/>
      <c r="K404" s="2"/>
      <c r="L404" s="2"/>
      <c r="M404" s="2"/>
      <c r="N404" s="107"/>
      <c r="O404" s="2"/>
      <c r="P404" s="2"/>
    </row>
    <row r="405">
      <c r="A405" s="104"/>
      <c r="B405" s="105"/>
      <c r="C405" s="2"/>
      <c r="D405" s="2"/>
      <c r="E405" s="2"/>
      <c r="F405" s="104"/>
      <c r="G405" s="106"/>
      <c r="H405" s="2"/>
      <c r="I405" s="105"/>
      <c r="J405" s="2"/>
      <c r="K405" s="2"/>
      <c r="L405" s="2"/>
      <c r="M405" s="2"/>
      <c r="N405" s="107"/>
      <c r="O405" s="2"/>
      <c r="P405" s="2"/>
    </row>
    <row r="406">
      <c r="A406" s="104"/>
      <c r="B406" s="105"/>
      <c r="C406" s="2"/>
      <c r="D406" s="2"/>
      <c r="E406" s="2"/>
      <c r="F406" s="104"/>
      <c r="G406" s="106"/>
      <c r="H406" s="2"/>
      <c r="I406" s="105"/>
      <c r="J406" s="2"/>
      <c r="K406" s="2"/>
      <c r="L406" s="2"/>
      <c r="M406" s="2"/>
      <c r="N406" s="107"/>
      <c r="O406" s="2"/>
      <c r="P406" s="2"/>
    </row>
    <row r="407">
      <c r="A407" s="104"/>
      <c r="B407" s="105"/>
      <c r="C407" s="2"/>
      <c r="D407" s="2"/>
      <c r="E407" s="2"/>
      <c r="F407" s="104"/>
      <c r="G407" s="106"/>
      <c r="H407" s="2"/>
      <c r="I407" s="105"/>
      <c r="J407" s="2"/>
      <c r="K407" s="2"/>
      <c r="L407" s="2"/>
      <c r="M407" s="2"/>
      <c r="N407" s="107"/>
      <c r="O407" s="2"/>
      <c r="P407" s="2"/>
    </row>
    <row r="408">
      <c r="A408" s="104"/>
      <c r="B408" s="105"/>
      <c r="C408" s="2"/>
      <c r="D408" s="2"/>
      <c r="E408" s="2"/>
      <c r="F408" s="104"/>
      <c r="G408" s="106"/>
      <c r="H408" s="2"/>
      <c r="I408" s="105"/>
      <c r="J408" s="2"/>
      <c r="K408" s="2"/>
      <c r="L408" s="2"/>
      <c r="M408" s="2"/>
      <c r="N408" s="107"/>
      <c r="O408" s="2"/>
      <c r="P408" s="2"/>
    </row>
    <row r="409">
      <c r="A409" s="104"/>
      <c r="B409" s="105"/>
      <c r="C409" s="2"/>
      <c r="D409" s="2"/>
      <c r="E409" s="2"/>
      <c r="F409" s="104"/>
      <c r="G409" s="106"/>
      <c r="H409" s="2"/>
      <c r="I409" s="105"/>
      <c r="J409" s="2"/>
      <c r="K409" s="2"/>
      <c r="L409" s="2"/>
      <c r="M409" s="2"/>
      <c r="N409" s="107"/>
      <c r="O409" s="2"/>
      <c r="P409" s="2"/>
    </row>
    <row r="410">
      <c r="A410" s="104"/>
      <c r="B410" s="105"/>
      <c r="C410" s="2"/>
      <c r="D410" s="2"/>
      <c r="E410" s="2"/>
      <c r="F410" s="104"/>
      <c r="G410" s="106"/>
      <c r="H410" s="2"/>
      <c r="I410" s="105"/>
      <c r="J410" s="2"/>
      <c r="K410" s="2"/>
      <c r="L410" s="2"/>
      <c r="M410" s="2"/>
      <c r="N410" s="107"/>
      <c r="O410" s="2"/>
      <c r="P410" s="2"/>
    </row>
    <row r="411">
      <c r="A411" s="104"/>
      <c r="B411" s="105"/>
      <c r="C411" s="2"/>
      <c r="D411" s="2"/>
      <c r="E411" s="2"/>
      <c r="F411" s="104"/>
      <c r="G411" s="106"/>
      <c r="H411" s="2"/>
      <c r="I411" s="105"/>
      <c r="J411" s="2"/>
      <c r="K411" s="2"/>
      <c r="L411" s="2"/>
      <c r="M411" s="2"/>
      <c r="N411" s="107"/>
      <c r="O411" s="2"/>
      <c r="P411" s="2"/>
    </row>
    <row r="412">
      <c r="A412" s="104"/>
      <c r="B412" s="105"/>
      <c r="C412" s="2"/>
      <c r="D412" s="2"/>
      <c r="E412" s="2"/>
      <c r="F412" s="104"/>
      <c r="G412" s="106"/>
      <c r="H412" s="2"/>
      <c r="I412" s="105"/>
      <c r="J412" s="2"/>
      <c r="K412" s="2"/>
      <c r="L412" s="2"/>
      <c r="M412" s="2"/>
      <c r="N412" s="107"/>
      <c r="O412" s="2"/>
      <c r="P412" s="2"/>
    </row>
    <row r="413">
      <c r="A413" s="104"/>
      <c r="B413" s="105"/>
      <c r="C413" s="2"/>
      <c r="D413" s="2"/>
      <c r="E413" s="2"/>
      <c r="F413" s="104"/>
      <c r="G413" s="106"/>
      <c r="H413" s="2"/>
      <c r="I413" s="105"/>
      <c r="J413" s="2"/>
      <c r="K413" s="2"/>
      <c r="L413" s="2"/>
      <c r="M413" s="2"/>
      <c r="N413" s="107"/>
      <c r="O413" s="2"/>
      <c r="P413" s="2"/>
    </row>
    <row r="414">
      <c r="A414" s="104"/>
      <c r="B414" s="105"/>
      <c r="C414" s="2"/>
      <c r="D414" s="2"/>
      <c r="E414" s="2"/>
      <c r="F414" s="104"/>
      <c r="G414" s="106"/>
      <c r="H414" s="2"/>
      <c r="I414" s="105"/>
      <c r="J414" s="2"/>
      <c r="K414" s="2"/>
      <c r="L414" s="2"/>
      <c r="M414" s="2"/>
      <c r="N414" s="107"/>
      <c r="O414" s="2"/>
      <c r="P414" s="2"/>
    </row>
    <row r="415">
      <c r="A415" s="104"/>
      <c r="B415" s="105"/>
      <c r="C415" s="2"/>
      <c r="D415" s="2"/>
      <c r="E415" s="2"/>
      <c r="F415" s="104"/>
      <c r="G415" s="106"/>
      <c r="H415" s="2"/>
      <c r="I415" s="105"/>
      <c r="J415" s="2"/>
      <c r="K415" s="2"/>
      <c r="L415" s="2"/>
      <c r="M415" s="2"/>
      <c r="N415" s="107"/>
      <c r="O415" s="2"/>
      <c r="P415" s="2"/>
    </row>
    <row r="416">
      <c r="A416" s="104"/>
      <c r="B416" s="105"/>
      <c r="C416" s="2"/>
      <c r="D416" s="2"/>
      <c r="E416" s="2"/>
      <c r="F416" s="104"/>
      <c r="G416" s="106"/>
      <c r="H416" s="2"/>
      <c r="I416" s="105"/>
      <c r="J416" s="2"/>
      <c r="K416" s="2"/>
      <c r="L416" s="2"/>
      <c r="M416" s="2"/>
      <c r="N416" s="107"/>
      <c r="O416" s="2"/>
      <c r="P416" s="2"/>
    </row>
    <row r="417">
      <c r="A417" s="104"/>
      <c r="B417" s="105"/>
      <c r="C417" s="2"/>
      <c r="D417" s="2"/>
      <c r="E417" s="2"/>
      <c r="F417" s="104"/>
      <c r="G417" s="106"/>
      <c r="H417" s="2"/>
      <c r="I417" s="105"/>
      <c r="J417" s="2"/>
      <c r="K417" s="2"/>
      <c r="L417" s="2"/>
      <c r="M417" s="2"/>
      <c r="N417" s="107"/>
      <c r="O417" s="2"/>
      <c r="P417" s="2"/>
    </row>
    <row r="418">
      <c r="A418" s="104"/>
      <c r="B418" s="105"/>
      <c r="C418" s="2"/>
      <c r="D418" s="2"/>
      <c r="E418" s="2"/>
      <c r="F418" s="104"/>
      <c r="G418" s="106"/>
      <c r="H418" s="2"/>
      <c r="I418" s="105"/>
      <c r="J418" s="2"/>
      <c r="K418" s="2"/>
      <c r="L418" s="2"/>
      <c r="M418" s="2"/>
      <c r="N418" s="107"/>
      <c r="O418" s="2"/>
      <c r="P418" s="2"/>
    </row>
    <row r="419">
      <c r="A419" s="104"/>
      <c r="B419" s="105"/>
      <c r="C419" s="2"/>
      <c r="D419" s="2"/>
      <c r="E419" s="2"/>
      <c r="F419" s="104"/>
      <c r="G419" s="106"/>
      <c r="H419" s="2"/>
      <c r="I419" s="105"/>
      <c r="J419" s="2"/>
      <c r="K419" s="2"/>
      <c r="L419" s="2"/>
      <c r="M419" s="2"/>
      <c r="N419" s="107"/>
      <c r="O419" s="2"/>
      <c r="P419" s="2"/>
    </row>
    <row r="420">
      <c r="A420" s="104"/>
      <c r="B420" s="105"/>
      <c r="C420" s="2"/>
      <c r="D420" s="2"/>
      <c r="E420" s="2"/>
      <c r="F420" s="104"/>
      <c r="G420" s="106"/>
      <c r="H420" s="2"/>
      <c r="I420" s="105"/>
      <c r="J420" s="2"/>
      <c r="K420" s="2"/>
      <c r="L420" s="2"/>
      <c r="M420" s="2"/>
      <c r="N420" s="107"/>
      <c r="O420" s="2"/>
      <c r="P420" s="2"/>
    </row>
    <row r="421">
      <c r="A421" s="104"/>
      <c r="B421" s="105"/>
      <c r="C421" s="2"/>
      <c r="D421" s="2"/>
      <c r="E421" s="2"/>
      <c r="F421" s="104"/>
      <c r="G421" s="106"/>
      <c r="H421" s="2"/>
      <c r="I421" s="105"/>
      <c r="J421" s="2"/>
      <c r="K421" s="2"/>
      <c r="L421" s="2"/>
      <c r="M421" s="2"/>
      <c r="N421" s="107"/>
      <c r="O421" s="2"/>
      <c r="P421" s="2"/>
    </row>
    <row r="422">
      <c r="A422" s="104"/>
      <c r="B422" s="105"/>
      <c r="C422" s="2"/>
      <c r="D422" s="2"/>
      <c r="E422" s="2"/>
      <c r="F422" s="104"/>
      <c r="G422" s="106"/>
      <c r="H422" s="2"/>
      <c r="I422" s="105"/>
      <c r="J422" s="2"/>
      <c r="K422" s="2"/>
      <c r="L422" s="2"/>
      <c r="M422" s="2"/>
      <c r="N422" s="107"/>
      <c r="O422" s="2"/>
      <c r="P422" s="2"/>
    </row>
    <row r="423">
      <c r="A423" s="104"/>
      <c r="B423" s="105"/>
      <c r="C423" s="2"/>
      <c r="D423" s="2"/>
      <c r="E423" s="2"/>
      <c r="F423" s="104"/>
      <c r="G423" s="106"/>
      <c r="H423" s="2"/>
      <c r="I423" s="105"/>
      <c r="J423" s="2"/>
      <c r="K423" s="2"/>
      <c r="L423" s="2"/>
      <c r="M423" s="2"/>
      <c r="N423" s="107"/>
      <c r="O423" s="2"/>
      <c r="P423" s="2"/>
    </row>
    <row r="424">
      <c r="A424" s="104"/>
      <c r="B424" s="105"/>
      <c r="C424" s="2"/>
      <c r="D424" s="2"/>
      <c r="E424" s="2"/>
      <c r="F424" s="104"/>
      <c r="G424" s="106"/>
      <c r="H424" s="2"/>
      <c r="I424" s="105"/>
      <c r="J424" s="2"/>
      <c r="K424" s="2"/>
      <c r="L424" s="2"/>
      <c r="M424" s="2"/>
      <c r="N424" s="107"/>
      <c r="O424" s="2"/>
      <c r="P424" s="2"/>
    </row>
    <row r="425">
      <c r="A425" s="104"/>
      <c r="B425" s="105"/>
      <c r="C425" s="2"/>
      <c r="D425" s="2"/>
      <c r="E425" s="2"/>
      <c r="F425" s="104"/>
      <c r="G425" s="106"/>
      <c r="H425" s="2"/>
      <c r="I425" s="105"/>
      <c r="J425" s="2"/>
      <c r="K425" s="2"/>
      <c r="L425" s="2"/>
      <c r="M425" s="2"/>
      <c r="N425" s="107"/>
      <c r="O425" s="2"/>
      <c r="P425" s="2"/>
    </row>
    <row r="426">
      <c r="A426" s="104"/>
      <c r="B426" s="105"/>
      <c r="C426" s="2"/>
      <c r="D426" s="2"/>
      <c r="E426" s="2"/>
      <c r="F426" s="104"/>
      <c r="G426" s="106"/>
      <c r="H426" s="2"/>
      <c r="I426" s="105"/>
      <c r="J426" s="2"/>
      <c r="K426" s="2"/>
      <c r="L426" s="2"/>
      <c r="M426" s="2"/>
      <c r="N426" s="107"/>
      <c r="O426" s="2"/>
      <c r="P426" s="2"/>
    </row>
    <row r="427">
      <c r="A427" s="104"/>
      <c r="B427" s="105"/>
      <c r="C427" s="2"/>
      <c r="D427" s="2"/>
      <c r="E427" s="2"/>
      <c r="F427" s="104"/>
      <c r="G427" s="106"/>
      <c r="H427" s="2"/>
      <c r="I427" s="105"/>
      <c r="J427" s="2"/>
      <c r="K427" s="2"/>
      <c r="L427" s="2"/>
      <c r="M427" s="2"/>
      <c r="N427" s="107"/>
      <c r="O427" s="2"/>
      <c r="P427" s="2"/>
    </row>
    <row r="428">
      <c r="A428" s="104"/>
      <c r="B428" s="105"/>
      <c r="C428" s="2"/>
      <c r="D428" s="2"/>
      <c r="E428" s="2"/>
      <c r="F428" s="104"/>
      <c r="G428" s="106"/>
      <c r="H428" s="2"/>
      <c r="I428" s="105"/>
      <c r="J428" s="2"/>
      <c r="K428" s="2"/>
      <c r="L428" s="2"/>
      <c r="M428" s="2"/>
      <c r="N428" s="107"/>
      <c r="O428" s="2"/>
      <c r="P428" s="2"/>
    </row>
    <row r="429">
      <c r="A429" s="104"/>
      <c r="B429" s="105"/>
      <c r="C429" s="2"/>
      <c r="D429" s="2"/>
      <c r="E429" s="2"/>
      <c r="F429" s="104"/>
      <c r="G429" s="106"/>
      <c r="H429" s="2"/>
      <c r="I429" s="105"/>
      <c r="J429" s="2"/>
      <c r="K429" s="2"/>
      <c r="L429" s="2"/>
      <c r="M429" s="2"/>
      <c r="N429" s="107"/>
      <c r="O429" s="2"/>
      <c r="P429" s="2"/>
    </row>
    <row r="430">
      <c r="A430" s="104"/>
      <c r="B430" s="105"/>
      <c r="C430" s="2"/>
      <c r="D430" s="2"/>
      <c r="E430" s="2"/>
      <c r="F430" s="104"/>
      <c r="G430" s="106"/>
      <c r="H430" s="2"/>
      <c r="I430" s="105"/>
      <c r="J430" s="2"/>
      <c r="K430" s="2"/>
      <c r="L430" s="2"/>
      <c r="M430" s="2"/>
      <c r="N430" s="107"/>
      <c r="O430" s="2"/>
      <c r="P430" s="2"/>
    </row>
    <row r="431">
      <c r="A431" s="104"/>
      <c r="B431" s="105"/>
      <c r="C431" s="2"/>
      <c r="D431" s="2"/>
      <c r="E431" s="2"/>
      <c r="F431" s="104"/>
      <c r="G431" s="106"/>
      <c r="H431" s="2"/>
      <c r="I431" s="105"/>
      <c r="J431" s="2"/>
      <c r="K431" s="2"/>
      <c r="L431" s="2"/>
      <c r="M431" s="2"/>
      <c r="N431" s="107"/>
      <c r="O431" s="2"/>
      <c r="P431" s="2"/>
    </row>
    <row r="432">
      <c r="A432" s="104"/>
      <c r="B432" s="105"/>
      <c r="C432" s="2"/>
      <c r="D432" s="2"/>
      <c r="E432" s="2"/>
      <c r="F432" s="104"/>
      <c r="G432" s="106"/>
      <c r="H432" s="2"/>
      <c r="I432" s="105"/>
      <c r="J432" s="2"/>
      <c r="K432" s="2"/>
      <c r="L432" s="2"/>
      <c r="M432" s="2"/>
      <c r="N432" s="107"/>
      <c r="O432" s="2"/>
      <c r="P432" s="2"/>
    </row>
    <row r="433">
      <c r="A433" s="104"/>
      <c r="B433" s="105"/>
      <c r="C433" s="2"/>
      <c r="D433" s="2"/>
      <c r="E433" s="2"/>
      <c r="F433" s="104"/>
      <c r="G433" s="106"/>
      <c r="H433" s="2"/>
      <c r="I433" s="105"/>
      <c r="J433" s="2"/>
      <c r="K433" s="2"/>
      <c r="L433" s="2"/>
      <c r="M433" s="2"/>
      <c r="N433" s="107"/>
      <c r="O433" s="2"/>
      <c r="P433" s="2"/>
    </row>
    <row r="434">
      <c r="A434" s="104"/>
      <c r="B434" s="105"/>
      <c r="C434" s="2"/>
      <c r="D434" s="2"/>
      <c r="E434" s="2"/>
      <c r="F434" s="104"/>
      <c r="G434" s="106"/>
      <c r="H434" s="2"/>
      <c r="I434" s="105"/>
      <c r="J434" s="2"/>
      <c r="K434" s="2"/>
      <c r="L434" s="2"/>
      <c r="M434" s="2"/>
      <c r="N434" s="107"/>
      <c r="O434" s="2"/>
      <c r="P434" s="2"/>
    </row>
    <row r="435">
      <c r="A435" s="104"/>
      <c r="B435" s="105"/>
      <c r="C435" s="2"/>
      <c r="D435" s="2"/>
      <c r="E435" s="2"/>
      <c r="F435" s="104"/>
      <c r="G435" s="106"/>
      <c r="H435" s="2"/>
      <c r="I435" s="105"/>
      <c r="J435" s="2"/>
      <c r="K435" s="2"/>
      <c r="L435" s="2"/>
      <c r="M435" s="2"/>
      <c r="N435" s="107"/>
      <c r="O435" s="2"/>
      <c r="P435" s="2"/>
    </row>
    <row r="436">
      <c r="A436" s="104"/>
      <c r="B436" s="105"/>
      <c r="C436" s="2"/>
      <c r="D436" s="2"/>
      <c r="E436" s="2"/>
      <c r="F436" s="104"/>
      <c r="G436" s="106"/>
      <c r="H436" s="2"/>
      <c r="I436" s="105"/>
      <c r="J436" s="2"/>
      <c r="K436" s="2"/>
      <c r="L436" s="2"/>
      <c r="M436" s="2"/>
      <c r="N436" s="107"/>
      <c r="O436" s="2"/>
      <c r="P436" s="2"/>
    </row>
    <row r="437">
      <c r="A437" s="104"/>
      <c r="B437" s="105"/>
      <c r="C437" s="2"/>
      <c r="D437" s="2"/>
      <c r="E437" s="2"/>
      <c r="F437" s="104"/>
      <c r="G437" s="106"/>
      <c r="H437" s="2"/>
      <c r="I437" s="105"/>
      <c r="J437" s="2"/>
      <c r="K437" s="2"/>
      <c r="L437" s="2"/>
      <c r="M437" s="2"/>
      <c r="N437" s="107"/>
      <c r="O437" s="2"/>
      <c r="P437" s="2"/>
    </row>
    <row r="438">
      <c r="A438" s="104"/>
      <c r="B438" s="105"/>
      <c r="C438" s="2"/>
      <c r="D438" s="2"/>
      <c r="E438" s="2"/>
      <c r="F438" s="104"/>
      <c r="G438" s="106"/>
      <c r="H438" s="2"/>
      <c r="I438" s="105"/>
      <c r="J438" s="2"/>
      <c r="K438" s="2"/>
      <c r="L438" s="2"/>
      <c r="M438" s="2"/>
      <c r="N438" s="107"/>
      <c r="O438" s="2"/>
      <c r="P438" s="2"/>
    </row>
    <row r="439">
      <c r="A439" s="104"/>
      <c r="B439" s="105"/>
      <c r="C439" s="2"/>
      <c r="D439" s="2"/>
      <c r="E439" s="2"/>
      <c r="F439" s="104"/>
      <c r="G439" s="106"/>
      <c r="H439" s="2"/>
      <c r="I439" s="105"/>
      <c r="J439" s="2"/>
      <c r="K439" s="2"/>
      <c r="L439" s="2"/>
      <c r="M439" s="2"/>
      <c r="N439" s="107"/>
      <c r="O439" s="2"/>
      <c r="P439" s="2"/>
    </row>
    <row r="440">
      <c r="A440" s="104"/>
      <c r="B440" s="105"/>
      <c r="C440" s="2"/>
      <c r="D440" s="2"/>
      <c r="E440" s="2"/>
      <c r="F440" s="104"/>
      <c r="G440" s="106"/>
      <c r="H440" s="2"/>
      <c r="I440" s="105"/>
      <c r="J440" s="2"/>
      <c r="K440" s="2"/>
      <c r="L440" s="2"/>
      <c r="M440" s="2"/>
      <c r="N440" s="107"/>
      <c r="O440" s="2"/>
      <c r="P440" s="2"/>
    </row>
    <row r="441">
      <c r="A441" s="104"/>
      <c r="B441" s="105"/>
      <c r="C441" s="2"/>
      <c r="D441" s="2"/>
      <c r="E441" s="2"/>
      <c r="F441" s="104"/>
      <c r="G441" s="106"/>
      <c r="H441" s="2"/>
      <c r="I441" s="105"/>
      <c r="J441" s="2"/>
      <c r="K441" s="2"/>
      <c r="L441" s="2"/>
      <c r="M441" s="2"/>
      <c r="N441" s="107"/>
      <c r="O441" s="2"/>
      <c r="P441" s="2"/>
    </row>
    <row r="442">
      <c r="A442" s="104"/>
      <c r="B442" s="105"/>
      <c r="C442" s="2"/>
      <c r="D442" s="2"/>
      <c r="E442" s="2"/>
      <c r="F442" s="104"/>
      <c r="G442" s="106"/>
      <c r="H442" s="2"/>
      <c r="I442" s="105"/>
      <c r="J442" s="2"/>
      <c r="K442" s="2"/>
      <c r="L442" s="2"/>
      <c r="M442" s="2"/>
      <c r="N442" s="107"/>
      <c r="O442" s="2"/>
      <c r="P442" s="2"/>
    </row>
    <row r="443">
      <c r="A443" s="104"/>
      <c r="B443" s="105"/>
      <c r="C443" s="2"/>
      <c r="D443" s="2"/>
      <c r="E443" s="2"/>
      <c r="F443" s="104"/>
      <c r="G443" s="106"/>
      <c r="H443" s="2"/>
      <c r="I443" s="105"/>
      <c r="J443" s="2"/>
      <c r="K443" s="2"/>
      <c r="L443" s="2"/>
      <c r="M443" s="2"/>
      <c r="N443" s="107"/>
      <c r="O443" s="2"/>
      <c r="P443" s="2"/>
    </row>
    <row r="444">
      <c r="A444" s="104"/>
      <c r="B444" s="105"/>
      <c r="C444" s="2"/>
      <c r="D444" s="2"/>
      <c r="E444" s="2"/>
      <c r="F444" s="104"/>
      <c r="G444" s="106"/>
      <c r="H444" s="2"/>
      <c r="I444" s="105"/>
      <c r="J444" s="2"/>
      <c r="K444" s="2"/>
      <c r="L444" s="2"/>
      <c r="M444" s="2"/>
      <c r="N444" s="107"/>
      <c r="O444" s="2"/>
      <c r="P444" s="2"/>
    </row>
    <row r="445">
      <c r="A445" s="104"/>
      <c r="B445" s="105"/>
      <c r="C445" s="2"/>
      <c r="D445" s="2"/>
      <c r="E445" s="2"/>
      <c r="F445" s="104"/>
      <c r="G445" s="106"/>
      <c r="H445" s="2"/>
      <c r="I445" s="105"/>
      <c r="J445" s="2"/>
      <c r="K445" s="2"/>
      <c r="L445" s="2"/>
      <c r="M445" s="2"/>
      <c r="N445" s="107"/>
      <c r="O445" s="2"/>
      <c r="P445" s="2"/>
    </row>
    <row r="446">
      <c r="A446" s="104"/>
      <c r="B446" s="105"/>
      <c r="C446" s="2"/>
      <c r="D446" s="2"/>
      <c r="E446" s="2"/>
      <c r="F446" s="104"/>
      <c r="G446" s="106"/>
      <c r="H446" s="2"/>
      <c r="I446" s="105"/>
      <c r="J446" s="2"/>
      <c r="K446" s="2"/>
      <c r="L446" s="2"/>
      <c r="M446" s="2"/>
      <c r="N446" s="107"/>
      <c r="O446" s="2"/>
      <c r="P446" s="2"/>
    </row>
    <row r="447">
      <c r="A447" s="104"/>
      <c r="B447" s="105"/>
      <c r="C447" s="2"/>
      <c r="D447" s="2"/>
      <c r="E447" s="2"/>
      <c r="F447" s="104"/>
      <c r="G447" s="106"/>
      <c r="H447" s="2"/>
      <c r="I447" s="105"/>
      <c r="J447" s="2"/>
      <c r="K447" s="2"/>
      <c r="L447" s="2"/>
      <c r="M447" s="2"/>
      <c r="N447" s="107"/>
      <c r="O447" s="2"/>
      <c r="P447" s="2"/>
    </row>
    <row r="448">
      <c r="A448" s="104"/>
      <c r="B448" s="105"/>
      <c r="C448" s="2"/>
      <c r="D448" s="2"/>
      <c r="E448" s="2"/>
      <c r="F448" s="104"/>
      <c r="G448" s="106"/>
      <c r="H448" s="2"/>
      <c r="I448" s="105"/>
      <c r="J448" s="2"/>
      <c r="K448" s="2"/>
      <c r="L448" s="2"/>
      <c r="M448" s="2"/>
      <c r="N448" s="107"/>
      <c r="O448" s="2"/>
      <c r="P448" s="2"/>
    </row>
    <row r="449">
      <c r="A449" s="104"/>
      <c r="B449" s="105"/>
      <c r="C449" s="2"/>
      <c r="D449" s="2"/>
      <c r="E449" s="2"/>
      <c r="F449" s="104"/>
      <c r="G449" s="106"/>
      <c r="H449" s="2"/>
      <c r="I449" s="105"/>
      <c r="J449" s="2"/>
      <c r="K449" s="2"/>
      <c r="L449" s="2"/>
      <c r="M449" s="2"/>
      <c r="N449" s="107"/>
      <c r="O449" s="2"/>
      <c r="P449" s="2"/>
    </row>
    <row r="450">
      <c r="A450" s="104"/>
      <c r="B450" s="105"/>
      <c r="C450" s="2"/>
      <c r="D450" s="2"/>
      <c r="E450" s="2"/>
      <c r="F450" s="104"/>
      <c r="G450" s="106"/>
      <c r="H450" s="2"/>
      <c r="I450" s="105"/>
      <c r="J450" s="2"/>
      <c r="K450" s="2"/>
      <c r="L450" s="2"/>
      <c r="M450" s="2"/>
      <c r="N450" s="107"/>
      <c r="O450" s="2"/>
      <c r="P450" s="2"/>
    </row>
    <row r="451">
      <c r="A451" s="104"/>
      <c r="B451" s="105"/>
      <c r="C451" s="2"/>
      <c r="D451" s="2"/>
      <c r="E451" s="2"/>
      <c r="F451" s="104"/>
      <c r="G451" s="106"/>
      <c r="H451" s="2"/>
      <c r="I451" s="105"/>
      <c r="J451" s="2"/>
      <c r="K451" s="2"/>
      <c r="L451" s="2"/>
      <c r="M451" s="2"/>
      <c r="N451" s="107"/>
      <c r="O451" s="2"/>
      <c r="P451" s="2"/>
    </row>
    <row r="452">
      <c r="A452" s="104"/>
      <c r="B452" s="105"/>
      <c r="C452" s="2"/>
      <c r="D452" s="2"/>
      <c r="E452" s="2"/>
      <c r="F452" s="104"/>
      <c r="G452" s="106"/>
      <c r="H452" s="2"/>
      <c r="I452" s="105"/>
      <c r="J452" s="2"/>
      <c r="K452" s="2"/>
      <c r="L452" s="2"/>
      <c r="M452" s="2"/>
      <c r="N452" s="107"/>
      <c r="O452" s="2"/>
      <c r="P452" s="2"/>
    </row>
    <row r="453">
      <c r="A453" s="104"/>
      <c r="B453" s="105"/>
      <c r="C453" s="2"/>
      <c r="D453" s="2"/>
      <c r="E453" s="2"/>
      <c r="F453" s="104"/>
      <c r="G453" s="106"/>
      <c r="H453" s="2"/>
      <c r="I453" s="105"/>
      <c r="J453" s="2"/>
      <c r="K453" s="2"/>
      <c r="L453" s="2"/>
      <c r="M453" s="2"/>
      <c r="N453" s="107"/>
      <c r="O453" s="2"/>
      <c r="P453" s="2"/>
    </row>
    <row r="454">
      <c r="A454" s="104"/>
      <c r="B454" s="105"/>
      <c r="C454" s="2"/>
      <c r="D454" s="2"/>
      <c r="E454" s="2"/>
      <c r="F454" s="104"/>
      <c r="G454" s="106"/>
      <c r="H454" s="2"/>
      <c r="I454" s="105"/>
      <c r="J454" s="2"/>
      <c r="K454" s="2"/>
      <c r="L454" s="2"/>
      <c r="M454" s="2"/>
      <c r="N454" s="107"/>
      <c r="O454" s="2"/>
      <c r="P454" s="2"/>
    </row>
    <row r="455">
      <c r="A455" s="104"/>
      <c r="B455" s="105"/>
      <c r="C455" s="2"/>
      <c r="D455" s="2"/>
      <c r="E455" s="2"/>
      <c r="F455" s="104"/>
      <c r="G455" s="106"/>
      <c r="H455" s="2"/>
      <c r="I455" s="105"/>
      <c r="J455" s="2"/>
      <c r="K455" s="2"/>
      <c r="L455" s="2"/>
      <c r="M455" s="2"/>
      <c r="N455" s="107"/>
      <c r="O455" s="2"/>
      <c r="P455" s="2"/>
    </row>
    <row r="456">
      <c r="A456" s="104"/>
      <c r="B456" s="105"/>
      <c r="C456" s="2"/>
      <c r="D456" s="2"/>
      <c r="E456" s="2"/>
      <c r="F456" s="104"/>
      <c r="G456" s="106"/>
      <c r="H456" s="2"/>
      <c r="I456" s="105"/>
      <c r="J456" s="2"/>
      <c r="K456" s="2"/>
      <c r="L456" s="2"/>
      <c r="M456" s="2"/>
      <c r="N456" s="107"/>
      <c r="O456" s="2"/>
      <c r="P456" s="2"/>
    </row>
    <row r="457">
      <c r="A457" s="104"/>
      <c r="B457" s="105"/>
      <c r="C457" s="2"/>
      <c r="D457" s="2"/>
      <c r="E457" s="2"/>
      <c r="F457" s="104"/>
      <c r="G457" s="106"/>
      <c r="H457" s="2"/>
      <c r="I457" s="105"/>
      <c r="J457" s="2"/>
      <c r="K457" s="2"/>
      <c r="L457" s="2"/>
      <c r="M457" s="2"/>
      <c r="N457" s="107"/>
      <c r="O457" s="2"/>
      <c r="P457" s="2"/>
    </row>
    <row r="458">
      <c r="A458" s="104"/>
      <c r="B458" s="105"/>
      <c r="C458" s="2"/>
      <c r="D458" s="2"/>
      <c r="E458" s="2"/>
      <c r="F458" s="104"/>
      <c r="G458" s="106"/>
      <c r="H458" s="2"/>
      <c r="I458" s="105"/>
      <c r="J458" s="2"/>
      <c r="K458" s="2"/>
      <c r="L458" s="2"/>
      <c r="M458" s="2"/>
      <c r="N458" s="107"/>
      <c r="O458" s="2"/>
      <c r="P458" s="2"/>
    </row>
    <row r="459">
      <c r="A459" s="104"/>
      <c r="B459" s="105"/>
      <c r="C459" s="2"/>
      <c r="D459" s="2"/>
      <c r="E459" s="2"/>
      <c r="F459" s="104"/>
      <c r="G459" s="106"/>
      <c r="H459" s="2"/>
      <c r="I459" s="105"/>
      <c r="J459" s="2"/>
      <c r="K459" s="2"/>
      <c r="L459" s="2"/>
      <c r="M459" s="2"/>
      <c r="N459" s="107"/>
      <c r="O459" s="2"/>
      <c r="P459" s="2"/>
    </row>
    <row r="460">
      <c r="A460" s="104"/>
      <c r="B460" s="105"/>
      <c r="C460" s="2"/>
      <c r="D460" s="2"/>
      <c r="E460" s="2"/>
      <c r="F460" s="104"/>
      <c r="G460" s="106"/>
      <c r="H460" s="2"/>
      <c r="I460" s="105"/>
      <c r="J460" s="2"/>
      <c r="K460" s="2"/>
      <c r="L460" s="2"/>
      <c r="M460" s="2"/>
      <c r="N460" s="107"/>
      <c r="O460" s="2"/>
      <c r="P460" s="2"/>
    </row>
    <row r="461">
      <c r="A461" s="104"/>
      <c r="B461" s="105"/>
      <c r="C461" s="2"/>
      <c r="D461" s="2"/>
      <c r="E461" s="2"/>
      <c r="F461" s="104"/>
      <c r="G461" s="106"/>
      <c r="H461" s="2"/>
      <c r="I461" s="105"/>
      <c r="J461" s="2"/>
      <c r="K461" s="2"/>
      <c r="L461" s="2"/>
      <c r="M461" s="2"/>
      <c r="N461" s="107"/>
      <c r="O461" s="2"/>
      <c r="P461" s="2"/>
    </row>
    <row r="462">
      <c r="A462" s="104"/>
      <c r="B462" s="105"/>
      <c r="C462" s="2"/>
      <c r="D462" s="2"/>
      <c r="E462" s="2"/>
      <c r="F462" s="104"/>
      <c r="G462" s="106"/>
      <c r="H462" s="2"/>
      <c r="I462" s="105"/>
      <c r="J462" s="2"/>
      <c r="K462" s="2"/>
      <c r="L462" s="2"/>
      <c r="M462" s="2"/>
      <c r="N462" s="107"/>
      <c r="O462" s="2"/>
      <c r="P462" s="2"/>
    </row>
    <row r="463">
      <c r="A463" s="104"/>
      <c r="B463" s="105"/>
      <c r="C463" s="2"/>
      <c r="D463" s="2"/>
      <c r="E463" s="2"/>
      <c r="F463" s="104"/>
      <c r="G463" s="106"/>
      <c r="H463" s="2"/>
      <c r="I463" s="105"/>
      <c r="J463" s="2"/>
      <c r="K463" s="2"/>
      <c r="L463" s="2"/>
      <c r="M463" s="2"/>
      <c r="N463" s="107"/>
      <c r="O463" s="2"/>
      <c r="P463" s="2"/>
    </row>
    <row r="464">
      <c r="A464" s="104"/>
      <c r="B464" s="105"/>
      <c r="C464" s="2"/>
      <c r="D464" s="2"/>
      <c r="E464" s="2"/>
      <c r="F464" s="104"/>
      <c r="G464" s="106"/>
      <c r="H464" s="2"/>
      <c r="I464" s="105"/>
      <c r="J464" s="2"/>
      <c r="K464" s="2"/>
      <c r="L464" s="2"/>
      <c r="M464" s="2"/>
      <c r="N464" s="107"/>
      <c r="O464" s="2"/>
      <c r="P464" s="2"/>
    </row>
    <row r="465">
      <c r="A465" s="104"/>
      <c r="B465" s="105"/>
      <c r="C465" s="2"/>
      <c r="D465" s="2"/>
      <c r="E465" s="2"/>
      <c r="F465" s="104"/>
      <c r="G465" s="106"/>
      <c r="H465" s="2"/>
      <c r="I465" s="105"/>
      <c r="J465" s="2"/>
      <c r="K465" s="2"/>
      <c r="L465" s="2"/>
      <c r="M465" s="2"/>
      <c r="N465" s="107"/>
      <c r="O465" s="2"/>
      <c r="P465" s="2"/>
    </row>
    <row r="466">
      <c r="A466" s="104"/>
      <c r="B466" s="105"/>
      <c r="C466" s="2"/>
      <c r="D466" s="2"/>
      <c r="E466" s="2"/>
      <c r="F466" s="104"/>
      <c r="G466" s="106"/>
      <c r="H466" s="2"/>
      <c r="I466" s="105"/>
      <c r="J466" s="2"/>
      <c r="K466" s="2"/>
      <c r="L466" s="2"/>
      <c r="M466" s="2"/>
      <c r="N466" s="107"/>
      <c r="O466" s="2"/>
      <c r="P466" s="2"/>
    </row>
    <row r="467">
      <c r="A467" s="104"/>
      <c r="B467" s="105"/>
      <c r="C467" s="2"/>
      <c r="D467" s="2"/>
      <c r="E467" s="2"/>
      <c r="F467" s="104"/>
      <c r="G467" s="106"/>
      <c r="H467" s="2"/>
      <c r="I467" s="105"/>
      <c r="J467" s="2"/>
      <c r="K467" s="2"/>
      <c r="L467" s="2"/>
      <c r="M467" s="2"/>
      <c r="N467" s="107"/>
      <c r="O467" s="2"/>
      <c r="P467" s="2"/>
    </row>
    <row r="468">
      <c r="A468" s="104"/>
      <c r="B468" s="105"/>
      <c r="C468" s="2"/>
      <c r="D468" s="2"/>
      <c r="E468" s="2"/>
      <c r="F468" s="104"/>
      <c r="G468" s="106"/>
      <c r="H468" s="2"/>
      <c r="I468" s="105"/>
      <c r="J468" s="2"/>
      <c r="K468" s="2"/>
      <c r="L468" s="2"/>
      <c r="M468" s="2"/>
      <c r="N468" s="107"/>
      <c r="O468" s="2"/>
      <c r="P468" s="2"/>
    </row>
    <row r="469">
      <c r="A469" s="104"/>
      <c r="B469" s="105"/>
      <c r="C469" s="2"/>
      <c r="D469" s="2"/>
      <c r="E469" s="2"/>
      <c r="F469" s="104"/>
      <c r="G469" s="106"/>
      <c r="H469" s="2"/>
      <c r="I469" s="105"/>
      <c r="J469" s="2"/>
      <c r="K469" s="2"/>
      <c r="L469" s="2"/>
      <c r="M469" s="2"/>
      <c r="N469" s="107"/>
      <c r="O469" s="2"/>
      <c r="P469" s="2"/>
    </row>
    <row r="470">
      <c r="A470" s="104"/>
      <c r="B470" s="105"/>
      <c r="C470" s="2"/>
      <c r="D470" s="2"/>
      <c r="E470" s="2"/>
      <c r="F470" s="104"/>
      <c r="G470" s="106"/>
      <c r="H470" s="2"/>
      <c r="I470" s="105"/>
      <c r="J470" s="2"/>
      <c r="K470" s="2"/>
      <c r="L470" s="2"/>
      <c r="M470" s="2"/>
      <c r="N470" s="107"/>
      <c r="O470" s="2"/>
      <c r="P470" s="2"/>
    </row>
    <row r="471">
      <c r="A471" s="104"/>
      <c r="B471" s="105"/>
      <c r="C471" s="2"/>
      <c r="D471" s="2"/>
      <c r="E471" s="2"/>
      <c r="F471" s="104"/>
      <c r="G471" s="106"/>
      <c r="H471" s="2"/>
      <c r="I471" s="105"/>
      <c r="J471" s="2"/>
      <c r="K471" s="2"/>
      <c r="L471" s="2"/>
      <c r="M471" s="2"/>
      <c r="N471" s="107"/>
      <c r="O471" s="2"/>
      <c r="P471" s="2"/>
    </row>
    <row r="472">
      <c r="A472" s="104"/>
      <c r="B472" s="105"/>
      <c r="C472" s="2"/>
      <c r="D472" s="2"/>
      <c r="E472" s="2"/>
      <c r="F472" s="104"/>
      <c r="G472" s="106"/>
      <c r="H472" s="2"/>
      <c r="I472" s="105"/>
      <c r="J472" s="2"/>
      <c r="K472" s="2"/>
      <c r="L472" s="2"/>
      <c r="M472" s="2"/>
      <c r="N472" s="107"/>
      <c r="O472" s="2"/>
      <c r="P472" s="2"/>
    </row>
    <row r="473">
      <c r="A473" s="104"/>
      <c r="B473" s="105"/>
      <c r="C473" s="2"/>
      <c r="D473" s="2"/>
      <c r="E473" s="2"/>
      <c r="F473" s="104"/>
      <c r="G473" s="106"/>
      <c r="H473" s="2"/>
      <c r="I473" s="105"/>
      <c r="J473" s="2"/>
      <c r="K473" s="2"/>
      <c r="L473" s="2"/>
      <c r="M473" s="2"/>
      <c r="N473" s="107"/>
      <c r="O473" s="2"/>
      <c r="P473" s="2"/>
    </row>
    <row r="474">
      <c r="A474" s="104"/>
      <c r="B474" s="105"/>
      <c r="C474" s="2"/>
      <c r="D474" s="2"/>
      <c r="E474" s="2"/>
      <c r="F474" s="104"/>
      <c r="G474" s="106"/>
      <c r="H474" s="2"/>
      <c r="I474" s="105"/>
      <c r="J474" s="2"/>
      <c r="K474" s="2"/>
      <c r="L474" s="2"/>
      <c r="M474" s="2"/>
      <c r="N474" s="107"/>
      <c r="O474" s="2"/>
      <c r="P474" s="2"/>
    </row>
    <row r="475">
      <c r="A475" s="104"/>
      <c r="B475" s="105"/>
      <c r="C475" s="2"/>
      <c r="D475" s="2"/>
      <c r="E475" s="2"/>
      <c r="F475" s="104"/>
      <c r="G475" s="106"/>
      <c r="H475" s="2"/>
      <c r="I475" s="105"/>
      <c r="J475" s="2"/>
      <c r="K475" s="2"/>
      <c r="L475" s="2"/>
      <c r="M475" s="2"/>
      <c r="N475" s="107"/>
      <c r="O475" s="2"/>
      <c r="P475" s="2"/>
    </row>
    <row r="476">
      <c r="A476" s="104"/>
      <c r="B476" s="105"/>
      <c r="C476" s="2"/>
      <c r="D476" s="2"/>
      <c r="E476" s="2"/>
      <c r="F476" s="104"/>
      <c r="G476" s="106"/>
      <c r="H476" s="2"/>
      <c r="I476" s="105"/>
      <c r="J476" s="2"/>
      <c r="K476" s="2"/>
      <c r="L476" s="2"/>
      <c r="M476" s="2"/>
      <c r="N476" s="107"/>
      <c r="O476" s="2"/>
      <c r="P476" s="2"/>
    </row>
    <row r="477">
      <c r="A477" s="104"/>
      <c r="B477" s="105"/>
      <c r="C477" s="2"/>
      <c r="D477" s="2"/>
      <c r="E477" s="2"/>
      <c r="F477" s="104"/>
      <c r="G477" s="106"/>
      <c r="H477" s="2"/>
      <c r="I477" s="105"/>
      <c r="J477" s="2"/>
      <c r="K477" s="2"/>
      <c r="L477" s="2"/>
      <c r="M477" s="2"/>
      <c r="N477" s="107"/>
      <c r="O477" s="2"/>
      <c r="P477" s="2"/>
    </row>
    <row r="478">
      <c r="A478" s="104"/>
      <c r="B478" s="105"/>
      <c r="C478" s="2"/>
      <c r="D478" s="2"/>
      <c r="E478" s="2"/>
      <c r="F478" s="104"/>
      <c r="G478" s="106"/>
      <c r="H478" s="2"/>
      <c r="I478" s="105"/>
      <c r="J478" s="2"/>
      <c r="K478" s="2"/>
      <c r="L478" s="2"/>
      <c r="M478" s="2"/>
      <c r="N478" s="107"/>
      <c r="O478" s="2"/>
      <c r="P478" s="2"/>
    </row>
    <row r="479">
      <c r="A479" s="104"/>
      <c r="B479" s="105"/>
      <c r="C479" s="2"/>
      <c r="D479" s="2"/>
      <c r="E479" s="2"/>
      <c r="F479" s="104"/>
      <c r="G479" s="106"/>
      <c r="H479" s="2"/>
      <c r="I479" s="105"/>
      <c r="J479" s="2"/>
      <c r="K479" s="2"/>
      <c r="L479" s="2"/>
      <c r="M479" s="2"/>
      <c r="N479" s="107"/>
      <c r="O479" s="2"/>
      <c r="P479" s="2"/>
    </row>
    <row r="480">
      <c r="A480" s="104"/>
      <c r="B480" s="105"/>
      <c r="C480" s="2"/>
      <c r="D480" s="2"/>
      <c r="E480" s="2"/>
      <c r="F480" s="104"/>
      <c r="G480" s="106"/>
      <c r="H480" s="2"/>
      <c r="I480" s="105"/>
      <c r="J480" s="2"/>
      <c r="K480" s="2"/>
      <c r="L480" s="2"/>
      <c r="M480" s="2"/>
      <c r="N480" s="107"/>
      <c r="O480" s="2"/>
      <c r="P480" s="2"/>
    </row>
    <row r="481">
      <c r="A481" s="104"/>
      <c r="B481" s="105"/>
      <c r="C481" s="2"/>
      <c r="D481" s="2"/>
      <c r="E481" s="2"/>
      <c r="F481" s="104"/>
      <c r="G481" s="106"/>
      <c r="H481" s="2"/>
      <c r="I481" s="105"/>
      <c r="J481" s="2"/>
      <c r="K481" s="2"/>
      <c r="L481" s="2"/>
      <c r="M481" s="2"/>
      <c r="N481" s="107"/>
      <c r="O481" s="2"/>
      <c r="P481" s="2"/>
    </row>
    <row r="482">
      <c r="A482" s="104"/>
      <c r="B482" s="105"/>
      <c r="C482" s="2"/>
      <c r="D482" s="2"/>
      <c r="E482" s="2"/>
      <c r="F482" s="104"/>
      <c r="G482" s="106"/>
      <c r="H482" s="2"/>
      <c r="I482" s="105"/>
      <c r="J482" s="2"/>
      <c r="K482" s="2"/>
      <c r="L482" s="2"/>
      <c r="M482" s="2"/>
      <c r="N482" s="107"/>
      <c r="O482" s="2"/>
      <c r="P482" s="2"/>
    </row>
    <row r="483">
      <c r="A483" s="104"/>
      <c r="B483" s="105"/>
      <c r="C483" s="2"/>
      <c r="D483" s="2"/>
      <c r="E483" s="2"/>
      <c r="F483" s="104"/>
      <c r="G483" s="106"/>
      <c r="H483" s="2"/>
      <c r="I483" s="105"/>
      <c r="J483" s="2"/>
      <c r="K483" s="2"/>
      <c r="L483" s="2"/>
      <c r="M483" s="2"/>
      <c r="N483" s="107"/>
      <c r="O483" s="2"/>
      <c r="P483" s="2"/>
    </row>
    <row r="484">
      <c r="A484" s="104"/>
      <c r="B484" s="105"/>
      <c r="C484" s="2"/>
      <c r="D484" s="2"/>
      <c r="E484" s="2"/>
      <c r="F484" s="104"/>
      <c r="G484" s="106"/>
      <c r="H484" s="2"/>
      <c r="I484" s="105"/>
      <c r="J484" s="2"/>
      <c r="K484" s="2"/>
      <c r="L484" s="2"/>
      <c r="M484" s="2"/>
      <c r="N484" s="107"/>
      <c r="O484" s="2"/>
      <c r="P484" s="2"/>
    </row>
    <row r="485">
      <c r="A485" s="104"/>
      <c r="B485" s="105"/>
      <c r="C485" s="2"/>
      <c r="D485" s="2"/>
      <c r="E485" s="2"/>
      <c r="F485" s="104"/>
      <c r="G485" s="106"/>
      <c r="H485" s="2"/>
      <c r="I485" s="105"/>
      <c r="J485" s="2"/>
      <c r="K485" s="2"/>
      <c r="L485" s="2"/>
      <c r="M485" s="2"/>
      <c r="N485" s="107"/>
      <c r="O485" s="2"/>
      <c r="P485" s="2"/>
    </row>
    <row r="486">
      <c r="A486" s="104"/>
      <c r="B486" s="105"/>
      <c r="C486" s="2"/>
      <c r="D486" s="2"/>
      <c r="E486" s="2"/>
      <c r="F486" s="104"/>
      <c r="G486" s="106"/>
      <c r="H486" s="2"/>
      <c r="I486" s="105"/>
      <c r="J486" s="2"/>
      <c r="K486" s="2"/>
      <c r="L486" s="2"/>
      <c r="M486" s="2"/>
      <c r="N486" s="107"/>
      <c r="O486" s="2"/>
      <c r="P486" s="2"/>
    </row>
    <row r="487">
      <c r="A487" s="104"/>
      <c r="B487" s="105"/>
      <c r="C487" s="2"/>
      <c r="D487" s="2"/>
      <c r="E487" s="2"/>
      <c r="F487" s="104"/>
      <c r="G487" s="106"/>
      <c r="H487" s="2"/>
      <c r="I487" s="105"/>
      <c r="J487" s="2"/>
      <c r="K487" s="2"/>
      <c r="L487" s="2"/>
      <c r="M487" s="2"/>
      <c r="N487" s="107"/>
      <c r="O487" s="2"/>
      <c r="P487" s="2"/>
    </row>
    <row r="488">
      <c r="A488" s="104"/>
      <c r="B488" s="105"/>
      <c r="C488" s="2"/>
      <c r="D488" s="2"/>
      <c r="E488" s="2"/>
      <c r="F488" s="104"/>
      <c r="G488" s="106"/>
      <c r="H488" s="2"/>
      <c r="I488" s="105"/>
      <c r="J488" s="2"/>
      <c r="K488" s="2"/>
      <c r="L488" s="2"/>
      <c r="M488" s="2"/>
      <c r="N488" s="107"/>
      <c r="O488" s="2"/>
      <c r="P488" s="2"/>
    </row>
    <row r="489">
      <c r="A489" s="104"/>
      <c r="B489" s="105"/>
      <c r="C489" s="2"/>
      <c r="D489" s="2"/>
      <c r="E489" s="2"/>
      <c r="F489" s="104"/>
      <c r="G489" s="106"/>
      <c r="H489" s="2"/>
      <c r="I489" s="105"/>
      <c r="J489" s="2"/>
      <c r="K489" s="2"/>
      <c r="L489" s="2"/>
      <c r="M489" s="2"/>
      <c r="N489" s="107"/>
      <c r="O489" s="2"/>
      <c r="P489" s="2"/>
    </row>
    <row r="490">
      <c r="A490" s="104"/>
      <c r="B490" s="105"/>
      <c r="C490" s="2"/>
      <c r="D490" s="2"/>
      <c r="E490" s="2"/>
      <c r="F490" s="104"/>
      <c r="G490" s="106"/>
      <c r="H490" s="2"/>
      <c r="I490" s="105"/>
      <c r="J490" s="2"/>
      <c r="K490" s="2"/>
      <c r="L490" s="2"/>
      <c r="M490" s="2"/>
      <c r="N490" s="107"/>
      <c r="O490" s="2"/>
      <c r="P490" s="2"/>
    </row>
    <row r="491">
      <c r="A491" s="104"/>
      <c r="B491" s="105"/>
      <c r="C491" s="2"/>
      <c r="D491" s="2"/>
      <c r="E491" s="2"/>
      <c r="F491" s="104"/>
      <c r="G491" s="106"/>
      <c r="H491" s="2"/>
      <c r="I491" s="105"/>
      <c r="J491" s="2"/>
      <c r="K491" s="2"/>
      <c r="L491" s="2"/>
      <c r="M491" s="2"/>
      <c r="N491" s="107"/>
      <c r="O491" s="2"/>
      <c r="P491" s="2"/>
    </row>
    <row r="492">
      <c r="A492" s="104"/>
      <c r="B492" s="105"/>
      <c r="C492" s="2"/>
      <c r="D492" s="2"/>
      <c r="E492" s="2"/>
      <c r="F492" s="104"/>
      <c r="G492" s="106"/>
      <c r="H492" s="2"/>
      <c r="I492" s="105"/>
      <c r="J492" s="2"/>
      <c r="K492" s="2"/>
      <c r="L492" s="2"/>
      <c r="M492" s="2"/>
      <c r="N492" s="107"/>
      <c r="O492" s="2"/>
      <c r="P492" s="2"/>
    </row>
    <row r="493">
      <c r="A493" s="104"/>
      <c r="B493" s="105"/>
      <c r="C493" s="2"/>
      <c r="D493" s="2"/>
      <c r="E493" s="2"/>
      <c r="F493" s="104"/>
      <c r="G493" s="106"/>
      <c r="H493" s="2"/>
      <c r="I493" s="105"/>
      <c r="J493" s="2"/>
      <c r="K493" s="2"/>
      <c r="L493" s="2"/>
      <c r="M493" s="2"/>
      <c r="N493" s="107"/>
      <c r="O493" s="2"/>
      <c r="P493" s="2"/>
    </row>
    <row r="494">
      <c r="A494" s="104"/>
      <c r="B494" s="105"/>
      <c r="C494" s="2"/>
      <c r="D494" s="2"/>
      <c r="E494" s="2"/>
      <c r="F494" s="104"/>
      <c r="G494" s="106"/>
      <c r="H494" s="2"/>
      <c r="I494" s="105"/>
      <c r="J494" s="2"/>
      <c r="K494" s="2"/>
      <c r="L494" s="2"/>
      <c r="M494" s="2"/>
      <c r="N494" s="107"/>
      <c r="O494" s="2"/>
      <c r="P494" s="2"/>
    </row>
    <row r="495">
      <c r="A495" s="104"/>
      <c r="B495" s="105"/>
      <c r="C495" s="2"/>
      <c r="D495" s="2"/>
      <c r="E495" s="2"/>
      <c r="F495" s="104"/>
      <c r="G495" s="106"/>
      <c r="H495" s="2"/>
      <c r="I495" s="105"/>
      <c r="J495" s="2"/>
      <c r="K495" s="2"/>
      <c r="L495" s="2"/>
      <c r="M495" s="2"/>
      <c r="N495" s="107"/>
      <c r="O495" s="2"/>
      <c r="P495" s="2"/>
    </row>
    <row r="496">
      <c r="A496" s="104"/>
      <c r="B496" s="105"/>
      <c r="C496" s="2"/>
      <c r="D496" s="2"/>
      <c r="E496" s="2"/>
      <c r="F496" s="104"/>
      <c r="G496" s="106"/>
      <c r="H496" s="2"/>
      <c r="I496" s="105"/>
      <c r="J496" s="2"/>
      <c r="K496" s="2"/>
      <c r="L496" s="2"/>
      <c r="M496" s="2"/>
      <c r="N496" s="107"/>
      <c r="O496" s="2"/>
      <c r="P496" s="2"/>
    </row>
    <row r="497">
      <c r="A497" s="104"/>
      <c r="B497" s="105"/>
      <c r="C497" s="2"/>
      <c r="D497" s="2"/>
      <c r="E497" s="2"/>
      <c r="F497" s="104"/>
      <c r="G497" s="106"/>
      <c r="H497" s="2"/>
      <c r="I497" s="105"/>
      <c r="J497" s="2"/>
      <c r="K497" s="2"/>
      <c r="L497" s="2"/>
      <c r="M497" s="2"/>
      <c r="N497" s="107"/>
      <c r="O497" s="2"/>
      <c r="P497" s="2"/>
    </row>
    <row r="498">
      <c r="A498" s="104"/>
      <c r="B498" s="105"/>
      <c r="C498" s="2"/>
      <c r="D498" s="2"/>
      <c r="E498" s="2"/>
      <c r="F498" s="104"/>
      <c r="G498" s="106"/>
      <c r="H498" s="2"/>
      <c r="I498" s="105"/>
      <c r="J498" s="2"/>
      <c r="K498" s="2"/>
      <c r="L498" s="2"/>
      <c r="M498" s="2"/>
      <c r="N498" s="107"/>
      <c r="O498" s="2"/>
      <c r="P498" s="2"/>
    </row>
    <row r="499">
      <c r="A499" s="104"/>
      <c r="B499" s="105"/>
      <c r="C499" s="2"/>
      <c r="D499" s="2"/>
      <c r="E499" s="2"/>
      <c r="F499" s="104"/>
      <c r="G499" s="106"/>
      <c r="H499" s="2"/>
      <c r="I499" s="105"/>
      <c r="J499" s="2"/>
      <c r="K499" s="2"/>
      <c r="L499" s="2"/>
      <c r="M499" s="2"/>
      <c r="N499" s="107"/>
      <c r="O499" s="2"/>
      <c r="P499" s="2"/>
    </row>
    <row r="500">
      <c r="A500" s="104"/>
      <c r="B500" s="105"/>
      <c r="C500" s="2"/>
      <c r="D500" s="2"/>
      <c r="E500" s="2"/>
      <c r="F500" s="104"/>
      <c r="G500" s="106"/>
      <c r="H500" s="2"/>
      <c r="I500" s="105"/>
      <c r="J500" s="2"/>
      <c r="K500" s="2"/>
      <c r="L500" s="2"/>
      <c r="M500" s="2"/>
      <c r="N500" s="107"/>
      <c r="O500" s="2"/>
      <c r="P500" s="2"/>
    </row>
  </sheetData>
  <mergeCells count="3">
    <mergeCell ref="A1:O1"/>
    <mergeCell ref="A2:O2"/>
    <mergeCell ref="B3:D3"/>
  </mergeCells>
  <dataValidations>
    <dataValidation type="custom" allowBlank="1" showDropDown="1" showInputMessage="1" showErrorMessage="1" prompt="Ikki marta bosing — kalendar ochiladi" sqref="B4 D4">
      <formula1>OR(NOT(ISERROR(DATEVALUE(B4))), AND(ISNUMBER(B4), LEFT(CELL("format", B4))="D"))</formula1>
    </dataValidation>
    <dataValidation type="list" allowBlank="1" sqref="B3">
      <formula1>'Xarajat puli'!$P$1:$P$20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3C2D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5.13"/>
    <col customWidth="1" min="2" max="2" width="15.13"/>
    <col customWidth="1" min="3" max="3" width="8.88"/>
    <col customWidth="1" min="4" max="4" width="9.63"/>
    <col customWidth="1" min="5" max="5" width="12.5"/>
    <col customWidth="1" min="6" max="6" width="12.25"/>
    <col customWidth="1" min="7" max="7" width="15.13"/>
    <col customWidth="1" min="8" max="8" width="11.38"/>
    <col customWidth="1" min="9" max="9" width="23.88"/>
    <col customWidth="1" min="10" max="10" width="40.13"/>
    <col customWidth="1" min="11" max="11" width="13.88"/>
    <col customWidth="1" min="12" max="12" width="5.13"/>
    <col hidden="1" min="25" max="26" width="12.63"/>
  </cols>
  <sheetData>
    <row r="1" ht="36.0" customHeight="1">
      <c r="A1" s="1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tr">
        <f>IFERROR(__xludf.DUMMYFUNCTION("ARRAYFORMULA(IFERROR(IF(COUNTIF(Ishchilar!B:B,$B$3),$B$3,INDEX(FILTER(Ishchilar!B2:B1001,Ishchilar!B2:B1001&lt;&gt;"""",ISNUMBER(SEARCH("" ""&amp;Ishchilar!B2:B1001&amp;"" "","" ""&amp;SUBSTITUTE(SUBSTITUTE($B$3&amp;"""",""°"","" ""),""•"","" "")&amp;"" ""))),1)),$B$3))"),"Dilmurod")</f>
        <v>Dilmurod</v>
      </c>
      <c r="Z1" s="2">
        <f>IFERROR(__xludf.DUMMYFUNCTION("LET(a,{Ishchilar!B2:B1001;IFERROR(FILTER(Amallar!R2:R1001,Amallar!K2:K1001=""oylik""),"""")},SORT(UNIQUE(FILTER(a,a&lt;&gt;""""))))"),3.0)</f>
        <v>3</v>
      </c>
    </row>
    <row r="2" ht="21.0" customHeight="1">
      <c r="A2" s="3" t="s">
        <v>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tr">
        <f>IFERROR(__xludf.DUMMYFUNCTION("ARRAYFORMULA(IFERROR(IF(COUNTIF(Xodimlar!B:B,$B$3),$B$3,INDEX(FILTER(Xodimlar!B2:B1001,Xodimlar!B2:B1001&lt;&gt;"""",ISNUMBER(SEARCH("" ""&amp;$B$3&amp;"" "","" ""&amp;SUBSTITUTE(SUBSTITUTE(Xodimlar!B2:B1001&amp;"""",""°"","" ""),""•"","" "")&amp;"" ""))),1)),$B$3))"),"Dilmurod")</f>
        <v>Dilmurod</v>
      </c>
      <c r="Z2" s="2" t="str">
        <f>IFERROR(__xludf.DUMMYFUNCTION("""COMPUTED_VALUE"""),"Axmadilla")</f>
        <v>Axmadilla</v>
      </c>
    </row>
    <row r="3" ht="25.5" customHeight="1">
      <c r="A3" s="4" t="s">
        <v>6</v>
      </c>
      <c r="B3" s="5" t="s">
        <v>10</v>
      </c>
      <c r="C3" s="6"/>
      <c r="D3" s="7"/>
      <c r="E3" s="8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 t="str">
        <f>IFERROR(__xludf.DUMMYFUNCTION("""COMPUTED_VALUE"""),"Baxodir")</f>
        <v>Baxodir</v>
      </c>
    </row>
    <row r="4" ht="25.5" customHeight="1">
      <c r="A4" s="4" t="s">
        <v>14</v>
      </c>
      <c r="B4" s="9">
        <v>46289.0</v>
      </c>
      <c r="C4" s="10" t="s">
        <v>15</v>
      </c>
      <c r="D4" s="9">
        <v>46319.0</v>
      </c>
      <c r="E4" s="8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 t="str">
        <f>IFERROR(__xludf.DUMMYFUNCTION("""COMPUTED_VALUE"""),"Dilmurod")</f>
        <v>Dilmurod</v>
      </c>
    </row>
    <row r="5">
      <c r="A5" s="4" t="s">
        <v>19</v>
      </c>
      <c r="B5" s="19" t="str">
        <f t="array" ref="B5">IFERROR(INDEX(Ishchilar!A:A,MATCH($Y$1,Ishchilar!B:B,0))&amp;IF(INDEX(Ishchilar!C:C,MATCH($Y$1,Ishchilar!B:B,0))="",""," · "&amp;INDEX(Ishchilar!C:C,MATCH($Y$1,Ishchilar!B:B,0))),"—")</f>
        <v>1-komanda (sborka-ustanovka) · bosh usta</v>
      </c>
      <c r="C5" s="19"/>
      <c r="D5" s="1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 t="str">
        <f>IFERROR(__xludf.DUMMYFUNCTION("""COMPUTED_VALUE"""),"Doston")</f>
        <v>Doston</v>
      </c>
    </row>
    <row r="6">
      <c r="A6" s="20"/>
      <c r="B6" s="2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 t="str">
        <f>IFERROR(__xludf.DUMMYFUNCTION("""COMPUTED_VALUE"""),"Elbek")</f>
        <v>Elbek</v>
      </c>
    </row>
    <row r="7" ht="22.5" customHeight="1">
      <c r="A7" s="21" t="s">
        <v>26</v>
      </c>
      <c r="B7" s="22"/>
      <c r="C7" s="16" t="s">
        <v>27</v>
      </c>
      <c r="D7" s="22"/>
      <c r="E7" s="24" t="s">
        <v>28</v>
      </c>
      <c r="F7" s="22"/>
      <c r="G7" s="25" t="s">
        <v>30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 t="str">
        <f>IFERROR(__xludf.DUMMYFUNCTION("""COMPUTED_VALUE"""),"Elyor")</f>
        <v>Elyor</v>
      </c>
    </row>
    <row r="8" ht="31.5" customHeight="1">
      <c r="A8" s="27">
        <f>SUMIFS(Amallar!G:G,Amallar!R:R,$Y$1,Amallar!K:K,"oylik",Amallar!F:F,"Chiqim",Amallar!S:S,"Avans",Amallar!B:B,"&gt;="&amp;$B$4,Amallar!B:B,"&lt;"&amp;($D$4+1),Amallar!Q:Q,"&lt;&gt;Ha")</f>
        <v>20991106</v>
      </c>
      <c r="B8" s="22"/>
      <c r="C8" s="35">
        <f>SUMIFS(Amallar!G:G,Amallar!R:R,$Y$1,Amallar!K:K,"oylik",Amallar!F:F,"Chiqim",Amallar!S:S,"Oylik",Amallar!B:B,"&gt;="&amp;$B$4,Amallar!B:B,"&lt;"&amp;($D$4+1),Amallar!Q:Q,"&lt;&gt;Ha")</f>
        <v>0</v>
      </c>
      <c r="D8" s="22"/>
      <c r="E8" s="35">
        <f>SUMIFS(Amallar!G:G,Amallar!R:R,$Y$1,Amallar!K:K,"oylik",Amallar!F:F,"Chiqim",Amallar!B:B,"&gt;="&amp;$B$4,Amallar!B:B,"&lt;"&amp;($D$4+1),Amallar!Q:Q,"&lt;&gt;Ha")</f>
        <v>20991106</v>
      </c>
      <c r="F8" s="22"/>
      <c r="G8" s="43" t="str">
        <f>COUNTIFS(Amallar!R:R,$Y$1,Amallar!K:K,"oylik",Amallar!F:F,"Chiqim",Amallar!B:B,"&gt;="&amp;$B$4,Amallar!B:B,"&lt;"&amp;($D$4+1),Amallar!Q:Q,"&lt;&gt;Ha")&amp;" marta · "&amp;IFERROR(TEXT(MAXIFS(Amallar!B:B,Amallar!R:R,$Y$1,Amallar!K:K,"oylik",Amallar!F:F,"Chiqim",Amallar!Q:Q,"&lt;&gt;Ha"),"dd.mm.yyyy"),"—")</f>
        <v>8 marta · 20.10.2026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tr">
        <f>IFERROR(__xludf.DUMMYFUNCTION("""COMPUTED_VALUE"""),"Islom")</f>
        <v>Islom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str">
        <f>IFERROR(__xludf.DUMMYFUNCTION("""COMPUTED_VALUE"""),"Izzatilla")</f>
        <v>Izzatilla</v>
      </c>
    </row>
    <row r="10" ht="22.5" customHeight="1">
      <c r="A10" s="31" t="s">
        <v>49</v>
      </c>
      <c r="B10" s="32"/>
      <c r="C10" s="32"/>
      <c r="D10" s="32"/>
      <c r="E10" s="31" t="s">
        <v>50</v>
      </c>
      <c r="F10" s="32"/>
      <c r="G10" s="32"/>
      <c r="H10" s="32"/>
      <c r="I10" s="32"/>
      <c r="J10" s="32"/>
      <c r="K10" s="32"/>
      <c r="L10" s="3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tr">
        <f>IFERROR(__xludf.DUMMYFUNCTION("""COMPUTED_VALUE"""),"Jalol")</f>
        <v>Jalol</v>
      </c>
    </row>
    <row r="11" ht="25.5" customHeight="1">
      <c r="A11" s="48" t="str">
        <f>IFERROR(__xludf.DUMMYFUNCTION("IFERROR(QUERY(FILTER({Amallar!E2:E1001,Amallar!G2:G1001},Amallar!R2:R1001=$Y$1,Amallar!K2:K1001=""oylik"",Amallar!F2:F1001=""Chiqim"",Amallar!Q2:Q1001&lt;&gt;""Ha"",Amallar!B2:B1001&gt;=$B$4,Amallar!B2:B1001&lt;$D$4+1),""select Col1, sum(Col2), count(Col2) group by C"&amp;"ol1 order by sum(Col2) desc label Col1 'Kim bergan', sum(Col2) 'Summa', count(Col2) 'Soni'"",0),""— oylik yo'q"")"),"Kim bergan")</f>
        <v>Kim bergan</v>
      </c>
      <c r="B11" s="48" t="str">
        <f>IFERROR(__xludf.DUMMYFUNCTION("""COMPUTED_VALUE"""),"Summa")</f>
        <v>Summa</v>
      </c>
      <c r="C11" s="48" t="str">
        <f>IFERROR(__xludf.DUMMYFUNCTION("""COMPUTED_VALUE"""),"Soni")</f>
        <v>Soni</v>
      </c>
      <c r="D11" s="34"/>
      <c r="E11" s="33" t="s">
        <v>37</v>
      </c>
      <c r="F11" s="33" t="s">
        <v>41</v>
      </c>
      <c r="G11" s="33" t="s">
        <v>38</v>
      </c>
      <c r="H11" s="33" t="s">
        <v>39</v>
      </c>
      <c r="I11" s="33" t="s">
        <v>51</v>
      </c>
      <c r="J11" s="33" t="s">
        <v>52</v>
      </c>
      <c r="K11" s="33" t="s">
        <v>42</v>
      </c>
      <c r="L11" s="5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tr">
        <f>IFERROR(__xludf.DUMMYFUNCTION("""COMPUTED_VALUE"""),"Jamshid")</f>
        <v>Jamshid</v>
      </c>
    </row>
    <row r="12" ht="18.0" customHeight="1">
      <c r="A12" s="52" t="str">
        <f>IFERROR(__xludf.DUMMYFUNCTION("""COMPUTED_VALUE"""),"МирМуxаммад Файзуллаев")</f>
        <v>МирМуxаммад Файзуллаев</v>
      </c>
      <c r="B12" s="53">
        <f>IFERROR(__xludf.DUMMYFUNCTION("""COMPUTED_VALUE"""),2.0751106E7)</f>
        <v>20751106</v>
      </c>
      <c r="C12" s="52">
        <f>IFERROR(__xludf.DUMMYFUNCTION("""COMPUTED_VALUE"""),5.0)</f>
        <v>5</v>
      </c>
      <c r="D12" s="2"/>
      <c r="E12" s="38">
        <f>IFERROR(__xludf.DUMMYFUNCTION("IFERROR(ARRAYFORMULA(SORT(FILTER({Amallar!B2:B1001,Amallar!C2:C1001,Amallar!G2:G1001,IF(Amallar!H2:H1001=""USD"",Amallar!I2:I1001&amp;"" $"",""""),Amallar!E2:E1001,Amallar!N2:N1001,IF(Amallar!S2:S1001=""Oylik"",""🧾 Oylik"",""💵 Avans"")},Amallar!R2:R1001=$Y$"&amp;"1,Amallar!K2:K1001=""oylik"",Amallar!F2:F1001=""Chiqim"",Amallar!Q2:Q1001&lt;&gt;""Ha"",Amallar!B2:B1001&gt;=$B$4,Amallar!B2:B1001&lt;$D$4+1),1,FALSE,2,FALSE)),""— bu davrda oylik yo'q"")"),46315.0)</f>
        <v>46315</v>
      </c>
      <c r="F12" s="42">
        <f>IFERROR(__xludf.DUMMYFUNCTION("""COMPUTED_VALUE"""),0.7770833333333333)</f>
        <v>0.7770833333</v>
      </c>
      <c r="G12" s="40">
        <f>IFERROR(__xludf.DUMMYFUNCTION("""COMPUTED_VALUE"""),3613416.0)</f>
        <v>3613416</v>
      </c>
      <c r="H12" s="54" t="str">
        <f>IFERROR(__xludf.DUMMYFUNCTION("""COMPUTED_VALUE"""),"300 $")</f>
        <v>300 $</v>
      </c>
      <c r="I12" s="54" t="str">
        <f>IFERROR(__xludf.DUMMYFUNCTION("""COMPUTED_VALUE"""),"МирМуxаммад Файзуллаев")</f>
        <v>МирМуxаммад Файзуллаев</v>
      </c>
      <c r="J12" s="54" t="str">
        <f>IFERROR(__xludf.DUMMYFUNCTION("""COMPUTED_VALUE"""),"oylik dilmurod elbek")</f>
        <v>oylik dilmurod elbek</v>
      </c>
      <c r="K12" s="54" t="str">
        <f>IFERROR(__xludf.DUMMYFUNCTION("""COMPUTED_VALUE"""),"💵 Avans")</f>
        <v>💵 Avans</v>
      </c>
      <c r="L12" s="5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tr">
        <f>IFERROR(__xludf.DUMMYFUNCTION("""COMPUTED_VALUE"""),"Jasur")</f>
        <v>Jasur</v>
      </c>
    </row>
    <row r="13" ht="18.0" customHeight="1">
      <c r="A13" s="41" t="str">
        <f>IFERROR(__xludf.DUMMYFUNCTION("""COMPUTED_VALUE"""),"°°•• Gafurov Islom ••°°")</f>
        <v>°°•• Gafurov Islom ••°°</v>
      </c>
      <c r="B13" s="47">
        <f>IFERROR(__xludf.DUMMYFUNCTION("""COMPUTED_VALUE"""),240000.0)</f>
        <v>240000</v>
      </c>
      <c r="C13" s="41">
        <f>IFERROR(__xludf.DUMMYFUNCTION("""COMPUTED_VALUE"""),3.0)</f>
        <v>3</v>
      </c>
      <c r="D13" s="2"/>
      <c r="E13" s="38">
        <f>IFERROR(__xludf.DUMMYFUNCTION("""COMPUTED_VALUE"""),46314.0)</f>
        <v>46314</v>
      </c>
      <c r="F13" s="42">
        <f>IFERROR(__xludf.DUMMYFUNCTION("""COMPUTED_VALUE"""),0.7194444444444444)</f>
        <v>0.7194444444</v>
      </c>
      <c r="G13" s="40">
        <f>IFERROR(__xludf.DUMMYFUNCTION("""COMPUTED_VALUE"""),3000000.0)</f>
        <v>3000000</v>
      </c>
      <c r="H13" s="54" t="str">
        <f>IFERROR(__xludf.DUMMYFUNCTION("""COMPUTED_VALUE"""),"")</f>
        <v/>
      </c>
      <c r="I13" s="54" t="str">
        <f>IFERROR(__xludf.DUMMYFUNCTION("""COMPUTED_VALUE"""),"МирМуxаммад Файзуллаев")</f>
        <v>МирМуxаммад Файзуллаев</v>
      </c>
      <c r="J13" s="54" t="str">
        <f>IFERROR(__xludf.DUMMYFUNCTION("""COMPUTED_VALUE"""),"oylik dilmurodaka shogirtga")</f>
        <v>oylik dilmurodaka shogirtga</v>
      </c>
      <c r="K13" s="54" t="str">
        <f>IFERROR(__xludf.DUMMYFUNCTION("""COMPUTED_VALUE"""),"💵 Avans")</f>
        <v>💵 Avans</v>
      </c>
      <c r="L13" s="5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tr">
        <f>IFERROR(__xludf.DUMMYFUNCTION("""COMPUTED_VALUE"""),"Jumaka")</f>
        <v>Jumaka</v>
      </c>
    </row>
    <row r="14" ht="18.0" customHeight="1">
      <c r="A14" s="41"/>
      <c r="B14" s="47"/>
      <c r="C14" s="41"/>
      <c r="D14" s="2"/>
      <c r="E14" s="38">
        <f>IFERROR(__xludf.DUMMYFUNCTION("""COMPUTED_VALUE"""),46307.0)</f>
        <v>46307</v>
      </c>
      <c r="F14" s="42">
        <f>IFERROR(__xludf.DUMMYFUNCTION("""COMPUTED_VALUE"""),0.7201388888888889)</f>
        <v>0.7201388889</v>
      </c>
      <c r="G14" s="40">
        <f>IFERROR(__xludf.DUMMYFUNCTION("""COMPUTED_VALUE"""),1.18979E7)</f>
        <v>11897900</v>
      </c>
      <c r="H14" s="54" t="str">
        <f>IFERROR(__xludf.DUMMYFUNCTION("""COMPUTED_VALUE"""),"1000 $")</f>
        <v>1000 $</v>
      </c>
      <c r="I14" s="54" t="str">
        <f>IFERROR(__xludf.DUMMYFUNCTION("""COMPUTED_VALUE"""),"МирМуxаммад Файзуллаев")</f>
        <v>МирМуxаммад Файзуллаев</v>
      </c>
      <c r="J14" s="54" t="str">
        <f>IFERROR(__xludf.DUMMYFUNCTION("""COMPUTED_VALUE"""),"oylik dilmurodaka moshina arenda")</f>
        <v>oylik dilmurodaka moshina arenda</v>
      </c>
      <c r="K14" s="54" t="str">
        <f>IFERROR(__xludf.DUMMYFUNCTION("""COMPUTED_VALUE"""),"💵 Avans")</f>
        <v>💵 Avans</v>
      </c>
      <c r="L14" s="5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tr">
        <f>IFERROR(__xludf.DUMMYFUNCTION("""COMPUTED_VALUE"""),"Maftuna")</f>
        <v>Maftuna</v>
      </c>
    </row>
    <row r="15" ht="18.0" customHeight="1">
      <c r="A15" s="41"/>
      <c r="B15" s="47"/>
      <c r="C15" s="41"/>
      <c r="D15" s="2"/>
      <c r="E15" s="38">
        <f>IFERROR(__xludf.DUMMYFUNCTION("""COMPUTED_VALUE"""),46307.0)</f>
        <v>46307</v>
      </c>
      <c r="F15" s="42">
        <f>IFERROR(__xludf.DUMMYFUNCTION("""COMPUTED_VALUE"""),0.7152777777777778)</f>
        <v>0.7152777778</v>
      </c>
      <c r="G15" s="40">
        <f>IFERROR(__xludf.DUMMYFUNCTION("""COMPUTED_VALUE"""),1189790.0)</f>
        <v>1189790</v>
      </c>
      <c r="H15" s="54" t="str">
        <f>IFERROR(__xludf.DUMMYFUNCTION("""COMPUTED_VALUE"""),"100 $")</f>
        <v>100 $</v>
      </c>
      <c r="I15" s="54" t="str">
        <f>IFERROR(__xludf.DUMMYFUNCTION("""COMPUTED_VALUE"""),"МирМуxаммад Файзуллаев")</f>
        <v>МирМуxаммад Файзуллаев</v>
      </c>
      <c r="J15" s="54" t="str">
        <f>IFERROR(__xludf.DUMMYFUNCTION("""COMPUTED_VALUE"""),"oylik dilmurodaka tugilgan kun")</f>
        <v>oylik dilmurodaka tugilgan kun</v>
      </c>
      <c r="K15" s="54" t="str">
        <f>IFERROR(__xludf.DUMMYFUNCTION("""COMPUTED_VALUE"""),"💵 Avans")</f>
        <v>💵 Avans</v>
      </c>
      <c r="L15" s="5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 t="str">
        <f>IFERROR(__xludf.DUMMYFUNCTION("""COMPUTED_VALUE"""),"Mexriniso")</f>
        <v>Mexriniso</v>
      </c>
    </row>
    <row r="16" ht="18.0" customHeight="1">
      <c r="A16" s="41"/>
      <c r="B16" s="47"/>
      <c r="C16" s="41"/>
      <c r="D16" s="2"/>
      <c r="E16" s="38">
        <f>IFERROR(__xludf.DUMMYFUNCTION("""COMPUTED_VALUE"""),46307.0)</f>
        <v>46307</v>
      </c>
      <c r="F16" s="42">
        <f>IFERROR(__xludf.DUMMYFUNCTION("""COMPUTED_VALUE"""),0.6694444444444444)</f>
        <v>0.6694444444</v>
      </c>
      <c r="G16" s="40">
        <f>IFERROR(__xludf.DUMMYFUNCTION("""COMPUTED_VALUE"""),1050000.0)</f>
        <v>1050000</v>
      </c>
      <c r="H16" s="54" t="str">
        <f>IFERROR(__xludf.DUMMYFUNCTION("""COMPUTED_VALUE"""),"")</f>
        <v/>
      </c>
      <c r="I16" s="54" t="str">
        <f>IFERROR(__xludf.DUMMYFUNCTION("""COMPUTED_VALUE"""),"МирМуxаммад Файзуллаев")</f>
        <v>МирМуxаммад Файзуллаев</v>
      </c>
      <c r="J16" s="54" t="str">
        <f>IFERROR(__xludf.DUMMYFUNCTION("""COMPUTED_VALUE"""),"oylik dilmurodaka shogirtga berganla")</f>
        <v>oylik dilmurodaka shogirtga berganla</v>
      </c>
      <c r="K16" s="54" t="str">
        <f>IFERROR(__xludf.DUMMYFUNCTION("""COMPUTED_VALUE"""),"💵 Avans")</f>
        <v>💵 Avans</v>
      </c>
      <c r="L16" s="5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 t="str">
        <f>IFERROR(__xludf.DUMMYFUNCTION("""COMPUTED_VALUE"""),"Mirjamol")</f>
        <v>Mirjamol</v>
      </c>
    </row>
    <row r="17" ht="18.0" customHeight="1">
      <c r="A17" s="41"/>
      <c r="B17" s="47"/>
      <c r="C17" s="41"/>
      <c r="D17" s="2"/>
      <c r="E17" s="38">
        <f>IFERROR(__xludf.DUMMYFUNCTION("""COMPUTED_VALUE"""),46305.0)</f>
        <v>46305</v>
      </c>
      <c r="F17" s="42">
        <f>IFERROR(__xludf.DUMMYFUNCTION("""COMPUTED_VALUE"""),0.8243055555555555)</f>
        <v>0.8243055556</v>
      </c>
      <c r="G17" s="40">
        <f>IFERROR(__xludf.DUMMYFUNCTION("""COMPUTED_VALUE"""),20000.0)</f>
        <v>20000</v>
      </c>
      <c r="H17" s="54" t="str">
        <f>IFERROR(__xludf.DUMMYFUNCTION("""COMPUTED_VALUE"""),"")</f>
        <v/>
      </c>
      <c r="I17" s="54" t="str">
        <f>IFERROR(__xludf.DUMMYFUNCTION("""COMPUTED_VALUE"""),"°°•• Gafurov Islom ••°°")</f>
        <v>°°•• Gafurov Islom ••°°</v>
      </c>
      <c r="J17" s="54" t="str">
        <f>IFERROR(__xludf.DUMMYFUNCTION("""COMPUTED_VALUE"""),"Стадион Элбек ойлик")</f>
        <v>Стадион Элбек ойлик</v>
      </c>
      <c r="K17" s="54" t="str">
        <f>IFERROR(__xludf.DUMMYFUNCTION("""COMPUTED_VALUE"""),"💵 Avans")</f>
        <v>💵 Avans</v>
      </c>
      <c r="L17" s="5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tr">
        <f>IFERROR(__xludf.DUMMYFUNCTION("""COMPUTED_VALUE"""),"Mumina")</f>
        <v>Mumina</v>
      </c>
    </row>
    <row r="18" ht="18.0" customHeight="1">
      <c r="A18" s="41"/>
      <c r="B18" s="47"/>
      <c r="C18" s="41"/>
      <c r="D18" s="2"/>
      <c r="E18" s="38">
        <f>IFERROR(__xludf.DUMMYFUNCTION("""COMPUTED_VALUE"""),46305.0)</f>
        <v>46305</v>
      </c>
      <c r="F18" s="42">
        <f>IFERROR(__xludf.DUMMYFUNCTION("""COMPUTED_VALUE"""),0.8090277777777778)</f>
        <v>0.8090277778</v>
      </c>
      <c r="G18" s="40">
        <f>IFERROR(__xludf.DUMMYFUNCTION("""COMPUTED_VALUE"""),20000.0)</f>
        <v>20000</v>
      </c>
      <c r="H18" s="54" t="str">
        <f>IFERROR(__xludf.DUMMYFUNCTION("""COMPUTED_VALUE"""),"")</f>
        <v/>
      </c>
      <c r="I18" s="54" t="str">
        <f>IFERROR(__xludf.DUMMYFUNCTION("""COMPUTED_VALUE"""),"°°•• Gafurov Islom ••°°")</f>
        <v>°°•• Gafurov Islom ••°°</v>
      </c>
      <c r="J18" s="54" t="str">
        <f>IFERROR(__xludf.DUMMYFUNCTION("""COMPUTED_VALUE"""),"Стадион")</f>
        <v>Стадион</v>
      </c>
      <c r="K18" s="54" t="str">
        <f>IFERROR(__xludf.DUMMYFUNCTION("""COMPUTED_VALUE"""),"💵 Avans")</f>
        <v>💵 Avans</v>
      </c>
      <c r="L18" s="5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tr">
        <f>IFERROR(__xludf.DUMMYFUNCTION("""COMPUTED_VALUE"""),"Muxabbat opa")</f>
        <v>Muxabbat opa</v>
      </c>
    </row>
    <row r="19" ht="18.0" customHeight="1">
      <c r="A19" s="41"/>
      <c r="B19" s="47"/>
      <c r="C19" s="41"/>
      <c r="D19" s="2"/>
      <c r="E19" s="38">
        <f>IFERROR(__xludf.DUMMYFUNCTION("""COMPUTED_VALUE"""),46305.0)</f>
        <v>46305</v>
      </c>
      <c r="F19" s="42">
        <f>IFERROR(__xludf.DUMMYFUNCTION("""COMPUTED_VALUE"""),0.0625)</f>
        <v>0.0625</v>
      </c>
      <c r="G19" s="40">
        <f>IFERROR(__xludf.DUMMYFUNCTION("""COMPUTED_VALUE"""),200000.0)</f>
        <v>200000</v>
      </c>
      <c r="H19" s="54" t="str">
        <f>IFERROR(__xludf.DUMMYFUNCTION("""COMPUTED_VALUE"""),"")</f>
        <v/>
      </c>
      <c r="I19" s="54" t="str">
        <f>IFERROR(__xludf.DUMMYFUNCTION("""COMPUTED_VALUE"""),"°°•• Gafurov Islom ••°°")</f>
        <v>°°•• Gafurov Islom ••°°</v>
      </c>
      <c r="J19" s="54" t="str">
        <f>IFERROR(__xludf.DUMMYFUNCTION("""COMPUTED_VALUE"""),"Элбек аванс")</f>
        <v>Элбек аванс</v>
      </c>
      <c r="K19" s="54" t="str">
        <f>IFERROR(__xludf.DUMMYFUNCTION("""COMPUTED_VALUE"""),"💵 Avans")</f>
        <v>💵 Avans</v>
      </c>
      <c r="L19" s="5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 t="str">
        <f>IFERROR(__xludf.DUMMYFUNCTION("""COMPUTED_VALUE"""),"Nafisa")</f>
        <v>Nafisa</v>
      </c>
    </row>
    <row r="20" ht="18.0" customHeight="1">
      <c r="A20" s="41"/>
      <c r="B20" s="47"/>
      <c r="C20" s="41"/>
      <c r="D20" s="2"/>
      <c r="E20" s="38"/>
      <c r="F20" s="42"/>
      <c r="G20" s="40"/>
      <c r="H20" s="54"/>
      <c r="I20" s="54"/>
      <c r="J20" s="54"/>
      <c r="K20" s="54"/>
      <c r="L20" s="5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tr">
        <f>IFERROR(__xludf.DUMMYFUNCTION("""COMPUTED_VALUE"""),"Nurilla")</f>
        <v>Nurilla</v>
      </c>
    </row>
    <row r="21" ht="18.0" customHeight="1">
      <c r="A21" s="41"/>
      <c r="B21" s="47"/>
      <c r="C21" s="41"/>
      <c r="D21" s="2"/>
      <c r="E21" s="38"/>
      <c r="F21" s="42"/>
      <c r="G21" s="40"/>
      <c r="H21" s="54"/>
      <c r="I21" s="54"/>
      <c r="J21" s="54"/>
      <c r="K21" s="54"/>
      <c r="L21" s="5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 t="str">
        <f>IFERROR(__xludf.DUMMYFUNCTION("""COMPUTED_VALUE"""),"Rovshan")</f>
        <v>Rovshan</v>
      </c>
    </row>
    <row r="22" ht="18.0" customHeight="1">
      <c r="A22" s="41"/>
      <c r="B22" s="47"/>
      <c r="C22" s="41"/>
      <c r="D22" s="2"/>
      <c r="E22" s="38"/>
      <c r="F22" s="42"/>
      <c r="G22" s="40"/>
      <c r="H22" s="54"/>
      <c r="I22" s="54"/>
      <c r="J22" s="54"/>
      <c r="K22" s="54"/>
      <c r="L22" s="5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 t="str">
        <f>IFERROR(__xludf.DUMMYFUNCTION("""COMPUTED_VALUE"""),"Shavkataka")</f>
        <v>Shavkataka</v>
      </c>
    </row>
    <row r="23" ht="18.0" customHeight="1">
      <c r="A23" s="41"/>
      <c r="B23" s="47"/>
      <c r="C23" s="41"/>
      <c r="D23" s="2"/>
      <c r="E23" s="38"/>
      <c r="F23" s="42"/>
      <c r="G23" s="40"/>
      <c r="H23" s="54"/>
      <c r="I23" s="54"/>
      <c r="J23" s="54"/>
      <c r="K23" s="54"/>
      <c r="L23" s="5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 t="str">
        <f>IFERROR(__xludf.DUMMYFUNCTION("""COMPUTED_VALUE"""),"Ulug'bek aka")</f>
        <v>Ulug'bek aka</v>
      </c>
    </row>
    <row r="24" ht="18.0" customHeight="1">
      <c r="A24" s="41"/>
      <c r="B24" s="47"/>
      <c r="C24" s="41"/>
      <c r="D24" s="2"/>
      <c r="E24" s="38"/>
      <c r="F24" s="42"/>
      <c r="G24" s="40"/>
      <c r="H24" s="54"/>
      <c r="I24" s="54"/>
      <c r="J24" s="54"/>
      <c r="K24" s="54"/>
      <c r="L24" s="5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tr">
        <f>IFERROR(__xludf.DUMMYFUNCTION("""COMPUTED_VALUE"""),"Umid")</f>
        <v>Umid</v>
      </c>
    </row>
    <row r="25" ht="18.0" customHeight="1">
      <c r="A25" s="41"/>
      <c r="B25" s="47"/>
      <c r="C25" s="41"/>
      <c r="D25" s="2"/>
      <c r="E25" s="38"/>
      <c r="F25" s="42"/>
      <c r="G25" s="40"/>
      <c r="H25" s="54"/>
      <c r="I25" s="54"/>
      <c r="J25" s="54"/>
      <c r="K25" s="54"/>
      <c r="L25" s="5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tr">
        <f>IFERROR(__xludf.DUMMYFUNCTION("""COMPUTED_VALUE"""),"Yulduz")</f>
        <v>Yulduz</v>
      </c>
    </row>
    <row r="26" ht="18.0" customHeight="1">
      <c r="A26" s="41"/>
      <c r="B26" s="47"/>
      <c r="C26" s="41"/>
      <c r="D26" s="2"/>
      <c r="E26" s="38"/>
      <c r="F26" s="42"/>
      <c r="G26" s="40"/>
      <c r="H26" s="54"/>
      <c r="I26" s="54"/>
      <c r="J26" s="54"/>
      <c r="K26" s="54"/>
      <c r="L26" s="5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41"/>
      <c r="B27" s="47"/>
      <c r="C27" s="41"/>
      <c r="D27" s="2"/>
      <c r="E27" s="38"/>
      <c r="F27" s="42"/>
      <c r="G27" s="40"/>
      <c r="H27" s="54"/>
      <c r="I27" s="54"/>
      <c r="J27" s="54"/>
      <c r="K27" s="54"/>
      <c r="L27" s="5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41"/>
      <c r="B28" s="47"/>
      <c r="C28" s="41"/>
      <c r="D28" s="2"/>
      <c r="E28" s="38"/>
      <c r="F28" s="42"/>
      <c r="G28" s="40"/>
      <c r="H28" s="54"/>
      <c r="I28" s="54"/>
      <c r="J28" s="54"/>
      <c r="K28" s="54"/>
      <c r="L28" s="5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41"/>
      <c r="B29" s="47"/>
      <c r="C29" s="41"/>
      <c r="D29" s="2"/>
      <c r="E29" s="38"/>
      <c r="F29" s="42"/>
      <c r="G29" s="40"/>
      <c r="H29" s="54"/>
      <c r="I29" s="54"/>
      <c r="J29" s="54"/>
      <c r="K29" s="54"/>
      <c r="L29" s="5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41"/>
      <c r="B30" s="47"/>
      <c r="C30" s="41"/>
      <c r="D30" s="2"/>
      <c r="E30" s="38"/>
      <c r="F30" s="42"/>
      <c r="G30" s="40"/>
      <c r="H30" s="54"/>
      <c r="I30" s="54"/>
      <c r="J30" s="54"/>
      <c r="K30" s="54"/>
      <c r="L30" s="5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41"/>
      <c r="B31" s="47"/>
      <c r="C31" s="41"/>
      <c r="D31" s="2"/>
      <c r="E31" s="38"/>
      <c r="F31" s="42"/>
      <c r="G31" s="40"/>
      <c r="H31" s="54"/>
      <c r="I31" s="54"/>
      <c r="J31" s="54"/>
      <c r="K31" s="54"/>
      <c r="L31" s="5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41"/>
      <c r="B32" s="47"/>
      <c r="C32" s="41"/>
      <c r="D32" s="2"/>
      <c r="E32" s="38"/>
      <c r="F32" s="42"/>
      <c r="G32" s="40"/>
      <c r="H32" s="54"/>
      <c r="I32" s="54"/>
      <c r="J32" s="54"/>
      <c r="K32" s="54"/>
      <c r="L32" s="5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41"/>
      <c r="B33" s="47"/>
      <c r="C33" s="41"/>
      <c r="D33" s="2"/>
      <c r="E33" s="38"/>
      <c r="F33" s="42"/>
      <c r="G33" s="40"/>
      <c r="H33" s="54"/>
      <c r="I33" s="54"/>
      <c r="J33" s="54"/>
      <c r="K33" s="54"/>
      <c r="L33" s="5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41"/>
      <c r="B34" s="47"/>
      <c r="C34" s="41"/>
      <c r="D34" s="2"/>
      <c r="E34" s="38"/>
      <c r="F34" s="42"/>
      <c r="G34" s="40"/>
      <c r="H34" s="54"/>
      <c r="I34" s="54"/>
      <c r="J34" s="54"/>
      <c r="K34" s="54"/>
      <c r="L34" s="5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41"/>
      <c r="B35" s="47"/>
      <c r="C35" s="41"/>
      <c r="D35" s="2"/>
      <c r="E35" s="38"/>
      <c r="F35" s="42"/>
      <c r="G35" s="40"/>
      <c r="H35" s="54"/>
      <c r="I35" s="54"/>
      <c r="J35" s="54"/>
      <c r="K35" s="54"/>
      <c r="L35" s="5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41"/>
      <c r="B36" s="47"/>
      <c r="C36" s="41"/>
      <c r="D36" s="2"/>
      <c r="E36" s="38"/>
      <c r="F36" s="42"/>
      <c r="G36" s="40"/>
      <c r="H36" s="54"/>
      <c r="I36" s="54"/>
      <c r="J36" s="54"/>
      <c r="K36" s="54"/>
      <c r="L36" s="5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41"/>
      <c r="B37" s="47"/>
      <c r="C37" s="41"/>
      <c r="D37" s="2"/>
      <c r="E37" s="38"/>
      <c r="F37" s="42"/>
      <c r="G37" s="40"/>
      <c r="H37" s="54"/>
      <c r="I37" s="54"/>
      <c r="J37" s="54"/>
      <c r="K37" s="54"/>
      <c r="L37" s="5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41"/>
      <c r="B38" s="47"/>
      <c r="C38" s="41"/>
      <c r="D38" s="2"/>
      <c r="E38" s="38"/>
      <c r="F38" s="42"/>
      <c r="G38" s="40"/>
      <c r="H38" s="54"/>
      <c r="I38" s="54"/>
      <c r="J38" s="54"/>
      <c r="K38" s="54"/>
      <c r="L38" s="5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41"/>
      <c r="B39" s="47"/>
      <c r="C39" s="41"/>
      <c r="D39" s="2"/>
      <c r="E39" s="38"/>
      <c r="F39" s="42"/>
      <c r="G39" s="40"/>
      <c r="H39" s="54"/>
      <c r="I39" s="54"/>
      <c r="J39" s="54"/>
      <c r="K39" s="54"/>
      <c r="L39" s="5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41"/>
      <c r="B40" s="47"/>
      <c r="C40" s="41"/>
      <c r="D40" s="2"/>
      <c r="E40" s="38"/>
      <c r="F40" s="42"/>
      <c r="G40" s="40"/>
      <c r="H40" s="54"/>
      <c r="I40" s="54"/>
      <c r="J40" s="54"/>
      <c r="K40" s="54"/>
      <c r="L40" s="5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41"/>
      <c r="B41" s="47"/>
      <c r="C41" s="41"/>
      <c r="D41" s="2"/>
      <c r="E41" s="38"/>
      <c r="F41" s="42"/>
      <c r="G41" s="40"/>
      <c r="H41" s="54"/>
      <c r="I41" s="54"/>
      <c r="J41" s="54"/>
      <c r="K41" s="54"/>
      <c r="L41" s="5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41"/>
      <c r="B42" s="47"/>
      <c r="C42" s="41"/>
      <c r="D42" s="2"/>
      <c r="E42" s="38"/>
      <c r="F42" s="42"/>
      <c r="G42" s="40"/>
      <c r="H42" s="54"/>
      <c r="I42" s="54"/>
      <c r="J42" s="54"/>
      <c r="K42" s="54"/>
      <c r="L42" s="5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41"/>
      <c r="B43" s="47"/>
      <c r="C43" s="41"/>
      <c r="D43" s="2"/>
      <c r="E43" s="38"/>
      <c r="F43" s="42"/>
      <c r="G43" s="40"/>
      <c r="H43" s="54"/>
      <c r="I43" s="54"/>
      <c r="J43" s="54"/>
      <c r="K43" s="54"/>
      <c r="L43" s="5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41"/>
      <c r="B44" s="47"/>
      <c r="C44" s="41"/>
      <c r="D44" s="2"/>
      <c r="E44" s="38"/>
      <c r="F44" s="42"/>
      <c r="G44" s="40"/>
      <c r="H44" s="54"/>
      <c r="I44" s="54"/>
      <c r="J44" s="54"/>
      <c r="K44" s="54"/>
      <c r="L44" s="5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41"/>
      <c r="B45" s="47"/>
      <c r="C45" s="41"/>
      <c r="D45" s="2"/>
      <c r="E45" s="38"/>
      <c r="F45" s="42"/>
      <c r="G45" s="40"/>
      <c r="H45" s="54"/>
      <c r="I45" s="54"/>
      <c r="J45" s="54"/>
      <c r="K45" s="54"/>
      <c r="L45" s="5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41"/>
      <c r="B46" s="47"/>
      <c r="C46" s="41"/>
      <c r="D46" s="2"/>
      <c r="E46" s="38"/>
      <c r="F46" s="42"/>
      <c r="G46" s="40"/>
      <c r="H46" s="54"/>
      <c r="I46" s="54"/>
      <c r="J46" s="54"/>
      <c r="K46" s="54"/>
      <c r="L46" s="5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41"/>
      <c r="B47" s="47"/>
      <c r="C47" s="41"/>
      <c r="D47" s="2"/>
      <c r="E47" s="38"/>
      <c r="F47" s="42"/>
      <c r="G47" s="40"/>
      <c r="H47" s="54"/>
      <c r="I47" s="54"/>
      <c r="J47" s="54"/>
      <c r="K47" s="54"/>
      <c r="L47" s="5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41"/>
      <c r="B48" s="47"/>
      <c r="C48" s="41"/>
      <c r="D48" s="2"/>
      <c r="E48" s="38"/>
      <c r="F48" s="42"/>
      <c r="G48" s="40"/>
      <c r="H48" s="54"/>
      <c r="I48" s="54"/>
      <c r="J48" s="54"/>
      <c r="K48" s="54"/>
      <c r="L48" s="5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41"/>
      <c r="B49" s="47"/>
      <c r="C49" s="41"/>
      <c r="D49" s="2"/>
      <c r="E49" s="38"/>
      <c r="F49" s="42"/>
      <c r="G49" s="40"/>
      <c r="H49" s="54"/>
      <c r="I49" s="54"/>
      <c r="J49" s="54"/>
      <c r="K49" s="54"/>
      <c r="L49" s="55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41"/>
      <c r="B50" s="47"/>
      <c r="C50" s="41"/>
      <c r="D50" s="2"/>
      <c r="E50" s="38"/>
      <c r="F50" s="42"/>
      <c r="G50" s="40"/>
      <c r="H50" s="54"/>
      <c r="I50" s="54"/>
      <c r="J50" s="54"/>
      <c r="K50" s="54"/>
      <c r="L50" s="5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41"/>
      <c r="B51" s="47"/>
      <c r="C51" s="41"/>
      <c r="D51" s="2"/>
      <c r="E51" s="38"/>
      <c r="F51" s="42"/>
      <c r="G51" s="40"/>
      <c r="H51" s="54"/>
      <c r="I51" s="54"/>
      <c r="J51" s="54"/>
      <c r="K51" s="54"/>
      <c r="L51" s="5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41"/>
      <c r="B52" s="47"/>
      <c r="C52" s="41"/>
      <c r="D52" s="2"/>
      <c r="E52" s="38"/>
      <c r="F52" s="42"/>
      <c r="G52" s="40"/>
      <c r="H52" s="54"/>
      <c r="I52" s="54"/>
      <c r="J52" s="54"/>
      <c r="K52" s="54"/>
      <c r="L52" s="5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41"/>
      <c r="B53" s="47"/>
      <c r="C53" s="41"/>
      <c r="D53" s="2"/>
      <c r="E53" s="38"/>
      <c r="F53" s="42"/>
      <c r="G53" s="40"/>
      <c r="H53" s="54"/>
      <c r="I53" s="54"/>
      <c r="J53" s="54"/>
      <c r="K53" s="54"/>
      <c r="L53" s="5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41"/>
      <c r="B54" s="47"/>
      <c r="C54" s="41"/>
      <c r="D54" s="2"/>
      <c r="E54" s="38"/>
      <c r="F54" s="42"/>
      <c r="G54" s="40"/>
      <c r="H54" s="54"/>
      <c r="I54" s="54"/>
      <c r="J54" s="54"/>
      <c r="K54" s="54"/>
      <c r="L54" s="5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41"/>
      <c r="B55" s="47"/>
      <c r="C55" s="41"/>
      <c r="D55" s="2"/>
      <c r="E55" s="38"/>
      <c r="F55" s="42"/>
      <c r="G55" s="40"/>
      <c r="H55" s="54"/>
      <c r="I55" s="54"/>
      <c r="J55" s="54"/>
      <c r="K55" s="54"/>
      <c r="L55" s="5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41"/>
      <c r="B56" s="47"/>
      <c r="C56" s="41"/>
      <c r="D56" s="2"/>
      <c r="E56" s="38"/>
      <c r="F56" s="42"/>
      <c r="G56" s="40"/>
      <c r="H56" s="54"/>
      <c r="I56" s="54"/>
      <c r="J56" s="54"/>
      <c r="K56" s="54"/>
      <c r="L56" s="5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41"/>
      <c r="B57" s="47"/>
      <c r="C57" s="41"/>
      <c r="D57" s="2"/>
      <c r="E57" s="38"/>
      <c r="F57" s="42"/>
      <c r="G57" s="40"/>
      <c r="H57" s="54"/>
      <c r="I57" s="54"/>
      <c r="J57" s="54"/>
      <c r="K57" s="54"/>
      <c r="L57" s="5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41"/>
      <c r="B58" s="47"/>
      <c r="C58" s="41"/>
      <c r="D58" s="2"/>
      <c r="E58" s="38"/>
      <c r="F58" s="42"/>
      <c r="G58" s="40"/>
      <c r="H58" s="54"/>
      <c r="I58" s="54"/>
      <c r="J58" s="54"/>
      <c r="K58" s="54"/>
      <c r="L58" s="5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41"/>
      <c r="B59" s="47"/>
      <c r="C59" s="41"/>
      <c r="D59" s="2"/>
      <c r="E59" s="38"/>
      <c r="F59" s="42"/>
      <c r="G59" s="40"/>
      <c r="H59" s="54"/>
      <c r="I59" s="54"/>
      <c r="J59" s="54"/>
      <c r="K59" s="54"/>
      <c r="L59" s="5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41"/>
      <c r="B60" s="47"/>
      <c r="C60" s="41"/>
      <c r="D60" s="2"/>
      <c r="E60" s="38"/>
      <c r="F60" s="42"/>
      <c r="G60" s="40"/>
      <c r="H60" s="54"/>
      <c r="I60" s="54"/>
      <c r="J60" s="54"/>
      <c r="K60" s="54"/>
      <c r="L60" s="5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41"/>
      <c r="B61" s="47"/>
      <c r="C61" s="41"/>
      <c r="D61" s="2"/>
      <c r="E61" s="38"/>
      <c r="F61" s="42"/>
      <c r="G61" s="40"/>
      <c r="H61" s="54"/>
      <c r="I61" s="54"/>
      <c r="J61" s="54"/>
      <c r="K61" s="54"/>
      <c r="L61" s="5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41"/>
      <c r="B62" s="47"/>
      <c r="C62" s="41"/>
      <c r="D62" s="2"/>
      <c r="E62" s="38"/>
      <c r="F62" s="42"/>
      <c r="G62" s="40"/>
      <c r="H62" s="54"/>
      <c r="I62" s="54"/>
      <c r="J62" s="54"/>
      <c r="K62" s="54"/>
      <c r="L62" s="5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41"/>
      <c r="B63" s="47"/>
      <c r="C63" s="41"/>
      <c r="D63" s="2"/>
      <c r="E63" s="38"/>
      <c r="F63" s="42"/>
      <c r="G63" s="40"/>
      <c r="H63" s="54"/>
      <c r="I63" s="54"/>
      <c r="J63" s="54"/>
      <c r="K63" s="54"/>
      <c r="L63" s="5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41"/>
      <c r="B64" s="47"/>
      <c r="C64" s="41"/>
      <c r="D64" s="2"/>
      <c r="E64" s="38"/>
      <c r="F64" s="42"/>
      <c r="G64" s="40"/>
      <c r="H64" s="54"/>
      <c r="I64" s="54"/>
      <c r="J64" s="54"/>
      <c r="K64" s="54"/>
      <c r="L64" s="5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41"/>
      <c r="B65" s="47"/>
      <c r="C65" s="41"/>
      <c r="D65" s="2"/>
      <c r="E65" s="38"/>
      <c r="F65" s="42"/>
      <c r="G65" s="40"/>
      <c r="H65" s="54"/>
      <c r="I65" s="54"/>
      <c r="J65" s="54"/>
      <c r="K65" s="54"/>
      <c r="L65" s="5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41"/>
      <c r="B66" s="47"/>
      <c r="C66" s="41"/>
      <c r="D66" s="2"/>
      <c r="E66" s="38"/>
      <c r="F66" s="42"/>
      <c r="G66" s="40"/>
      <c r="H66" s="54"/>
      <c r="I66" s="54"/>
      <c r="J66" s="54"/>
      <c r="K66" s="54"/>
      <c r="L66" s="5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41"/>
      <c r="B67" s="47"/>
      <c r="C67" s="41"/>
      <c r="D67" s="2"/>
      <c r="E67" s="38"/>
      <c r="F67" s="42"/>
      <c r="G67" s="40"/>
      <c r="H67" s="54"/>
      <c r="I67" s="54"/>
      <c r="J67" s="54"/>
      <c r="K67" s="54"/>
      <c r="L67" s="5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41"/>
      <c r="B68" s="47"/>
      <c r="C68" s="41"/>
      <c r="D68" s="2"/>
      <c r="E68" s="38"/>
      <c r="F68" s="42"/>
      <c r="G68" s="40"/>
      <c r="H68" s="54"/>
      <c r="I68" s="54"/>
      <c r="J68" s="54"/>
      <c r="K68" s="54"/>
      <c r="L68" s="5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41"/>
      <c r="B69" s="47"/>
      <c r="C69" s="41"/>
      <c r="D69" s="2"/>
      <c r="E69" s="38"/>
      <c r="F69" s="42"/>
      <c r="G69" s="40"/>
      <c r="H69" s="54"/>
      <c r="I69" s="54"/>
      <c r="J69" s="54"/>
      <c r="K69" s="54"/>
      <c r="L69" s="5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41"/>
      <c r="B70" s="47"/>
      <c r="C70" s="41"/>
      <c r="D70" s="2"/>
      <c r="E70" s="38"/>
      <c r="F70" s="42"/>
      <c r="G70" s="40"/>
      <c r="H70" s="54"/>
      <c r="I70" s="54"/>
      <c r="J70" s="54"/>
      <c r="K70" s="54"/>
      <c r="L70" s="5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41"/>
      <c r="B71" s="47"/>
      <c r="C71" s="41"/>
      <c r="D71" s="2"/>
      <c r="E71" s="38"/>
      <c r="F71" s="42"/>
      <c r="G71" s="40"/>
      <c r="H71" s="54"/>
      <c r="I71" s="54"/>
      <c r="J71" s="54"/>
      <c r="K71" s="54"/>
      <c r="L71" s="55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41"/>
      <c r="B72" s="47"/>
      <c r="C72" s="41"/>
      <c r="D72" s="2"/>
      <c r="E72" s="38"/>
      <c r="F72" s="42"/>
      <c r="G72" s="40"/>
      <c r="H72" s="54"/>
      <c r="I72" s="54"/>
      <c r="J72" s="54"/>
      <c r="K72" s="54"/>
      <c r="L72" s="55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41"/>
      <c r="B73" s="47"/>
      <c r="C73" s="41"/>
      <c r="D73" s="2"/>
      <c r="E73" s="38"/>
      <c r="F73" s="42"/>
      <c r="G73" s="40"/>
      <c r="H73" s="54"/>
      <c r="I73" s="54"/>
      <c r="J73" s="54"/>
      <c r="K73" s="54"/>
      <c r="L73" s="5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41"/>
      <c r="B74" s="47"/>
      <c r="C74" s="41"/>
      <c r="D74" s="2"/>
      <c r="E74" s="38"/>
      <c r="F74" s="42"/>
      <c r="G74" s="40"/>
      <c r="H74" s="54"/>
      <c r="I74" s="54"/>
      <c r="J74" s="54"/>
      <c r="K74" s="54"/>
      <c r="L74" s="5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41"/>
      <c r="B75" s="47"/>
      <c r="C75" s="41"/>
      <c r="D75" s="2"/>
      <c r="E75" s="38"/>
      <c r="F75" s="42"/>
      <c r="G75" s="40"/>
      <c r="H75" s="54"/>
      <c r="I75" s="54"/>
      <c r="J75" s="54"/>
      <c r="K75" s="54"/>
      <c r="L75" s="5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1"/>
      <c r="B76" s="47"/>
      <c r="C76" s="41"/>
      <c r="D76" s="2"/>
      <c r="E76" s="38"/>
      <c r="F76" s="42"/>
      <c r="G76" s="40"/>
      <c r="H76" s="54"/>
      <c r="I76" s="54"/>
      <c r="J76" s="54"/>
      <c r="K76" s="54"/>
      <c r="L76" s="5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41"/>
      <c r="B77" s="47"/>
      <c r="C77" s="41"/>
      <c r="D77" s="2"/>
      <c r="E77" s="38"/>
      <c r="F77" s="42"/>
      <c r="G77" s="40"/>
      <c r="H77" s="54"/>
      <c r="I77" s="54"/>
      <c r="J77" s="54"/>
      <c r="K77" s="54"/>
      <c r="L77" s="5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41"/>
      <c r="B78" s="47"/>
      <c r="C78" s="41"/>
      <c r="D78" s="2"/>
      <c r="E78" s="38"/>
      <c r="F78" s="42"/>
      <c r="G78" s="40"/>
      <c r="H78" s="54"/>
      <c r="I78" s="54"/>
      <c r="J78" s="54"/>
      <c r="K78" s="54"/>
      <c r="L78" s="5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41"/>
      <c r="B79" s="47"/>
      <c r="C79" s="41"/>
      <c r="D79" s="2"/>
      <c r="E79" s="38"/>
      <c r="F79" s="42"/>
      <c r="G79" s="40"/>
      <c r="H79" s="54"/>
      <c r="I79" s="54"/>
      <c r="J79" s="54"/>
      <c r="K79" s="54"/>
      <c r="L79" s="5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41"/>
      <c r="B80" s="47"/>
      <c r="C80" s="41"/>
      <c r="D80" s="2"/>
      <c r="E80" s="38"/>
      <c r="F80" s="42"/>
      <c r="G80" s="40"/>
      <c r="H80" s="54"/>
      <c r="I80" s="54"/>
      <c r="J80" s="54"/>
      <c r="K80" s="54"/>
      <c r="L80" s="5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41"/>
      <c r="B81" s="47"/>
      <c r="C81" s="41"/>
      <c r="D81" s="2"/>
      <c r="E81" s="38"/>
      <c r="F81" s="42"/>
      <c r="G81" s="40"/>
      <c r="H81" s="54"/>
      <c r="I81" s="54"/>
      <c r="J81" s="54"/>
      <c r="K81" s="54"/>
      <c r="L81" s="5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41"/>
      <c r="B82" s="47"/>
      <c r="C82" s="41"/>
      <c r="D82" s="2"/>
      <c r="E82" s="38"/>
      <c r="F82" s="42"/>
      <c r="G82" s="40"/>
      <c r="H82" s="54"/>
      <c r="I82" s="54"/>
      <c r="J82" s="54"/>
      <c r="K82" s="54"/>
      <c r="L82" s="5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41"/>
      <c r="B83" s="47"/>
      <c r="C83" s="41"/>
      <c r="D83" s="2"/>
      <c r="E83" s="38"/>
      <c r="F83" s="42"/>
      <c r="G83" s="40"/>
      <c r="H83" s="84"/>
      <c r="I83" s="84"/>
      <c r="J83" s="84"/>
      <c r="K83" s="84"/>
      <c r="L83" s="8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41"/>
      <c r="B84" s="47"/>
      <c r="C84" s="41"/>
      <c r="D84" s="2"/>
      <c r="E84" s="38"/>
      <c r="F84" s="42"/>
      <c r="G84" s="40"/>
      <c r="H84" s="84"/>
      <c r="I84" s="84"/>
      <c r="J84" s="84"/>
      <c r="K84" s="84"/>
      <c r="L84" s="8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41"/>
      <c r="B85" s="47"/>
      <c r="C85" s="41"/>
      <c r="D85" s="2"/>
      <c r="E85" s="38"/>
      <c r="F85" s="42"/>
      <c r="G85" s="40"/>
      <c r="H85" s="84"/>
      <c r="I85" s="84"/>
      <c r="J85" s="84"/>
      <c r="K85" s="84"/>
      <c r="L85" s="8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41"/>
      <c r="B86" s="47"/>
      <c r="C86" s="41"/>
      <c r="D86" s="2"/>
      <c r="E86" s="38"/>
      <c r="F86" s="42"/>
      <c r="G86" s="40"/>
      <c r="H86" s="84"/>
      <c r="I86" s="84"/>
      <c r="J86" s="84"/>
      <c r="K86" s="84"/>
      <c r="L86" s="8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41"/>
      <c r="B87" s="47"/>
      <c r="C87" s="41"/>
      <c r="D87" s="2"/>
      <c r="E87" s="38"/>
      <c r="F87" s="42"/>
      <c r="G87" s="40"/>
      <c r="H87" s="84"/>
      <c r="I87" s="84"/>
      <c r="J87" s="84"/>
      <c r="K87" s="84"/>
      <c r="L87" s="8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41"/>
      <c r="B88" s="47"/>
      <c r="C88" s="41"/>
      <c r="D88" s="2"/>
      <c r="E88" s="38"/>
      <c r="F88" s="42"/>
      <c r="G88" s="40"/>
      <c r="H88" s="84"/>
      <c r="I88" s="84"/>
      <c r="J88" s="84"/>
      <c r="K88" s="84"/>
      <c r="L88" s="8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41"/>
      <c r="B89" s="47"/>
      <c r="C89" s="41"/>
      <c r="D89" s="2"/>
      <c r="E89" s="38"/>
      <c r="F89" s="42"/>
      <c r="G89" s="40"/>
      <c r="H89" s="84"/>
      <c r="I89" s="84"/>
      <c r="J89" s="84"/>
      <c r="K89" s="84"/>
      <c r="L89" s="8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41"/>
      <c r="B90" s="47"/>
      <c r="C90" s="41"/>
      <c r="D90" s="2"/>
      <c r="E90" s="38"/>
      <c r="F90" s="42"/>
      <c r="G90" s="40"/>
      <c r="H90" s="84"/>
      <c r="I90" s="84"/>
      <c r="J90" s="84"/>
      <c r="K90" s="84"/>
      <c r="L90" s="8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41"/>
      <c r="B91" s="47"/>
      <c r="C91" s="41"/>
      <c r="D91" s="2"/>
      <c r="E91" s="38"/>
      <c r="F91" s="42"/>
      <c r="G91" s="40"/>
      <c r="H91" s="84"/>
      <c r="I91" s="84"/>
      <c r="J91" s="84"/>
      <c r="K91" s="84"/>
      <c r="L91" s="8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41"/>
      <c r="B92" s="47"/>
      <c r="C92" s="41"/>
      <c r="D92" s="2"/>
      <c r="E92" s="38"/>
      <c r="F92" s="42"/>
      <c r="G92" s="40"/>
      <c r="H92" s="84"/>
      <c r="I92" s="84"/>
      <c r="J92" s="84"/>
      <c r="K92" s="84"/>
      <c r="L92" s="85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41"/>
      <c r="B93" s="47"/>
      <c r="C93" s="41"/>
      <c r="D93" s="2"/>
      <c r="E93" s="38"/>
      <c r="F93" s="42"/>
      <c r="G93" s="40"/>
      <c r="H93" s="84"/>
      <c r="I93" s="84"/>
      <c r="J93" s="84"/>
      <c r="K93" s="84"/>
      <c r="L93" s="8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41"/>
      <c r="B94" s="47"/>
      <c r="C94" s="41"/>
      <c r="D94" s="2"/>
      <c r="E94" s="38"/>
      <c r="F94" s="42"/>
      <c r="G94" s="40"/>
      <c r="H94" s="84"/>
      <c r="I94" s="84"/>
      <c r="J94" s="84"/>
      <c r="K94" s="84"/>
      <c r="L94" s="8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41"/>
      <c r="B95" s="47"/>
      <c r="C95" s="41"/>
      <c r="D95" s="2"/>
      <c r="E95" s="38"/>
      <c r="F95" s="42"/>
      <c r="G95" s="40"/>
      <c r="H95" s="84"/>
      <c r="I95" s="84"/>
      <c r="J95" s="84"/>
      <c r="K95" s="84"/>
      <c r="L95" s="8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41"/>
      <c r="B96" s="47"/>
      <c r="C96" s="41"/>
      <c r="D96" s="2"/>
      <c r="E96" s="38"/>
      <c r="F96" s="42"/>
      <c r="G96" s="40"/>
      <c r="H96" s="84"/>
      <c r="I96" s="84"/>
      <c r="J96" s="84"/>
      <c r="K96" s="84"/>
      <c r="L96" s="8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41"/>
      <c r="B97" s="47"/>
      <c r="C97" s="41"/>
      <c r="D97" s="2"/>
      <c r="E97" s="38"/>
      <c r="F97" s="42"/>
      <c r="G97" s="40"/>
      <c r="H97" s="84"/>
      <c r="I97" s="84"/>
      <c r="J97" s="84"/>
      <c r="K97" s="84"/>
      <c r="L97" s="85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41"/>
      <c r="B98" s="47"/>
      <c r="C98" s="41"/>
      <c r="D98" s="2"/>
      <c r="E98" s="38"/>
      <c r="F98" s="42"/>
      <c r="G98" s="40"/>
      <c r="H98" s="84"/>
      <c r="I98" s="84"/>
      <c r="J98" s="84"/>
      <c r="K98" s="84"/>
      <c r="L98" s="85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41"/>
      <c r="B99" s="47"/>
      <c r="C99" s="41"/>
      <c r="D99" s="2"/>
      <c r="E99" s="38"/>
      <c r="F99" s="42"/>
      <c r="G99" s="40"/>
      <c r="H99" s="84"/>
      <c r="I99" s="84"/>
      <c r="J99" s="84"/>
      <c r="K99" s="84"/>
      <c r="L99" s="8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41"/>
      <c r="B100" s="47"/>
      <c r="C100" s="41"/>
      <c r="D100" s="2"/>
      <c r="E100" s="38"/>
      <c r="F100" s="42"/>
      <c r="G100" s="40"/>
      <c r="H100" s="84"/>
      <c r="I100" s="84"/>
      <c r="J100" s="84"/>
      <c r="K100" s="84"/>
      <c r="L100" s="8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41"/>
      <c r="B101" s="47"/>
      <c r="C101" s="41"/>
      <c r="D101" s="2"/>
      <c r="E101" s="38"/>
      <c r="F101" s="42"/>
      <c r="G101" s="40"/>
      <c r="H101" s="84"/>
      <c r="I101" s="84"/>
      <c r="J101" s="84"/>
      <c r="K101" s="84"/>
      <c r="L101" s="85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41"/>
      <c r="B102" s="47"/>
      <c r="C102" s="41"/>
      <c r="D102" s="2"/>
      <c r="E102" s="38"/>
      <c r="F102" s="42"/>
      <c r="G102" s="40"/>
      <c r="H102" s="84"/>
      <c r="I102" s="84"/>
      <c r="J102" s="84"/>
      <c r="K102" s="84"/>
      <c r="L102" s="8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41"/>
      <c r="B103" s="47"/>
      <c r="C103" s="41"/>
      <c r="D103" s="2"/>
      <c r="E103" s="38"/>
      <c r="F103" s="42"/>
      <c r="G103" s="40"/>
      <c r="H103" s="84"/>
      <c r="I103" s="84"/>
      <c r="J103" s="84"/>
      <c r="K103" s="84"/>
      <c r="L103" s="8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41"/>
      <c r="B104" s="47"/>
      <c r="C104" s="41"/>
      <c r="D104" s="2"/>
      <c r="E104" s="38"/>
      <c r="F104" s="42"/>
      <c r="G104" s="40"/>
      <c r="H104" s="84"/>
      <c r="I104" s="84"/>
      <c r="J104" s="84"/>
      <c r="K104" s="84"/>
      <c r="L104" s="8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41"/>
      <c r="B105" s="47"/>
      <c r="C105" s="41"/>
      <c r="D105" s="2"/>
      <c r="E105" s="38"/>
      <c r="F105" s="42"/>
      <c r="G105" s="40"/>
      <c r="H105" s="84"/>
      <c r="I105" s="84"/>
      <c r="J105" s="84"/>
      <c r="K105" s="84"/>
      <c r="L105" s="8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41"/>
      <c r="B106" s="47"/>
      <c r="C106" s="41"/>
      <c r="D106" s="2"/>
      <c r="E106" s="38"/>
      <c r="F106" s="42"/>
      <c r="G106" s="40"/>
      <c r="H106" s="84"/>
      <c r="I106" s="84"/>
      <c r="J106" s="84"/>
      <c r="K106" s="84"/>
      <c r="L106" s="85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41"/>
      <c r="B107" s="47"/>
      <c r="C107" s="41"/>
      <c r="D107" s="2"/>
      <c r="E107" s="38"/>
      <c r="F107" s="42"/>
      <c r="G107" s="40"/>
      <c r="H107" s="84"/>
      <c r="I107" s="84"/>
      <c r="J107" s="84"/>
      <c r="K107" s="84"/>
      <c r="L107" s="85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41"/>
      <c r="B108" s="47"/>
      <c r="C108" s="41"/>
      <c r="D108" s="2"/>
      <c r="E108" s="38"/>
      <c r="F108" s="42"/>
      <c r="G108" s="40"/>
      <c r="H108" s="84"/>
      <c r="I108" s="84"/>
      <c r="J108" s="84"/>
      <c r="K108" s="84"/>
      <c r="L108" s="8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41"/>
      <c r="B109" s="47"/>
      <c r="C109" s="41"/>
      <c r="D109" s="2"/>
      <c r="E109" s="38"/>
      <c r="F109" s="42"/>
      <c r="G109" s="40"/>
      <c r="H109" s="84"/>
      <c r="I109" s="84"/>
      <c r="J109" s="84"/>
      <c r="K109" s="84"/>
      <c r="L109" s="85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41"/>
      <c r="B110" s="47"/>
      <c r="C110" s="41"/>
      <c r="D110" s="2"/>
      <c r="E110" s="38"/>
      <c r="F110" s="42"/>
      <c r="G110" s="40"/>
      <c r="H110" s="84"/>
      <c r="I110" s="84"/>
      <c r="J110" s="84"/>
      <c r="K110" s="84"/>
      <c r="L110" s="85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41"/>
      <c r="B111" s="47"/>
      <c r="C111" s="41"/>
      <c r="D111" s="2"/>
      <c r="E111" s="38"/>
      <c r="F111" s="42"/>
      <c r="G111" s="40"/>
      <c r="H111" s="84"/>
      <c r="I111" s="84"/>
      <c r="J111" s="84"/>
      <c r="K111" s="84"/>
      <c r="L111" s="85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41"/>
      <c r="B112" s="47"/>
      <c r="C112" s="41"/>
      <c r="D112" s="2"/>
      <c r="E112" s="38"/>
      <c r="F112" s="42"/>
      <c r="G112" s="40"/>
      <c r="H112" s="84"/>
      <c r="I112" s="84"/>
      <c r="J112" s="84"/>
      <c r="K112" s="84"/>
      <c r="L112" s="85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41"/>
      <c r="B113" s="47"/>
      <c r="C113" s="41"/>
      <c r="D113" s="2"/>
      <c r="E113" s="38"/>
      <c r="F113" s="42"/>
      <c r="G113" s="40"/>
      <c r="H113" s="84"/>
      <c r="I113" s="84"/>
      <c r="J113" s="84"/>
      <c r="K113" s="84"/>
      <c r="L113" s="85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41"/>
      <c r="B114" s="47"/>
      <c r="C114" s="41"/>
      <c r="D114" s="2"/>
      <c r="E114" s="38"/>
      <c r="F114" s="42"/>
      <c r="G114" s="40"/>
      <c r="H114" s="84"/>
      <c r="I114" s="84"/>
      <c r="J114" s="84"/>
      <c r="K114" s="84"/>
      <c r="L114" s="85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41"/>
      <c r="B115" s="47"/>
      <c r="C115" s="41"/>
      <c r="D115" s="2"/>
      <c r="E115" s="38"/>
      <c r="F115" s="42"/>
      <c r="G115" s="40"/>
      <c r="H115" s="84"/>
      <c r="I115" s="84"/>
      <c r="J115" s="84"/>
      <c r="K115" s="84"/>
      <c r="L115" s="85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41"/>
      <c r="B116" s="47"/>
      <c r="C116" s="41"/>
      <c r="D116" s="2"/>
      <c r="E116" s="38"/>
      <c r="F116" s="42"/>
      <c r="G116" s="40"/>
      <c r="H116" s="84"/>
      <c r="I116" s="84"/>
      <c r="J116" s="84"/>
      <c r="K116" s="84"/>
      <c r="L116" s="85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41"/>
      <c r="B117" s="47"/>
      <c r="C117" s="41"/>
      <c r="D117" s="2"/>
      <c r="E117" s="38"/>
      <c r="F117" s="42"/>
      <c r="G117" s="40"/>
      <c r="H117" s="84"/>
      <c r="I117" s="84"/>
      <c r="J117" s="84"/>
      <c r="K117" s="84"/>
      <c r="L117" s="85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41"/>
      <c r="B118" s="47"/>
      <c r="C118" s="41"/>
      <c r="D118" s="2"/>
      <c r="E118" s="38"/>
      <c r="F118" s="42"/>
      <c r="G118" s="40"/>
      <c r="H118" s="84"/>
      <c r="I118" s="84"/>
      <c r="J118" s="84"/>
      <c r="K118" s="84"/>
      <c r="L118" s="85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41"/>
      <c r="B119" s="47"/>
      <c r="C119" s="41"/>
      <c r="D119" s="2"/>
      <c r="E119" s="38"/>
      <c r="F119" s="42"/>
      <c r="G119" s="40"/>
      <c r="H119" s="84"/>
      <c r="I119" s="84"/>
      <c r="J119" s="84"/>
      <c r="K119" s="84"/>
      <c r="L119" s="85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41"/>
      <c r="B120" s="47"/>
      <c r="C120" s="41"/>
      <c r="D120" s="2"/>
      <c r="E120" s="38"/>
      <c r="F120" s="42"/>
      <c r="G120" s="40"/>
      <c r="H120" s="84"/>
      <c r="I120" s="84"/>
      <c r="J120" s="84"/>
      <c r="K120" s="84"/>
      <c r="L120" s="85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41"/>
      <c r="B121" s="47"/>
      <c r="C121" s="41"/>
      <c r="D121" s="2"/>
      <c r="E121" s="38"/>
      <c r="F121" s="42"/>
      <c r="G121" s="40"/>
      <c r="H121" s="84"/>
      <c r="I121" s="84"/>
      <c r="J121" s="84"/>
      <c r="K121" s="84"/>
      <c r="L121" s="85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41"/>
      <c r="B122" s="47"/>
      <c r="C122" s="41"/>
      <c r="D122" s="2"/>
      <c r="E122" s="38"/>
      <c r="F122" s="42"/>
      <c r="G122" s="40"/>
      <c r="H122" s="84"/>
      <c r="I122" s="84"/>
      <c r="J122" s="84"/>
      <c r="K122" s="84"/>
      <c r="L122" s="85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41"/>
      <c r="B123" s="47"/>
      <c r="C123" s="41"/>
      <c r="D123" s="2"/>
      <c r="E123" s="38"/>
      <c r="F123" s="42"/>
      <c r="G123" s="40"/>
      <c r="H123" s="84"/>
      <c r="I123" s="84"/>
      <c r="J123" s="84"/>
      <c r="K123" s="84"/>
      <c r="L123" s="85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41"/>
      <c r="B124" s="47"/>
      <c r="C124" s="41"/>
      <c r="D124" s="2"/>
      <c r="E124" s="38"/>
      <c r="F124" s="42"/>
      <c r="G124" s="40"/>
      <c r="H124" s="84"/>
      <c r="I124" s="84"/>
      <c r="J124" s="84"/>
      <c r="K124" s="84"/>
      <c r="L124" s="85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41"/>
      <c r="B125" s="47"/>
      <c r="C125" s="41"/>
      <c r="D125" s="2"/>
      <c r="E125" s="38"/>
      <c r="F125" s="42"/>
      <c r="G125" s="40"/>
      <c r="H125" s="84"/>
      <c r="I125" s="84"/>
      <c r="J125" s="84"/>
      <c r="K125" s="84"/>
      <c r="L125" s="8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41"/>
      <c r="B126" s="47"/>
      <c r="C126" s="41"/>
      <c r="D126" s="2"/>
      <c r="E126" s="38"/>
      <c r="F126" s="42"/>
      <c r="G126" s="40"/>
      <c r="H126" s="84"/>
      <c r="I126" s="84"/>
      <c r="J126" s="84"/>
      <c r="K126" s="84"/>
      <c r="L126" s="85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41"/>
      <c r="B127" s="47"/>
      <c r="C127" s="41"/>
      <c r="D127" s="2"/>
      <c r="E127" s="38"/>
      <c r="F127" s="42"/>
      <c r="G127" s="40"/>
      <c r="H127" s="84"/>
      <c r="I127" s="84"/>
      <c r="J127" s="84"/>
      <c r="K127" s="84"/>
      <c r="L127" s="85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41"/>
      <c r="B128" s="47"/>
      <c r="C128" s="41"/>
      <c r="D128" s="2"/>
      <c r="E128" s="38"/>
      <c r="F128" s="42"/>
      <c r="G128" s="40"/>
      <c r="H128" s="84"/>
      <c r="I128" s="84"/>
      <c r="J128" s="84"/>
      <c r="K128" s="84"/>
      <c r="L128" s="85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41"/>
      <c r="B129" s="47"/>
      <c r="C129" s="41"/>
      <c r="D129" s="2"/>
      <c r="E129" s="38"/>
      <c r="F129" s="42"/>
      <c r="G129" s="40"/>
      <c r="H129" s="84"/>
      <c r="I129" s="84"/>
      <c r="J129" s="84"/>
      <c r="K129" s="84"/>
      <c r="L129" s="85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41"/>
      <c r="B130" s="47"/>
      <c r="C130" s="41"/>
      <c r="D130" s="2"/>
      <c r="E130" s="38"/>
      <c r="F130" s="42"/>
      <c r="G130" s="40"/>
      <c r="H130" s="84"/>
      <c r="I130" s="84"/>
      <c r="J130" s="84"/>
      <c r="K130" s="84"/>
      <c r="L130" s="85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41"/>
      <c r="B131" s="47"/>
      <c r="C131" s="41"/>
      <c r="D131" s="2"/>
      <c r="E131" s="38"/>
      <c r="F131" s="42"/>
      <c r="G131" s="40"/>
      <c r="H131" s="84"/>
      <c r="I131" s="84"/>
      <c r="J131" s="84"/>
      <c r="K131" s="84"/>
      <c r="L131" s="85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41"/>
      <c r="B132" s="47"/>
      <c r="C132" s="41"/>
      <c r="D132" s="2"/>
      <c r="E132" s="38"/>
      <c r="F132" s="42"/>
      <c r="G132" s="40"/>
      <c r="H132" s="84"/>
      <c r="I132" s="84"/>
      <c r="J132" s="84"/>
      <c r="K132" s="84"/>
      <c r="L132" s="85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41"/>
      <c r="B133" s="47"/>
      <c r="C133" s="41"/>
      <c r="D133" s="2"/>
      <c r="E133" s="38"/>
      <c r="F133" s="42"/>
      <c r="G133" s="40"/>
      <c r="H133" s="84"/>
      <c r="I133" s="84"/>
      <c r="J133" s="84"/>
      <c r="K133" s="84"/>
      <c r="L133" s="85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41"/>
      <c r="B134" s="47"/>
      <c r="C134" s="41"/>
      <c r="D134" s="2"/>
      <c r="E134" s="38"/>
      <c r="F134" s="42"/>
      <c r="G134" s="40"/>
      <c r="H134" s="84"/>
      <c r="I134" s="84"/>
      <c r="J134" s="84"/>
      <c r="K134" s="84"/>
      <c r="L134" s="85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41"/>
      <c r="B135" s="47"/>
      <c r="C135" s="41"/>
      <c r="D135" s="2"/>
      <c r="E135" s="38"/>
      <c r="F135" s="42"/>
      <c r="G135" s="40"/>
      <c r="H135" s="84"/>
      <c r="I135" s="84"/>
      <c r="J135" s="84"/>
      <c r="K135" s="84"/>
      <c r="L135" s="85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41"/>
      <c r="B136" s="47"/>
      <c r="C136" s="41"/>
      <c r="D136" s="2"/>
      <c r="E136" s="38"/>
      <c r="F136" s="42"/>
      <c r="G136" s="40"/>
      <c r="H136" s="84"/>
      <c r="I136" s="84"/>
      <c r="J136" s="84"/>
      <c r="K136" s="84"/>
      <c r="L136" s="85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41"/>
      <c r="B137" s="47"/>
      <c r="C137" s="41"/>
      <c r="D137" s="2"/>
      <c r="E137" s="38"/>
      <c r="F137" s="42"/>
      <c r="G137" s="40"/>
      <c r="H137" s="84"/>
      <c r="I137" s="84"/>
      <c r="J137" s="84"/>
      <c r="K137" s="84"/>
      <c r="L137" s="85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41"/>
      <c r="B138" s="47"/>
      <c r="C138" s="41"/>
      <c r="D138" s="2"/>
      <c r="E138" s="38"/>
      <c r="F138" s="42"/>
      <c r="G138" s="40"/>
      <c r="H138" s="84"/>
      <c r="I138" s="84"/>
      <c r="J138" s="84"/>
      <c r="K138" s="84"/>
      <c r="L138" s="85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41"/>
      <c r="B139" s="47"/>
      <c r="C139" s="41"/>
      <c r="D139" s="2"/>
      <c r="E139" s="38"/>
      <c r="F139" s="42"/>
      <c r="G139" s="40"/>
      <c r="H139" s="84"/>
      <c r="I139" s="84"/>
      <c r="J139" s="84"/>
      <c r="K139" s="84"/>
      <c r="L139" s="85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41"/>
      <c r="B140" s="47"/>
      <c r="C140" s="41"/>
      <c r="D140" s="2"/>
      <c r="E140" s="38"/>
      <c r="F140" s="42"/>
      <c r="G140" s="40"/>
      <c r="H140" s="84"/>
      <c r="I140" s="84"/>
      <c r="J140" s="84"/>
      <c r="K140" s="84"/>
      <c r="L140" s="8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41"/>
      <c r="B141" s="47"/>
      <c r="C141" s="41"/>
      <c r="D141" s="2"/>
      <c r="E141" s="38"/>
      <c r="F141" s="42"/>
      <c r="G141" s="40"/>
      <c r="H141" s="84"/>
      <c r="I141" s="84"/>
      <c r="J141" s="84"/>
      <c r="K141" s="84"/>
      <c r="L141" s="85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41"/>
      <c r="B142" s="47"/>
      <c r="C142" s="41"/>
      <c r="D142" s="2"/>
      <c r="E142" s="38"/>
      <c r="F142" s="42"/>
      <c r="G142" s="40"/>
      <c r="H142" s="84"/>
      <c r="I142" s="84"/>
      <c r="J142" s="84"/>
      <c r="K142" s="84"/>
      <c r="L142" s="85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41"/>
      <c r="B143" s="47"/>
      <c r="C143" s="41"/>
      <c r="D143" s="2"/>
      <c r="E143" s="38"/>
      <c r="F143" s="42"/>
      <c r="G143" s="40"/>
      <c r="H143" s="84"/>
      <c r="I143" s="84"/>
      <c r="J143" s="84"/>
      <c r="K143" s="84"/>
      <c r="L143" s="85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41"/>
      <c r="B144" s="47"/>
      <c r="C144" s="41"/>
      <c r="D144" s="2"/>
      <c r="E144" s="38"/>
      <c r="F144" s="42"/>
      <c r="G144" s="40"/>
      <c r="H144" s="84"/>
      <c r="I144" s="84"/>
      <c r="J144" s="84"/>
      <c r="K144" s="84"/>
      <c r="L144" s="85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41"/>
      <c r="B145" s="47"/>
      <c r="C145" s="41"/>
      <c r="D145" s="2"/>
      <c r="E145" s="38"/>
      <c r="F145" s="42"/>
      <c r="G145" s="40"/>
      <c r="H145" s="84"/>
      <c r="I145" s="84"/>
      <c r="J145" s="84"/>
      <c r="K145" s="84"/>
      <c r="L145" s="85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41"/>
      <c r="B146" s="47"/>
      <c r="C146" s="41"/>
      <c r="D146" s="2"/>
      <c r="E146" s="38"/>
      <c r="F146" s="42"/>
      <c r="G146" s="40"/>
      <c r="H146" s="84"/>
      <c r="I146" s="84"/>
      <c r="J146" s="84"/>
      <c r="K146" s="84"/>
      <c r="L146" s="85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41"/>
      <c r="B147" s="47"/>
      <c r="C147" s="41"/>
      <c r="D147" s="2"/>
      <c r="E147" s="38"/>
      <c r="F147" s="42"/>
      <c r="G147" s="40"/>
      <c r="H147" s="84"/>
      <c r="I147" s="84"/>
      <c r="J147" s="84"/>
      <c r="K147" s="84"/>
      <c r="L147" s="85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41"/>
      <c r="B148" s="47"/>
      <c r="C148" s="41"/>
      <c r="D148" s="2"/>
      <c r="E148" s="38"/>
      <c r="F148" s="42"/>
      <c r="G148" s="40"/>
      <c r="H148" s="84"/>
      <c r="I148" s="84"/>
      <c r="J148" s="84"/>
      <c r="K148" s="84"/>
      <c r="L148" s="85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41"/>
      <c r="B149" s="47"/>
      <c r="C149" s="41"/>
      <c r="D149" s="2"/>
      <c r="E149" s="38"/>
      <c r="F149" s="42"/>
      <c r="G149" s="40"/>
      <c r="H149" s="84"/>
      <c r="I149" s="84"/>
      <c r="J149" s="84"/>
      <c r="K149" s="84"/>
      <c r="L149" s="85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41"/>
      <c r="B150" s="47"/>
      <c r="C150" s="41"/>
      <c r="D150" s="2"/>
      <c r="E150" s="38"/>
      <c r="F150" s="42"/>
      <c r="G150" s="40"/>
      <c r="H150" s="84"/>
      <c r="I150" s="84"/>
      <c r="J150" s="84"/>
      <c r="K150" s="84"/>
      <c r="L150" s="85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41"/>
      <c r="B151" s="47"/>
      <c r="C151" s="41"/>
      <c r="D151" s="2"/>
      <c r="E151" s="38"/>
      <c r="F151" s="42"/>
      <c r="G151" s="40"/>
      <c r="H151" s="84"/>
      <c r="I151" s="84"/>
      <c r="J151" s="84"/>
      <c r="K151" s="84"/>
      <c r="L151" s="85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41"/>
      <c r="B152" s="47"/>
      <c r="C152" s="41"/>
      <c r="D152" s="2"/>
      <c r="E152" s="38"/>
      <c r="F152" s="42"/>
      <c r="G152" s="40"/>
      <c r="H152" s="84"/>
      <c r="I152" s="84"/>
      <c r="J152" s="84"/>
      <c r="K152" s="84"/>
      <c r="L152" s="85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41"/>
      <c r="B153" s="47"/>
      <c r="C153" s="41"/>
      <c r="D153" s="2"/>
      <c r="E153" s="38"/>
      <c r="F153" s="42"/>
      <c r="G153" s="40"/>
      <c r="H153" s="84"/>
      <c r="I153" s="84"/>
      <c r="J153" s="84"/>
      <c r="K153" s="84"/>
      <c r="L153" s="85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41"/>
      <c r="B154" s="47"/>
      <c r="C154" s="41"/>
      <c r="D154" s="2"/>
      <c r="E154" s="38"/>
      <c r="F154" s="42"/>
      <c r="G154" s="40"/>
      <c r="H154" s="84"/>
      <c r="I154" s="84"/>
      <c r="J154" s="84"/>
      <c r="K154" s="84"/>
      <c r="L154" s="85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41"/>
      <c r="B155" s="47"/>
      <c r="C155" s="41"/>
      <c r="D155" s="2"/>
      <c r="E155" s="38"/>
      <c r="F155" s="42"/>
      <c r="G155" s="40"/>
      <c r="H155" s="84"/>
      <c r="I155" s="84"/>
      <c r="J155" s="84"/>
      <c r="K155" s="84"/>
      <c r="L155" s="85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41"/>
      <c r="B156" s="47"/>
      <c r="C156" s="41"/>
      <c r="D156" s="2"/>
      <c r="E156" s="38"/>
      <c r="F156" s="42"/>
      <c r="G156" s="40"/>
      <c r="H156" s="84"/>
      <c r="I156" s="84"/>
      <c r="J156" s="84"/>
      <c r="K156" s="84"/>
      <c r="L156" s="85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41"/>
      <c r="B157" s="47"/>
      <c r="C157" s="41"/>
      <c r="D157" s="2"/>
      <c r="E157" s="38"/>
      <c r="F157" s="42"/>
      <c r="G157" s="40"/>
      <c r="H157" s="84"/>
      <c r="I157" s="84"/>
      <c r="J157" s="84"/>
      <c r="K157" s="84"/>
      <c r="L157" s="85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41"/>
      <c r="B158" s="47"/>
      <c r="C158" s="41"/>
      <c r="D158" s="2"/>
      <c r="E158" s="38"/>
      <c r="F158" s="42"/>
      <c r="G158" s="40"/>
      <c r="H158" s="84"/>
      <c r="I158" s="84"/>
      <c r="J158" s="84"/>
      <c r="K158" s="84"/>
      <c r="L158" s="85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41"/>
      <c r="B159" s="47"/>
      <c r="C159" s="41"/>
      <c r="D159" s="2"/>
      <c r="E159" s="38"/>
      <c r="F159" s="42"/>
      <c r="G159" s="40"/>
      <c r="H159" s="84"/>
      <c r="I159" s="84"/>
      <c r="J159" s="84"/>
      <c r="K159" s="84"/>
      <c r="L159" s="85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41"/>
      <c r="B160" s="47"/>
      <c r="C160" s="41"/>
      <c r="D160" s="2"/>
      <c r="E160" s="38"/>
      <c r="F160" s="42"/>
      <c r="G160" s="40"/>
      <c r="H160" s="84"/>
      <c r="I160" s="84"/>
      <c r="J160" s="84"/>
      <c r="K160" s="84"/>
      <c r="L160" s="85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41"/>
      <c r="B161" s="47"/>
      <c r="C161" s="41"/>
      <c r="D161" s="2"/>
      <c r="E161" s="38"/>
      <c r="F161" s="42"/>
      <c r="G161" s="40"/>
      <c r="H161" s="84"/>
      <c r="I161" s="84"/>
      <c r="J161" s="84"/>
      <c r="K161" s="84"/>
      <c r="L161" s="85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41"/>
      <c r="B162" s="47"/>
      <c r="C162" s="41"/>
      <c r="D162" s="2"/>
      <c r="E162" s="38"/>
      <c r="F162" s="42"/>
      <c r="G162" s="40"/>
      <c r="H162" s="84"/>
      <c r="I162" s="84"/>
      <c r="J162" s="84"/>
      <c r="K162" s="84"/>
      <c r="L162" s="85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41"/>
      <c r="B163" s="47"/>
      <c r="C163" s="41"/>
      <c r="D163" s="2"/>
      <c r="E163" s="38"/>
      <c r="F163" s="42"/>
      <c r="G163" s="40"/>
      <c r="H163" s="84"/>
      <c r="I163" s="84"/>
      <c r="J163" s="84"/>
      <c r="K163" s="84"/>
      <c r="L163" s="85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41"/>
      <c r="B164" s="47"/>
      <c r="C164" s="41"/>
      <c r="D164" s="2"/>
      <c r="E164" s="38"/>
      <c r="F164" s="42"/>
      <c r="G164" s="40"/>
      <c r="H164" s="84"/>
      <c r="I164" s="84"/>
      <c r="J164" s="84"/>
      <c r="K164" s="84"/>
      <c r="L164" s="85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41"/>
      <c r="B165" s="47"/>
      <c r="C165" s="41"/>
      <c r="D165" s="2"/>
      <c r="E165" s="38"/>
      <c r="F165" s="42"/>
      <c r="G165" s="40"/>
      <c r="H165" s="84"/>
      <c r="I165" s="84"/>
      <c r="J165" s="84"/>
      <c r="K165" s="84"/>
      <c r="L165" s="85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41"/>
      <c r="B166" s="47"/>
      <c r="C166" s="41"/>
      <c r="D166" s="2"/>
      <c r="E166" s="38"/>
      <c r="F166" s="42"/>
      <c r="G166" s="40"/>
      <c r="H166" s="84"/>
      <c r="I166" s="84"/>
      <c r="J166" s="84"/>
      <c r="K166" s="84"/>
      <c r="L166" s="85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41"/>
      <c r="B167" s="47"/>
      <c r="C167" s="41"/>
      <c r="D167" s="2"/>
      <c r="E167" s="38"/>
      <c r="F167" s="42"/>
      <c r="G167" s="40"/>
      <c r="H167" s="84"/>
      <c r="I167" s="84"/>
      <c r="J167" s="84"/>
      <c r="K167" s="84"/>
      <c r="L167" s="85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41"/>
      <c r="B168" s="47"/>
      <c r="C168" s="41"/>
      <c r="D168" s="2"/>
      <c r="E168" s="38"/>
      <c r="F168" s="42"/>
      <c r="G168" s="40"/>
      <c r="H168" s="84"/>
      <c r="I168" s="84"/>
      <c r="J168" s="84"/>
      <c r="K168" s="84"/>
      <c r="L168" s="85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41"/>
      <c r="B169" s="47"/>
      <c r="C169" s="41"/>
      <c r="D169" s="2"/>
      <c r="E169" s="38"/>
      <c r="F169" s="42"/>
      <c r="G169" s="40"/>
      <c r="H169" s="84"/>
      <c r="I169" s="84"/>
      <c r="J169" s="84"/>
      <c r="K169" s="84"/>
      <c r="L169" s="85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41"/>
      <c r="B170" s="47"/>
      <c r="C170" s="41"/>
      <c r="D170" s="2"/>
      <c r="E170" s="38"/>
      <c r="F170" s="42"/>
      <c r="G170" s="40"/>
      <c r="H170" s="84"/>
      <c r="I170" s="84"/>
      <c r="J170" s="84"/>
      <c r="K170" s="84"/>
      <c r="L170" s="85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41"/>
      <c r="B171" s="47"/>
      <c r="C171" s="41"/>
      <c r="D171" s="2"/>
      <c r="E171" s="38"/>
      <c r="F171" s="42"/>
      <c r="G171" s="40"/>
      <c r="H171" s="84"/>
      <c r="I171" s="84"/>
      <c r="J171" s="84"/>
      <c r="K171" s="84"/>
      <c r="L171" s="85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41"/>
      <c r="B172" s="47"/>
      <c r="C172" s="41"/>
      <c r="D172" s="2"/>
      <c r="E172" s="38"/>
      <c r="F172" s="42"/>
      <c r="G172" s="40"/>
      <c r="H172" s="84"/>
      <c r="I172" s="84"/>
      <c r="J172" s="84"/>
      <c r="K172" s="84"/>
      <c r="L172" s="85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41"/>
      <c r="B173" s="47"/>
      <c r="C173" s="41"/>
      <c r="D173" s="2"/>
      <c r="E173" s="38"/>
      <c r="F173" s="42"/>
      <c r="G173" s="40"/>
      <c r="H173" s="84"/>
      <c r="I173" s="84"/>
      <c r="J173" s="84"/>
      <c r="K173" s="84"/>
      <c r="L173" s="85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41"/>
      <c r="B174" s="47"/>
      <c r="C174" s="41"/>
      <c r="D174" s="2"/>
      <c r="E174" s="38"/>
      <c r="F174" s="42"/>
      <c r="G174" s="40"/>
      <c r="H174" s="84"/>
      <c r="I174" s="84"/>
      <c r="J174" s="84"/>
      <c r="K174" s="84"/>
      <c r="L174" s="85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41"/>
      <c r="B175" s="47"/>
      <c r="C175" s="41"/>
      <c r="D175" s="2"/>
      <c r="E175" s="38"/>
      <c r="F175" s="42"/>
      <c r="G175" s="40"/>
      <c r="H175" s="84"/>
      <c r="I175" s="84"/>
      <c r="J175" s="84"/>
      <c r="K175" s="84"/>
      <c r="L175" s="85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41"/>
      <c r="B176" s="47"/>
      <c r="C176" s="41"/>
      <c r="D176" s="2"/>
      <c r="E176" s="38"/>
      <c r="F176" s="42"/>
      <c r="G176" s="40"/>
      <c r="H176" s="84"/>
      <c r="I176" s="84"/>
      <c r="J176" s="84"/>
      <c r="K176" s="84"/>
      <c r="L176" s="85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41"/>
      <c r="B177" s="47"/>
      <c r="C177" s="41"/>
      <c r="D177" s="2"/>
      <c r="E177" s="38"/>
      <c r="F177" s="42"/>
      <c r="G177" s="40"/>
      <c r="H177" s="84"/>
      <c r="I177" s="84"/>
      <c r="J177" s="84"/>
      <c r="K177" s="84"/>
      <c r="L177" s="85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41"/>
      <c r="B178" s="47"/>
      <c r="C178" s="41"/>
      <c r="D178" s="2"/>
      <c r="E178" s="38"/>
      <c r="F178" s="42"/>
      <c r="G178" s="40"/>
      <c r="H178" s="84"/>
      <c r="I178" s="84"/>
      <c r="J178" s="84"/>
      <c r="K178" s="84"/>
      <c r="L178" s="85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41"/>
      <c r="B179" s="47"/>
      <c r="C179" s="41"/>
      <c r="D179" s="2"/>
      <c r="E179" s="38"/>
      <c r="F179" s="42"/>
      <c r="G179" s="40"/>
      <c r="H179" s="84"/>
      <c r="I179" s="84"/>
      <c r="J179" s="84"/>
      <c r="K179" s="84"/>
      <c r="L179" s="85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41"/>
      <c r="B180" s="47"/>
      <c r="C180" s="41"/>
      <c r="D180" s="2"/>
      <c r="E180" s="38"/>
      <c r="F180" s="42"/>
      <c r="G180" s="40"/>
      <c r="H180" s="84"/>
      <c r="I180" s="84"/>
      <c r="J180" s="84"/>
      <c r="K180" s="84"/>
      <c r="L180" s="85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41"/>
      <c r="B181" s="47"/>
      <c r="C181" s="41"/>
      <c r="D181" s="2"/>
      <c r="E181" s="38"/>
      <c r="F181" s="42"/>
      <c r="G181" s="40"/>
      <c r="H181" s="84"/>
      <c r="I181" s="84"/>
      <c r="J181" s="84"/>
      <c r="K181" s="84"/>
      <c r="L181" s="85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41"/>
      <c r="B182" s="47"/>
      <c r="C182" s="41"/>
      <c r="D182" s="2"/>
      <c r="E182" s="38"/>
      <c r="F182" s="42"/>
      <c r="G182" s="40"/>
      <c r="H182" s="84"/>
      <c r="I182" s="84"/>
      <c r="J182" s="84"/>
      <c r="K182" s="84"/>
      <c r="L182" s="85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41"/>
      <c r="B183" s="47"/>
      <c r="C183" s="41"/>
      <c r="D183" s="2"/>
      <c r="E183" s="38"/>
      <c r="F183" s="42"/>
      <c r="G183" s="40"/>
      <c r="H183" s="84"/>
      <c r="I183" s="84"/>
      <c r="J183" s="84"/>
      <c r="K183" s="84"/>
      <c r="L183" s="85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41"/>
      <c r="B184" s="47"/>
      <c r="C184" s="41"/>
      <c r="D184" s="2"/>
      <c r="E184" s="38"/>
      <c r="F184" s="42"/>
      <c r="G184" s="40"/>
      <c r="H184" s="84"/>
      <c r="I184" s="84"/>
      <c r="J184" s="84"/>
      <c r="K184" s="84"/>
      <c r="L184" s="85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41"/>
      <c r="B185" s="47"/>
      <c r="C185" s="41"/>
      <c r="D185" s="2"/>
      <c r="E185" s="38"/>
      <c r="F185" s="42"/>
      <c r="G185" s="40"/>
      <c r="H185" s="84"/>
      <c r="I185" s="84"/>
      <c r="J185" s="84"/>
      <c r="K185" s="84"/>
      <c r="L185" s="85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41"/>
      <c r="B186" s="47"/>
      <c r="C186" s="41"/>
      <c r="D186" s="2"/>
      <c r="E186" s="38"/>
      <c r="F186" s="42"/>
      <c r="G186" s="40"/>
      <c r="H186" s="84"/>
      <c r="I186" s="84"/>
      <c r="J186" s="84"/>
      <c r="K186" s="84"/>
      <c r="L186" s="85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41"/>
      <c r="B187" s="47"/>
      <c r="C187" s="41"/>
      <c r="D187" s="2"/>
      <c r="E187" s="38"/>
      <c r="F187" s="42"/>
      <c r="G187" s="40"/>
      <c r="H187" s="84"/>
      <c r="I187" s="84"/>
      <c r="J187" s="84"/>
      <c r="K187" s="84"/>
      <c r="L187" s="85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41"/>
      <c r="B188" s="47"/>
      <c r="C188" s="41"/>
      <c r="D188" s="2"/>
      <c r="E188" s="38"/>
      <c r="F188" s="42"/>
      <c r="G188" s="40"/>
      <c r="H188" s="84"/>
      <c r="I188" s="84"/>
      <c r="J188" s="84"/>
      <c r="K188" s="84"/>
      <c r="L188" s="85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41"/>
      <c r="B189" s="47"/>
      <c r="C189" s="41"/>
      <c r="D189" s="2"/>
      <c r="E189" s="38"/>
      <c r="F189" s="42"/>
      <c r="G189" s="40"/>
      <c r="H189" s="84"/>
      <c r="I189" s="84"/>
      <c r="J189" s="84"/>
      <c r="K189" s="84"/>
      <c r="L189" s="85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41"/>
      <c r="B190" s="47"/>
      <c r="C190" s="41"/>
      <c r="D190" s="2"/>
      <c r="E190" s="38"/>
      <c r="F190" s="42"/>
      <c r="G190" s="40"/>
      <c r="H190" s="84"/>
      <c r="I190" s="84"/>
      <c r="J190" s="84"/>
      <c r="K190" s="84"/>
      <c r="L190" s="85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41"/>
      <c r="B191" s="47"/>
      <c r="C191" s="41"/>
      <c r="D191" s="2"/>
      <c r="E191" s="38"/>
      <c r="F191" s="42"/>
      <c r="G191" s="40"/>
      <c r="H191" s="84"/>
      <c r="I191" s="84"/>
      <c r="J191" s="84"/>
      <c r="K191" s="84"/>
      <c r="L191" s="85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41"/>
      <c r="B192" s="47"/>
      <c r="C192" s="41"/>
      <c r="D192" s="2"/>
      <c r="E192" s="38"/>
      <c r="F192" s="42"/>
      <c r="G192" s="40"/>
      <c r="H192" s="84"/>
      <c r="I192" s="84"/>
      <c r="J192" s="84"/>
      <c r="K192" s="84"/>
      <c r="L192" s="85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41"/>
      <c r="B193" s="47"/>
      <c r="C193" s="41"/>
      <c r="D193" s="2"/>
      <c r="E193" s="38"/>
      <c r="F193" s="42"/>
      <c r="G193" s="40"/>
      <c r="H193" s="84"/>
      <c r="I193" s="84"/>
      <c r="J193" s="84"/>
      <c r="K193" s="84"/>
      <c r="L193" s="85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41"/>
      <c r="B194" s="47"/>
      <c r="C194" s="41"/>
      <c r="D194" s="2"/>
      <c r="E194" s="38"/>
      <c r="F194" s="42"/>
      <c r="G194" s="40"/>
      <c r="H194" s="84"/>
      <c r="I194" s="84"/>
      <c r="J194" s="84"/>
      <c r="K194" s="84"/>
      <c r="L194" s="85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41"/>
      <c r="B195" s="47"/>
      <c r="C195" s="41"/>
      <c r="D195" s="2"/>
      <c r="E195" s="38"/>
      <c r="F195" s="42"/>
      <c r="G195" s="40"/>
      <c r="H195" s="84"/>
      <c r="I195" s="84"/>
      <c r="J195" s="84"/>
      <c r="K195" s="84"/>
      <c r="L195" s="85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41"/>
      <c r="B196" s="47"/>
      <c r="C196" s="41"/>
      <c r="D196" s="2"/>
      <c r="E196" s="38"/>
      <c r="F196" s="42"/>
      <c r="G196" s="40"/>
      <c r="H196" s="84"/>
      <c r="I196" s="84"/>
      <c r="J196" s="84"/>
      <c r="K196" s="84"/>
      <c r="L196" s="85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41"/>
      <c r="B197" s="47"/>
      <c r="C197" s="41"/>
      <c r="D197" s="2"/>
      <c r="E197" s="38"/>
      <c r="F197" s="42"/>
      <c r="G197" s="40"/>
      <c r="H197" s="84"/>
      <c r="I197" s="84"/>
      <c r="J197" s="84"/>
      <c r="K197" s="84"/>
      <c r="L197" s="85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41"/>
      <c r="B198" s="47"/>
      <c r="C198" s="41"/>
      <c r="D198" s="2"/>
      <c r="E198" s="38"/>
      <c r="F198" s="42"/>
      <c r="G198" s="40"/>
      <c r="H198" s="84"/>
      <c r="I198" s="84"/>
      <c r="J198" s="84"/>
      <c r="K198" s="84"/>
      <c r="L198" s="85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41"/>
      <c r="B199" s="47"/>
      <c r="C199" s="41"/>
      <c r="D199" s="2"/>
      <c r="E199" s="38"/>
      <c r="F199" s="42"/>
      <c r="G199" s="40"/>
      <c r="H199" s="84"/>
      <c r="I199" s="84"/>
      <c r="J199" s="84"/>
      <c r="K199" s="84"/>
      <c r="L199" s="85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41"/>
      <c r="B200" s="47"/>
      <c r="C200" s="41"/>
      <c r="D200" s="2"/>
      <c r="E200" s="38"/>
      <c r="F200" s="42"/>
      <c r="G200" s="40"/>
      <c r="H200" s="84"/>
      <c r="I200" s="84"/>
      <c r="J200" s="84"/>
      <c r="K200" s="84"/>
      <c r="L200" s="85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41"/>
      <c r="B201" s="47"/>
      <c r="C201" s="41"/>
      <c r="D201" s="2"/>
      <c r="E201" s="38"/>
      <c r="F201" s="42"/>
      <c r="G201" s="40"/>
      <c r="H201" s="84"/>
      <c r="I201" s="84"/>
      <c r="J201" s="84"/>
      <c r="K201" s="85"/>
      <c r="L201" s="85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41"/>
      <c r="B202" s="47"/>
      <c r="C202" s="41"/>
      <c r="D202" s="2"/>
      <c r="E202" s="38"/>
      <c r="F202" s="42"/>
      <c r="G202" s="40"/>
      <c r="H202" s="84"/>
      <c r="I202" s="84"/>
      <c r="J202" s="84"/>
      <c r="K202" s="85"/>
      <c r="L202" s="85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41"/>
      <c r="B203" s="47"/>
      <c r="C203" s="41"/>
      <c r="D203" s="2"/>
      <c r="E203" s="38"/>
      <c r="F203" s="42"/>
      <c r="G203" s="40"/>
      <c r="H203" s="84"/>
      <c r="I203" s="84"/>
      <c r="J203" s="84"/>
      <c r="K203" s="85"/>
      <c r="L203" s="85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41"/>
      <c r="B204" s="47"/>
      <c r="C204" s="41"/>
      <c r="D204" s="2"/>
      <c r="E204" s="38"/>
      <c r="F204" s="42"/>
      <c r="G204" s="40"/>
      <c r="H204" s="84"/>
      <c r="I204" s="84"/>
      <c r="J204" s="84"/>
      <c r="K204" s="85"/>
      <c r="L204" s="85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41"/>
      <c r="B205" s="47"/>
      <c r="C205" s="41"/>
      <c r="D205" s="2"/>
      <c r="E205" s="38"/>
      <c r="F205" s="42"/>
      <c r="G205" s="40"/>
      <c r="H205" s="84"/>
      <c r="I205" s="84"/>
      <c r="J205" s="84"/>
      <c r="K205" s="85"/>
      <c r="L205" s="85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41"/>
      <c r="B206" s="47"/>
      <c r="C206" s="41"/>
      <c r="D206" s="2"/>
      <c r="E206" s="38"/>
      <c r="F206" s="42"/>
      <c r="G206" s="40"/>
      <c r="H206" s="84"/>
      <c r="I206" s="84"/>
      <c r="J206" s="84"/>
      <c r="K206" s="85"/>
      <c r="L206" s="85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41"/>
      <c r="B207" s="47"/>
      <c r="C207" s="41"/>
      <c r="D207" s="2"/>
      <c r="E207" s="38"/>
      <c r="F207" s="42"/>
      <c r="G207" s="40"/>
      <c r="H207" s="84"/>
      <c r="I207" s="84"/>
      <c r="J207" s="84"/>
      <c r="K207" s="85"/>
      <c r="L207" s="85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41"/>
      <c r="B208" s="47"/>
      <c r="C208" s="41"/>
      <c r="D208" s="2"/>
      <c r="E208" s="38"/>
      <c r="F208" s="42"/>
      <c r="G208" s="40"/>
      <c r="H208" s="84"/>
      <c r="I208" s="84"/>
      <c r="J208" s="84"/>
      <c r="K208" s="85"/>
      <c r="L208" s="85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41"/>
      <c r="B209" s="47"/>
      <c r="C209" s="41"/>
      <c r="D209" s="2"/>
      <c r="E209" s="38"/>
      <c r="F209" s="42"/>
      <c r="G209" s="40"/>
      <c r="H209" s="84"/>
      <c r="I209" s="84"/>
      <c r="J209" s="84"/>
      <c r="K209" s="85"/>
      <c r="L209" s="85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41"/>
      <c r="B210" s="47"/>
      <c r="C210" s="41"/>
      <c r="D210" s="2"/>
      <c r="E210" s="38"/>
      <c r="F210" s="42"/>
      <c r="G210" s="40"/>
      <c r="H210" s="84"/>
      <c r="I210" s="84"/>
      <c r="J210" s="84"/>
      <c r="K210" s="85"/>
      <c r="L210" s="85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41"/>
      <c r="B211" s="47"/>
      <c r="C211" s="41"/>
      <c r="D211" s="2"/>
      <c r="E211" s="38"/>
      <c r="F211" s="42"/>
      <c r="G211" s="40"/>
      <c r="H211" s="84"/>
      <c r="I211" s="84"/>
      <c r="J211" s="84"/>
      <c r="K211" s="85"/>
      <c r="L211" s="85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41"/>
      <c r="B212" s="47"/>
      <c r="C212" s="41"/>
      <c r="D212" s="2"/>
      <c r="E212" s="38"/>
      <c r="F212" s="42"/>
      <c r="G212" s="40"/>
      <c r="H212" s="84"/>
      <c r="I212" s="84"/>
      <c r="J212" s="84"/>
      <c r="K212" s="85"/>
      <c r="L212" s="85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41"/>
      <c r="B213" s="47"/>
      <c r="C213" s="41"/>
      <c r="D213" s="2"/>
      <c r="E213" s="38"/>
      <c r="F213" s="42"/>
      <c r="G213" s="40"/>
      <c r="H213" s="84"/>
      <c r="I213" s="84"/>
      <c r="J213" s="84"/>
      <c r="K213" s="85"/>
      <c r="L213" s="85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41"/>
      <c r="B214" s="47"/>
      <c r="C214" s="41"/>
      <c r="D214" s="2"/>
      <c r="E214" s="38"/>
      <c r="F214" s="42"/>
      <c r="G214" s="40"/>
      <c r="H214" s="84"/>
      <c r="I214" s="84"/>
      <c r="J214" s="84"/>
      <c r="K214" s="85"/>
      <c r="L214" s="85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41"/>
      <c r="B215" s="47"/>
      <c r="C215" s="41"/>
      <c r="D215" s="2"/>
      <c r="E215" s="38"/>
      <c r="F215" s="42"/>
      <c r="G215" s="40"/>
      <c r="H215" s="84"/>
      <c r="I215" s="84"/>
      <c r="J215" s="84"/>
      <c r="K215" s="85"/>
      <c r="L215" s="85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41"/>
      <c r="B216" s="47"/>
      <c r="C216" s="41"/>
      <c r="D216" s="2"/>
      <c r="E216" s="38"/>
      <c r="F216" s="42"/>
      <c r="G216" s="40"/>
      <c r="H216" s="84"/>
      <c r="I216" s="84"/>
      <c r="J216" s="84"/>
      <c r="K216" s="85"/>
      <c r="L216" s="85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41"/>
      <c r="B217" s="47"/>
      <c r="C217" s="41"/>
      <c r="D217" s="2"/>
      <c r="E217" s="38"/>
      <c r="F217" s="42"/>
      <c r="G217" s="40"/>
      <c r="H217" s="84"/>
      <c r="I217" s="84"/>
      <c r="J217" s="84"/>
      <c r="K217" s="85"/>
      <c r="L217" s="85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41"/>
      <c r="B218" s="47"/>
      <c r="C218" s="41"/>
      <c r="D218" s="2"/>
      <c r="E218" s="38"/>
      <c r="F218" s="42"/>
      <c r="G218" s="40"/>
      <c r="H218" s="84"/>
      <c r="I218" s="84"/>
      <c r="J218" s="84"/>
      <c r="K218" s="85"/>
      <c r="L218" s="85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41"/>
      <c r="B219" s="47"/>
      <c r="C219" s="41"/>
      <c r="D219" s="2"/>
      <c r="E219" s="38"/>
      <c r="F219" s="42"/>
      <c r="G219" s="40"/>
      <c r="H219" s="84"/>
      <c r="I219" s="84"/>
      <c r="J219" s="84"/>
      <c r="K219" s="85"/>
      <c r="L219" s="85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41"/>
      <c r="B220" s="47"/>
      <c r="C220" s="41"/>
      <c r="D220" s="2"/>
      <c r="E220" s="38"/>
      <c r="F220" s="42"/>
      <c r="G220" s="40"/>
      <c r="H220" s="84"/>
      <c r="I220" s="84"/>
      <c r="J220" s="84"/>
      <c r="K220" s="85"/>
      <c r="L220" s="85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41"/>
      <c r="B221" s="47"/>
      <c r="C221" s="41"/>
      <c r="D221" s="2"/>
      <c r="E221" s="38"/>
      <c r="F221" s="42"/>
      <c r="G221" s="40"/>
      <c r="H221" s="84"/>
      <c r="I221" s="84"/>
      <c r="J221" s="84"/>
      <c r="K221" s="85"/>
      <c r="L221" s="85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41"/>
      <c r="B222" s="47"/>
      <c r="C222" s="41"/>
      <c r="D222" s="2"/>
      <c r="E222" s="38"/>
      <c r="F222" s="42"/>
      <c r="G222" s="40"/>
      <c r="H222" s="84"/>
      <c r="I222" s="84"/>
      <c r="J222" s="84"/>
      <c r="K222" s="85"/>
      <c r="L222" s="85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41"/>
      <c r="B223" s="47"/>
      <c r="C223" s="41"/>
      <c r="D223" s="2"/>
      <c r="E223" s="38"/>
      <c r="F223" s="42"/>
      <c r="G223" s="40"/>
      <c r="H223" s="84"/>
      <c r="I223" s="84"/>
      <c r="J223" s="84"/>
      <c r="K223" s="85"/>
      <c r="L223" s="85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41"/>
      <c r="B224" s="47"/>
      <c r="C224" s="41"/>
      <c r="D224" s="2"/>
      <c r="E224" s="38"/>
      <c r="F224" s="42"/>
      <c r="G224" s="40"/>
      <c r="H224" s="84"/>
      <c r="I224" s="84"/>
      <c r="J224" s="84"/>
      <c r="K224" s="85"/>
      <c r="L224" s="85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41"/>
      <c r="B225" s="47"/>
      <c r="C225" s="41"/>
      <c r="D225" s="2"/>
      <c r="E225" s="38"/>
      <c r="F225" s="42"/>
      <c r="G225" s="40"/>
      <c r="H225" s="84"/>
      <c r="I225" s="84"/>
      <c r="J225" s="84"/>
      <c r="K225" s="85"/>
      <c r="L225" s="85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41"/>
      <c r="B226" s="47"/>
      <c r="C226" s="41"/>
      <c r="D226" s="2"/>
      <c r="E226" s="38"/>
      <c r="F226" s="42"/>
      <c r="G226" s="40"/>
      <c r="H226" s="84"/>
      <c r="I226" s="84"/>
      <c r="J226" s="84"/>
      <c r="K226" s="85"/>
      <c r="L226" s="85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41"/>
      <c r="B227" s="47"/>
      <c r="C227" s="41"/>
      <c r="D227" s="2"/>
      <c r="E227" s="38"/>
      <c r="F227" s="42"/>
      <c r="G227" s="40"/>
      <c r="H227" s="84"/>
      <c r="I227" s="84"/>
      <c r="J227" s="84"/>
      <c r="K227" s="85"/>
      <c r="L227" s="85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41"/>
      <c r="B228" s="47"/>
      <c r="C228" s="41"/>
      <c r="D228" s="2"/>
      <c r="E228" s="38"/>
      <c r="F228" s="42"/>
      <c r="G228" s="40"/>
      <c r="H228" s="84"/>
      <c r="I228" s="84"/>
      <c r="J228" s="84"/>
      <c r="K228" s="85"/>
      <c r="L228" s="85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41"/>
      <c r="B229" s="47"/>
      <c r="C229" s="41"/>
      <c r="D229" s="2"/>
      <c r="E229" s="38"/>
      <c r="F229" s="42"/>
      <c r="G229" s="40"/>
      <c r="H229" s="84"/>
      <c r="I229" s="84"/>
      <c r="J229" s="84"/>
      <c r="K229" s="85"/>
      <c r="L229" s="85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41"/>
      <c r="B230" s="47"/>
      <c r="C230" s="41"/>
      <c r="D230" s="2"/>
      <c r="E230" s="38"/>
      <c r="F230" s="42"/>
      <c r="G230" s="40"/>
      <c r="H230" s="84"/>
      <c r="I230" s="84"/>
      <c r="J230" s="84"/>
      <c r="K230" s="85"/>
      <c r="L230" s="85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41"/>
      <c r="B231" s="47"/>
      <c r="C231" s="41"/>
      <c r="D231" s="2"/>
      <c r="E231" s="38"/>
      <c r="F231" s="42"/>
      <c r="G231" s="40"/>
      <c r="H231" s="84"/>
      <c r="I231" s="84"/>
      <c r="J231" s="84"/>
      <c r="K231" s="85"/>
      <c r="L231" s="85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41"/>
      <c r="B232" s="47"/>
      <c r="C232" s="41"/>
      <c r="D232" s="2"/>
      <c r="E232" s="38"/>
      <c r="F232" s="42"/>
      <c r="G232" s="40"/>
      <c r="H232" s="84"/>
      <c r="I232" s="84"/>
      <c r="J232" s="84"/>
      <c r="K232" s="85"/>
      <c r="L232" s="85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41"/>
      <c r="B233" s="47"/>
      <c r="C233" s="41"/>
      <c r="D233" s="2"/>
      <c r="E233" s="38"/>
      <c r="F233" s="42"/>
      <c r="G233" s="40"/>
      <c r="H233" s="84"/>
      <c r="I233" s="84"/>
      <c r="J233" s="84"/>
      <c r="K233" s="85"/>
      <c r="L233" s="85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41"/>
      <c r="B234" s="47"/>
      <c r="C234" s="41"/>
      <c r="D234" s="2"/>
      <c r="E234" s="38"/>
      <c r="F234" s="42"/>
      <c r="G234" s="40"/>
      <c r="H234" s="84"/>
      <c r="I234" s="84"/>
      <c r="J234" s="84"/>
      <c r="K234" s="85"/>
      <c r="L234" s="85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41"/>
      <c r="B235" s="47"/>
      <c r="C235" s="41"/>
      <c r="D235" s="2"/>
      <c r="E235" s="38"/>
      <c r="F235" s="42"/>
      <c r="G235" s="40"/>
      <c r="H235" s="84"/>
      <c r="I235" s="84"/>
      <c r="J235" s="84"/>
      <c r="K235" s="85"/>
      <c r="L235" s="85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41"/>
      <c r="B236" s="47"/>
      <c r="C236" s="41"/>
      <c r="D236" s="2"/>
      <c r="E236" s="38"/>
      <c r="F236" s="42"/>
      <c r="G236" s="40"/>
      <c r="H236" s="84"/>
      <c r="I236" s="84"/>
      <c r="J236" s="84"/>
      <c r="K236" s="85"/>
      <c r="L236" s="85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41"/>
      <c r="B237" s="47"/>
      <c r="C237" s="41"/>
      <c r="D237" s="2"/>
      <c r="E237" s="38"/>
      <c r="F237" s="42"/>
      <c r="G237" s="40"/>
      <c r="H237" s="84"/>
      <c r="I237" s="84"/>
      <c r="J237" s="84"/>
      <c r="K237" s="85"/>
      <c r="L237" s="85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41"/>
      <c r="B238" s="47"/>
      <c r="C238" s="41"/>
      <c r="D238" s="2"/>
      <c r="E238" s="38"/>
      <c r="F238" s="42"/>
      <c r="G238" s="40"/>
      <c r="H238" s="84"/>
      <c r="I238" s="84"/>
      <c r="J238" s="84"/>
      <c r="K238" s="85"/>
      <c r="L238" s="85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41"/>
      <c r="B239" s="47"/>
      <c r="C239" s="41"/>
      <c r="D239" s="2"/>
      <c r="E239" s="38"/>
      <c r="F239" s="42"/>
      <c r="G239" s="40"/>
      <c r="H239" s="84"/>
      <c r="I239" s="84"/>
      <c r="J239" s="84"/>
      <c r="K239" s="85"/>
      <c r="L239" s="85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41"/>
      <c r="B240" s="47"/>
      <c r="C240" s="41"/>
      <c r="D240" s="2"/>
      <c r="E240" s="38"/>
      <c r="F240" s="42"/>
      <c r="G240" s="40"/>
      <c r="H240" s="84"/>
      <c r="I240" s="84"/>
      <c r="J240" s="84"/>
      <c r="K240" s="85"/>
      <c r="L240" s="85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41"/>
      <c r="B241" s="47"/>
      <c r="C241" s="41"/>
      <c r="D241" s="2"/>
      <c r="E241" s="38"/>
      <c r="F241" s="42"/>
      <c r="G241" s="40"/>
      <c r="H241" s="84"/>
      <c r="I241" s="84"/>
      <c r="J241" s="84"/>
      <c r="K241" s="85"/>
      <c r="L241" s="85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41"/>
      <c r="B242" s="47"/>
      <c r="C242" s="41"/>
      <c r="D242" s="2"/>
      <c r="E242" s="38"/>
      <c r="F242" s="42"/>
      <c r="G242" s="40"/>
      <c r="H242" s="84"/>
      <c r="I242" s="84"/>
      <c r="J242" s="84"/>
      <c r="K242" s="85"/>
      <c r="L242" s="85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41"/>
      <c r="B243" s="47"/>
      <c r="C243" s="41"/>
      <c r="D243" s="2"/>
      <c r="E243" s="38"/>
      <c r="F243" s="42"/>
      <c r="G243" s="40"/>
      <c r="H243" s="84"/>
      <c r="I243" s="84"/>
      <c r="J243" s="84"/>
      <c r="K243" s="85"/>
      <c r="L243" s="85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41"/>
      <c r="B244" s="47"/>
      <c r="C244" s="41"/>
      <c r="D244" s="2"/>
      <c r="E244" s="38"/>
      <c r="F244" s="42"/>
      <c r="G244" s="40"/>
      <c r="H244" s="84"/>
      <c r="I244" s="84"/>
      <c r="J244" s="84"/>
      <c r="K244" s="85"/>
      <c r="L244" s="85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41"/>
      <c r="B245" s="47"/>
      <c r="C245" s="41"/>
      <c r="D245" s="2"/>
      <c r="E245" s="38"/>
      <c r="F245" s="42"/>
      <c r="G245" s="40"/>
      <c r="H245" s="84"/>
      <c r="I245" s="84"/>
      <c r="J245" s="84"/>
      <c r="K245" s="85"/>
      <c r="L245" s="85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41"/>
      <c r="B246" s="47"/>
      <c r="C246" s="41"/>
      <c r="D246" s="2"/>
      <c r="E246" s="38"/>
      <c r="F246" s="42"/>
      <c r="G246" s="40"/>
      <c r="H246" s="84"/>
      <c r="I246" s="84"/>
      <c r="J246" s="84"/>
      <c r="K246" s="85"/>
      <c r="L246" s="85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41"/>
      <c r="B247" s="47"/>
      <c r="C247" s="41"/>
      <c r="D247" s="2"/>
      <c r="E247" s="38"/>
      <c r="F247" s="42"/>
      <c r="G247" s="40"/>
      <c r="H247" s="84"/>
      <c r="I247" s="84"/>
      <c r="J247" s="84"/>
      <c r="K247" s="85"/>
      <c r="L247" s="85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41"/>
      <c r="B248" s="47"/>
      <c r="C248" s="41"/>
      <c r="D248" s="2"/>
      <c r="E248" s="38"/>
      <c r="F248" s="42"/>
      <c r="G248" s="40"/>
      <c r="H248" s="84"/>
      <c r="I248" s="84"/>
      <c r="J248" s="84"/>
      <c r="K248" s="85"/>
      <c r="L248" s="85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41"/>
      <c r="B249" s="47"/>
      <c r="C249" s="41"/>
      <c r="D249" s="2"/>
      <c r="E249" s="38"/>
      <c r="F249" s="42"/>
      <c r="G249" s="40"/>
      <c r="H249" s="84"/>
      <c r="I249" s="84"/>
      <c r="J249" s="84"/>
      <c r="K249" s="85"/>
      <c r="L249" s="85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41"/>
      <c r="B250" s="47"/>
      <c r="C250" s="41"/>
      <c r="D250" s="2"/>
      <c r="E250" s="38"/>
      <c r="F250" s="42"/>
      <c r="G250" s="40"/>
      <c r="H250" s="84"/>
      <c r="I250" s="84"/>
      <c r="J250" s="84"/>
      <c r="K250" s="85"/>
      <c r="L250" s="85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41"/>
      <c r="B251" s="47"/>
      <c r="C251" s="41"/>
      <c r="D251" s="2"/>
      <c r="E251" s="38"/>
      <c r="F251" s="42"/>
      <c r="G251" s="40"/>
      <c r="H251" s="84"/>
      <c r="I251" s="84"/>
      <c r="J251" s="84"/>
      <c r="K251" s="85"/>
      <c r="L251" s="85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41"/>
      <c r="B252" s="47"/>
      <c r="C252" s="41"/>
      <c r="D252" s="2"/>
      <c r="E252" s="38"/>
      <c r="F252" s="42"/>
      <c r="G252" s="40"/>
      <c r="H252" s="84"/>
      <c r="I252" s="84"/>
      <c r="J252" s="84"/>
      <c r="K252" s="85"/>
      <c r="L252" s="85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41"/>
      <c r="B253" s="47"/>
      <c r="C253" s="41"/>
      <c r="D253" s="2"/>
      <c r="E253" s="38"/>
      <c r="F253" s="42"/>
      <c r="G253" s="40"/>
      <c r="H253" s="84"/>
      <c r="I253" s="84"/>
      <c r="J253" s="84"/>
      <c r="K253" s="85"/>
      <c r="L253" s="85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41"/>
      <c r="B254" s="47"/>
      <c r="C254" s="41"/>
      <c r="D254" s="2"/>
      <c r="E254" s="38"/>
      <c r="F254" s="42"/>
      <c r="G254" s="40"/>
      <c r="H254" s="84"/>
      <c r="I254" s="84"/>
      <c r="J254" s="84"/>
      <c r="K254" s="85"/>
      <c r="L254" s="85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41"/>
      <c r="B255" s="47"/>
      <c r="C255" s="41"/>
      <c r="D255" s="2"/>
      <c r="E255" s="38"/>
      <c r="F255" s="42"/>
      <c r="G255" s="40"/>
      <c r="H255" s="84"/>
      <c r="I255" s="84"/>
      <c r="J255" s="84"/>
      <c r="K255" s="85"/>
      <c r="L255" s="85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41"/>
      <c r="B256" s="47"/>
      <c r="C256" s="41"/>
      <c r="D256" s="2"/>
      <c r="E256" s="38"/>
      <c r="F256" s="42"/>
      <c r="G256" s="40"/>
      <c r="H256" s="84"/>
      <c r="I256" s="84"/>
      <c r="J256" s="84"/>
      <c r="K256" s="85"/>
      <c r="L256" s="85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41"/>
      <c r="B257" s="47"/>
      <c r="C257" s="41"/>
      <c r="D257" s="2"/>
      <c r="E257" s="38"/>
      <c r="F257" s="42"/>
      <c r="G257" s="40"/>
      <c r="H257" s="84"/>
      <c r="I257" s="84"/>
      <c r="J257" s="84"/>
      <c r="K257" s="85"/>
      <c r="L257" s="85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41"/>
      <c r="B258" s="47"/>
      <c r="C258" s="41"/>
      <c r="D258" s="2"/>
      <c r="E258" s="38"/>
      <c r="F258" s="42"/>
      <c r="G258" s="40"/>
      <c r="H258" s="84"/>
      <c r="I258" s="84"/>
      <c r="J258" s="84"/>
      <c r="K258" s="85"/>
      <c r="L258" s="85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41"/>
      <c r="B259" s="47"/>
      <c r="C259" s="41"/>
      <c r="D259" s="2"/>
      <c r="E259" s="38"/>
      <c r="F259" s="42"/>
      <c r="G259" s="40"/>
      <c r="H259" s="84"/>
      <c r="I259" s="84"/>
      <c r="J259" s="84"/>
      <c r="K259" s="85"/>
      <c r="L259" s="85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41"/>
      <c r="B260" s="47"/>
      <c r="C260" s="41"/>
      <c r="D260" s="2"/>
      <c r="E260" s="38"/>
      <c r="F260" s="42"/>
      <c r="G260" s="40"/>
      <c r="H260" s="84"/>
      <c r="I260" s="84"/>
      <c r="J260" s="84"/>
      <c r="K260" s="85"/>
      <c r="L260" s="85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41"/>
      <c r="B261" s="47"/>
      <c r="C261" s="41"/>
      <c r="D261" s="2"/>
      <c r="E261" s="38"/>
      <c r="F261" s="42"/>
      <c r="G261" s="40"/>
      <c r="H261" s="84"/>
      <c r="I261" s="84"/>
      <c r="J261" s="84"/>
      <c r="K261" s="85"/>
      <c r="L261" s="85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41"/>
      <c r="B262" s="47"/>
      <c r="C262" s="41"/>
      <c r="D262" s="2"/>
      <c r="E262" s="38"/>
      <c r="F262" s="42"/>
      <c r="G262" s="40"/>
      <c r="H262" s="84"/>
      <c r="I262" s="84"/>
      <c r="J262" s="84"/>
      <c r="K262" s="85"/>
      <c r="L262" s="85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41"/>
      <c r="B263" s="47"/>
      <c r="C263" s="41"/>
      <c r="D263" s="2"/>
      <c r="E263" s="38"/>
      <c r="F263" s="42"/>
      <c r="G263" s="40"/>
      <c r="H263" s="84"/>
      <c r="I263" s="84"/>
      <c r="J263" s="84"/>
      <c r="K263" s="85"/>
      <c r="L263" s="85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41"/>
      <c r="B264" s="47"/>
      <c r="C264" s="41"/>
      <c r="D264" s="2"/>
      <c r="E264" s="38"/>
      <c r="F264" s="42"/>
      <c r="G264" s="40"/>
      <c r="H264" s="84"/>
      <c r="I264" s="84"/>
      <c r="J264" s="84"/>
      <c r="K264" s="85"/>
      <c r="L264" s="85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41"/>
      <c r="B265" s="47"/>
      <c r="C265" s="41"/>
      <c r="D265" s="2"/>
      <c r="E265" s="38"/>
      <c r="F265" s="42"/>
      <c r="G265" s="40"/>
      <c r="H265" s="84"/>
      <c r="I265" s="84"/>
      <c r="J265" s="84"/>
      <c r="K265" s="85"/>
      <c r="L265" s="85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41"/>
      <c r="B266" s="47"/>
      <c r="C266" s="41"/>
      <c r="D266" s="2"/>
      <c r="E266" s="38"/>
      <c r="F266" s="42"/>
      <c r="G266" s="40"/>
      <c r="H266" s="84"/>
      <c r="I266" s="84"/>
      <c r="J266" s="84"/>
      <c r="K266" s="85"/>
      <c r="L266" s="85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41"/>
      <c r="B267" s="47"/>
      <c r="C267" s="41"/>
      <c r="D267" s="2"/>
      <c r="E267" s="38"/>
      <c r="F267" s="42"/>
      <c r="G267" s="40"/>
      <c r="H267" s="84"/>
      <c r="I267" s="84"/>
      <c r="J267" s="84"/>
      <c r="K267" s="85"/>
      <c r="L267" s="85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41"/>
      <c r="B268" s="47"/>
      <c r="C268" s="41"/>
      <c r="D268" s="2"/>
      <c r="E268" s="38"/>
      <c r="F268" s="42"/>
      <c r="G268" s="40"/>
      <c r="H268" s="84"/>
      <c r="I268" s="84"/>
      <c r="J268" s="84"/>
      <c r="K268" s="85"/>
      <c r="L268" s="85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41"/>
      <c r="B269" s="47"/>
      <c r="C269" s="41"/>
      <c r="D269" s="2"/>
      <c r="E269" s="38"/>
      <c r="F269" s="42"/>
      <c r="G269" s="40"/>
      <c r="H269" s="84"/>
      <c r="I269" s="84"/>
      <c r="J269" s="84"/>
      <c r="K269" s="85"/>
      <c r="L269" s="85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41"/>
      <c r="B270" s="47"/>
      <c r="C270" s="41"/>
      <c r="D270" s="2"/>
      <c r="E270" s="38"/>
      <c r="F270" s="42"/>
      <c r="G270" s="40"/>
      <c r="H270" s="84"/>
      <c r="I270" s="84"/>
      <c r="J270" s="84"/>
      <c r="K270" s="85"/>
      <c r="L270" s="85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41"/>
      <c r="B271" s="47"/>
      <c r="C271" s="41"/>
      <c r="D271" s="2"/>
      <c r="E271" s="38"/>
      <c r="F271" s="42"/>
      <c r="G271" s="40"/>
      <c r="H271" s="84"/>
      <c r="I271" s="84"/>
      <c r="J271" s="84"/>
      <c r="K271" s="85"/>
      <c r="L271" s="85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41"/>
      <c r="B272" s="47"/>
      <c r="C272" s="41"/>
      <c r="D272" s="2"/>
      <c r="E272" s="38"/>
      <c r="F272" s="42"/>
      <c r="G272" s="40"/>
      <c r="H272" s="84"/>
      <c r="I272" s="84"/>
      <c r="J272" s="84"/>
      <c r="K272" s="85"/>
      <c r="L272" s="85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41"/>
      <c r="B273" s="47"/>
      <c r="C273" s="41"/>
      <c r="D273" s="2"/>
      <c r="E273" s="38"/>
      <c r="F273" s="42"/>
      <c r="G273" s="40"/>
      <c r="H273" s="84"/>
      <c r="I273" s="84"/>
      <c r="J273" s="84"/>
      <c r="K273" s="85"/>
      <c r="L273" s="85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41"/>
      <c r="B274" s="47"/>
      <c r="C274" s="41"/>
      <c r="D274" s="2"/>
      <c r="E274" s="38"/>
      <c r="F274" s="42"/>
      <c r="G274" s="40"/>
      <c r="H274" s="84"/>
      <c r="I274" s="84"/>
      <c r="J274" s="84"/>
      <c r="K274" s="85"/>
      <c r="L274" s="85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41"/>
      <c r="B275" s="47"/>
      <c r="C275" s="41"/>
      <c r="D275" s="2"/>
      <c r="E275" s="38"/>
      <c r="F275" s="42"/>
      <c r="G275" s="40"/>
      <c r="H275" s="84"/>
      <c r="I275" s="84"/>
      <c r="J275" s="84"/>
      <c r="K275" s="85"/>
      <c r="L275" s="85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41"/>
      <c r="B276" s="47"/>
      <c r="C276" s="41"/>
      <c r="D276" s="2"/>
      <c r="E276" s="38"/>
      <c r="F276" s="42"/>
      <c r="G276" s="40"/>
      <c r="H276" s="84"/>
      <c r="I276" s="84"/>
      <c r="J276" s="84"/>
      <c r="K276" s="85"/>
      <c r="L276" s="85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41"/>
      <c r="B277" s="47"/>
      <c r="C277" s="41"/>
      <c r="D277" s="2"/>
      <c r="E277" s="38"/>
      <c r="F277" s="42"/>
      <c r="G277" s="40"/>
      <c r="H277" s="84"/>
      <c r="I277" s="84"/>
      <c r="J277" s="84"/>
      <c r="K277" s="85"/>
      <c r="L277" s="85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41"/>
      <c r="B278" s="47"/>
      <c r="C278" s="41"/>
      <c r="D278" s="2"/>
      <c r="E278" s="38"/>
      <c r="F278" s="42"/>
      <c r="G278" s="40"/>
      <c r="H278" s="84"/>
      <c r="I278" s="84"/>
      <c r="J278" s="84"/>
      <c r="K278" s="85"/>
      <c r="L278" s="85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41"/>
      <c r="B279" s="47"/>
      <c r="C279" s="41"/>
      <c r="D279" s="2"/>
      <c r="E279" s="38"/>
      <c r="F279" s="42"/>
      <c r="G279" s="40"/>
      <c r="H279" s="84"/>
      <c r="I279" s="84"/>
      <c r="J279" s="84"/>
      <c r="K279" s="85"/>
      <c r="L279" s="85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41"/>
      <c r="B280" s="47"/>
      <c r="C280" s="41"/>
      <c r="D280" s="2"/>
      <c r="E280" s="38"/>
      <c r="F280" s="42"/>
      <c r="G280" s="40"/>
      <c r="H280" s="84"/>
      <c r="I280" s="84"/>
      <c r="J280" s="84"/>
      <c r="K280" s="85"/>
      <c r="L280" s="85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41"/>
      <c r="B281" s="47"/>
      <c r="C281" s="41"/>
      <c r="D281" s="2"/>
      <c r="E281" s="38"/>
      <c r="F281" s="42"/>
      <c r="G281" s="40"/>
      <c r="H281" s="84"/>
      <c r="I281" s="84"/>
      <c r="J281" s="84"/>
      <c r="K281" s="85"/>
      <c r="L281" s="85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41"/>
      <c r="B282" s="47"/>
      <c r="C282" s="41"/>
      <c r="D282" s="2"/>
      <c r="E282" s="38"/>
      <c r="F282" s="42"/>
      <c r="G282" s="40"/>
      <c r="H282" s="84"/>
      <c r="I282" s="84"/>
      <c r="J282" s="84"/>
      <c r="K282" s="85"/>
      <c r="L282" s="85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41"/>
      <c r="B283" s="47"/>
      <c r="C283" s="41"/>
      <c r="D283" s="2"/>
      <c r="E283" s="38"/>
      <c r="F283" s="42"/>
      <c r="G283" s="40"/>
      <c r="H283" s="84"/>
      <c r="I283" s="84"/>
      <c r="J283" s="84"/>
      <c r="K283" s="85"/>
      <c r="L283" s="85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41"/>
      <c r="B284" s="47"/>
      <c r="C284" s="41"/>
      <c r="D284" s="2"/>
      <c r="E284" s="38"/>
      <c r="F284" s="42"/>
      <c r="G284" s="40"/>
      <c r="H284" s="84"/>
      <c r="I284" s="84"/>
      <c r="J284" s="84"/>
      <c r="K284" s="85"/>
      <c r="L284" s="85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41"/>
      <c r="B285" s="47"/>
      <c r="C285" s="41"/>
      <c r="D285" s="2"/>
      <c r="E285" s="38"/>
      <c r="F285" s="42"/>
      <c r="G285" s="40"/>
      <c r="H285" s="84"/>
      <c r="I285" s="84"/>
      <c r="J285" s="84"/>
      <c r="K285" s="85"/>
      <c r="L285" s="85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41"/>
      <c r="B286" s="47"/>
      <c r="C286" s="41"/>
      <c r="D286" s="2"/>
      <c r="E286" s="38"/>
      <c r="F286" s="42"/>
      <c r="G286" s="40"/>
      <c r="H286" s="84"/>
      <c r="I286" s="84"/>
      <c r="J286" s="84"/>
      <c r="K286" s="85"/>
      <c r="L286" s="85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41"/>
      <c r="B287" s="47"/>
      <c r="C287" s="41"/>
      <c r="D287" s="2"/>
      <c r="E287" s="38"/>
      <c r="F287" s="42"/>
      <c r="G287" s="40"/>
      <c r="H287" s="84"/>
      <c r="I287" s="84"/>
      <c r="J287" s="84"/>
      <c r="K287" s="85"/>
      <c r="L287" s="85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41"/>
      <c r="B288" s="47"/>
      <c r="C288" s="41"/>
      <c r="D288" s="2"/>
      <c r="E288" s="38"/>
      <c r="F288" s="42"/>
      <c r="G288" s="40"/>
      <c r="H288" s="84"/>
      <c r="I288" s="84"/>
      <c r="J288" s="84"/>
      <c r="K288" s="85"/>
      <c r="L288" s="85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41"/>
      <c r="B289" s="47"/>
      <c r="C289" s="41"/>
      <c r="D289" s="2"/>
      <c r="E289" s="38"/>
      <c r="F289" s="42"/>
      <c r="G289" s="40"/>
      <c r="H289" s="84"/>
      <c r="I289" s="84"/>
      <c r="J289" s="84"/>
      <c r="K289" s="85"/>
      <c r="L289" s="85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41"/>
      <c r="B290" s="47"/>
      <c r="C290" s="41"/>
      <c r="D290" s="2"/>
      <c r="E290" s="38"/>
      <c r="F290" s="42"/>
      <c r="G290" s="40"/>
      <c r="H290" s="84"/>
      <c r="I290" s="84"/>
      <c r="J290" s="84"/>
      <c r="K290" s="85"/>
      <c r="L290" s="85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41"/>
      <c r="B291" s="47"/>
      <c r="C291" s="41"/>
      <c r="D291" s="2"/>
      <c r="E291" s="38"/>
      <c r="F291" s="42"/>
      <c r="G291" s="40"/>
      <c r="H291" s="84"/>
      <c r="I291" s="84"/>
      <c r="J291" s="84"/>
      <c r="K291" s="85"/>
      <c r="L291" s="85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41"/>
      <c r="B292" s="47"/>
      <c r="C292" s="41"/>
      <c r="D292" s="2"/>
      <c r="E292" s="38"/>
      <c r="F292" s="42"/>
      <c r="G292" s="40"/>
      <c r="H292" s="84"/>
      <c r="I292" s="84"/>
      <c r="J292" s="84"/>
      <c r="K292" s="85"/>
      <c r="L292" s="85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41"/>
      <c r="B293" s="47"/>
      <c r="C293" s="41"/>
      <c r="D293" s="2"/>
      <c r="E293" s="38"/>
      <c r="F293" s="42"/>
      <c r="G293" s="40"/>
      <c r="H293" s="84"/>
      <c r="I293" s="84"/>
      <c r="J293" s="84"/>
      <c r="K293" s="85"/>
      <c r="L293" s="85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41"/>
      <c r="B294" s="47"/>
      <c r="C294" s="41"/>
      <c r="D294" s="2"/>
      <c r="E294" s="38"/>
      <c r="F294" s="42"/>
      <c r="G294" s="40"/>
      <c r="H294" s="84"/>
      <c r="I294" s="84"/>
      <c r="J294" s="84"/>
      <c r="K294" s="85"/>
      <c r="L294" s="85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41"/>
      <c r="B295" s="47"/>
      <c r="C295" s="41"/>
      <c r="D295" s="2"/>
      <c r="E295" s="38"/>
      <c r="F295" s="42"/>
      <c r="G295" s="40"/>
      <c r="H295" s="84"/>
      <c r="I295" s="84"/>
      <c r="J295" s="84"/>
      <c r="K295" s="85"/>
      <c r="L295" s="85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41"/>
      <c r="B296" s="47"/>
      <c r="C296" s="41"/>
      <c r="D296" s="2"/>
      <c r="E296" s="38"/>
      <c r="F296" s="42"/>
      <c r="G296" s="40"/>
      <c r="H296" s="84"/>
      <c r="I296" s="84"/>
      <c r="J296" s="84"/>
      <c r="K296" s="85"/>
      <c r="L296" s="85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41"/>
      <c r="B297" s="47"/>
      <c r="C297" s="41"/>
      <c r="D297" s="2"/>
      <c r="E297" s="38"/>
      <c r="F297" s="42"/>
      <c r="G297" s="40"/>
      <c r="H297" s="84"/>
      <c r="I297" s="84"/>
      <c r="J297" s="84"/>
      <c r="K297" s="85"/>
      <c r="L297" s="85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41"/>
      <c r="B298" s="47"/>
      <c r="C298" s="41"/>
      <c r="D298" s="2"/>
      <c r="E298" s="38"/>
      <c r="F298" s="42"/>
      <c r="G298" s="40"/>
      <c r="H298" s="84"/>
      <c r="I298" s="84"/>
      <c r="J298" s="84"/>
      <c r="K298" s="85"/>
      <c r="L298" s="85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41"/>
      <c r="B299" s="47"/>
      <c r="C299" s="41"/>
      <c r="D299" s="2"/>
      <c r="E299" s="38"/>
      <c r="F299" s="42"/>
      <c r="G299" s="40"/>
      <c r="H299" s="84"/>
      <c r="I299" s="84"/>
      <c r="J299" s="84"/>
      <c r="K299" s="85"/>
      <c r="L299" s="85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41"/>
      <c r="B300" s="47"/>
      <c r="C300" s="41"/>
      <c r="D300" s="2"/>
      <c r="E300" s="38"/>
      <c r="F300" s="42"/>
      <c r="G300" s="40"/>
      <c r="H300" s="84"/>
      <c r="I300" s="84"/>
      <c r="J300" s="84"/>
      <c r="K300" s="85"/>
      <c r="L300" s="85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41"/>
      <c r="B301" s="47"/>
      <c r="C301" s="41"/>
      <c r="D301" s="2"/>
      <c r="E301" s="38"/>
      <c r="F301" s="42"/>
      <c r="G301" s="40"/>
      <c r="H301" s="84"/>
      <c r="I301" s="84"/>
      <c r="J301" s="84"/>
      <c r="K301" s="85"/>
      <c r="L301" s="85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41"/>
      <c r="B302" s="47"/>
      <c r="C302" s="41"/>
      <c r="D302" s="2"/>
      <c r="E302" s="38"/>
      <c r="F302" s="42"/>
      <c r="G302" s="40"/>
      <c r="H302" s="84"/>
      <c r="I302" s="84"/>
      <c r="J302" s="84"/>
      <c r="K302" s="85"/>
      <c r="L302" s="85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41"/>
      <c r="B303" s="47"/>
      <c r="C303" s="41"/>
      <c r="D303" s="2"/>
      <c r="E303" s="38"/>
      <c r="F303" s="42"/>
      <c r="G303" s="40"/>
      <c r="H303" s="84"/>
      <c r="I303" s="84"/>
      <c r="J303" s="84"/>
      <c r="K303" s="85"/>
      <c r="L303" s="85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41"/>
      <c r="B304" s="47"/>
      <c r="C304" s="41"/>
      <c r="D304" s="2"/>
      <c r="E304" s="38"/>
      <c r="F304" s="42"/>
      <c r="G304" s="40"/>
      <c r="H304" s="84"/>
      <c r="I304" s="84"/>
      <c r="J304" s="84"/>
      <c r="K304" s="85"/>
      <c r="L304" s="85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41"/>
      <c r="B305" s="47"/>
      <c r="C305" s="41"/>
      <c r="D305" s="2"/>
      <c r="E305" s="38"/>
      <c r="F305" s="42"/>
      <c r="G305" s="40"/>
      <c r="H305" s="84"/>
      <c r="I305" s="84"/>
      <c r="J305" s="84"/>
      <c r="K305" s="85"/>
      <c r="L305" s="85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41"/>
      <c r="B306" s="47"/>
      <c r="C306" s="41"/>
      <c r="D306" s="2"/>
      <c r="E306" s="38"/>
      <c r="F306" s="42"/>
      <c r="G306" s="40"/>
      <c r="H306" s="84"/>
      <c r="I306" s="84"/>
      <c r="J306" s="84"/>
      <c r="K306" s="85"/>
      <c r="L306" s="85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41"/>
      <c r="B307" s="47"/>
      <c r="C307" s="41"/>
      <c r="D307" s="2"/>
      <c r="E307" s="38"/>
      <c r="F307" s="42"/>
      <c r="G307" s="40"/>
      <c r="H307" s="84"/>
      <c r="I307" s="84"/>
      <c r="J307" s="84"/>
      <c r="K307" s="85"/>
      <c r="L307" s="85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41"/>
      <c r="B308" s="47"/>
      <c r="C308" s="41"/>
      <c r="D308" s="2"/>
      <c r="E308" s="38"/>
      <c r="F308" s="42"/>
      <c r="G308" s="40"/>
      <c r="H308" s="84"/>
      <c r="I308" s="84"/>
      <c r="J308" s="84"/>
      <c r="K308" s="85"/>
      <c r="L308" s="85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41"/>
      <c r="B309" s="47"/>
      <c r="C309" s="41"/>
      <c r="D309" s="2"/>
      <c r="E309" s="38"/>
      <c r="F309" s="42"/>
      <c r="G309" s="40"/>
      <c r="H309" s="84"/>
      <c r="I309" s="84"/>
      <c r="J309" s="84"/>
      <c r="K309" s="85"/>
      <c r="L309" s="85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41"/>
      <c r="B310" s="47"/>
      <c r="C310" s="41"/>
      <c r="D310" s="2"/>
      <c r="E310" s="38"/>
      <c r="F310" s="42"/>
      <c r="G310" s="40"/>
      <c r="H310" s="84"/>
      <c r="I310" s="84"/>
      <c r="J310" s="84"/>
      <c r="K310" s="85"/>
      <c r="L310" s="85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41"/>
      <c r="B311" s="47"/>
      <c r="C311" s="41"/>
      <c r="D311" s="2"/>
      <c r="E311" s="38"/>
      <c r="F311" s="42"/>
      <c r="G311" s="40"/>
      <c r="H311" s="84"/>
      <c r="I311" s="84"/>
      <c r="J311" s="84"/>
      <c r="K311" s="85"/>
      <c r="L311" s="85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41"/>
      <c r="B312" s="47"/>
      <c r="C312" s="41"/>
      <c r="D312" s="2"/>
      <c r="E312" s="38"/>
      <c r="F312" s="42"/>
      <c r="G312" s="40"/>
      <c r="H312" s="84"/>
      <c r="I312" s="84"/>
      <c r="J312" s="84"/>
      <c r="K312" s="85"/>
      <c r="L312" s="85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41"/>
      <c r="B313" s="47"/>
      <c r="C313" s="41"/>
      <c r="D313" s="2"/>
      <c r="E313" s="38"/>
      <c r="F313" s="42"/>
      <c r="G313" s="40"/>
      <c r="H313" s="84"/>
      <c r="I313" s="84"/>
      <c r="J313" s="84"/>
      <c r="K313" s="85"/>
      <c r="L313" s="85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41"/>
      <c r="B314" s="47"/>
      <c r="C314" s="41"/>
      <c r="D314" s="2"/>
      <c r="E314" s="38"/>
      <c r="F314" s="42"/>
      <c r="G314" s="40"/>
      <c r="H314" s="84"/>
      <c r="I314" s="84"/>
      <c r="J314" s="84"/>
      <c r="K314" s="85"/>
      <c r="L314" s="85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41"/>
      <c r="B315" s="47"/>
      <c r="C315" s="41"/>
      <c r="D315" s="2"/>
      <c r="E315" s="38"/>
      <c r="F315" s="42"/>
      <c r="G315" s="40"/>
      <c r="H315" s="84"/>
      <c r="I315" s="84"/>
      <c r="J315" s="84"/>
      <c r="K315" s="85"/>
      <c r="L315" s="85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41"/>
      <c r="B316" s="47"/>
      <c r="C316" s="41"/>
      <c r="D316" s="2"/>
      <c r="E316" s="38"/>
      <c r="F316" s="42"/>
      <c r="G316" s="40"/>
      <c r="H316" s="84"/>
      <c r="I316" s="84"/>
      <c r="J316" s="84"/>
      <c r="K316" s="85"/>
      <c r="L316" s="85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41"/>
      <c r="B317" s="47"/>
      <c r="C317" s="41"/>
      <c r="D317" s="2"/>
      <c r="E317" s="38"/>
      <c r="F317" s="42"/>
      <c r="G317" s="40"/>
      <c r="H317" s="84"/>
      <c r="I317" s="84"/>
      <c r="J317" s="84"/>
      <c r="K317" s="85"/>
      <c r="L317" s="85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41"/>
      <c r="B318" s="47"/>
      <c r="C318" s="41"/>
      <c r="D318" s="2"/>
      <c r="E318" s="38"/>
      <c r="F318" s="42"/>
      <c r="G318" s="40"/>
      <c r="H318" s="84"/>
      <c r="I318" s="84"/>
      <c r="J318" s="84"/>
      <c r="K318" s="85"/>
      <c r="L318" s="85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41"/>
      <c r="B319" s="47"/>
      <c r="C319" s="41"/>
      <c r="D319" s="2"/>
      <c r="E319" s="38"/>
      <c r="F319" s="42"/>
      <c r="G319" s="40"/>
      <c r="H319" s="84"/>
      <c r="I319" s="84"/>
      <c r="J319" s="84"/>
      <c r="K319" s="85"/>
      <c r="L319" s="85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41"/>
      <c r="B320" s="47"/>
      <c r="C320" s="41"/>
      <c r="D320" s="2"/>
      <c r="E320" s="38"/>
      <c r="F320" s="42"/>
      <c r="G320" s="40"/>
      <c r="H320" s="84"/>
      <c r="I320" s="84"/>
      <c r="J320" s="84"/>
      <c r="K320" s="85"/>
      <c r="L320" s="85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41"/>
      <c r="B321" s="47"/>
      <c r="C321" s="41"/>
      <c r="D321" s="2"/>
      <c r="E321" s="38"/>
      <c r="F321" s="42"/>
      <c r="G321" s="40"/>
      <c r="H321" s="84"/>
      <c r="I321" s="84"/>
      <c r="J321" s="84"/>
      <c r="K321" s="85"/>
      <c r="L321" s="85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41"/>
      <c r="B322" s="47"/>
      <c r="C322" s="41"/>
      <c r="D322" s="2"/>
      <c r="E322" s="38"/>
      <c r="F322" s="42"/>
      <c r="G322" s="40"/>
      <c r="H322" s="84"/>
      <c r="I322" s="84"/>
      <c r="J322" s="84"/>
      <c r="K322" s="85"/>
      <c r="L322" s="85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41"/>
      <c r="B323" s="47"/>
      <c r="C323" s="41"/>
      <c r="D323" s="2"/>
      <c r="E323" s="38"/>
      <c r="F323" s="42"/>
      <c r="G323" s="40"/>
      <c r="H323" s="84"/>
      <c r="I323" s="84"/>
      <c r="J323" s="84"/>
      <c r="K323" s="85"/>
      <c r="L323" s="85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41"/>
      <c r="B324" s="47"/>
      <c r="C324" s="41"/>
      <c r="D324" s="2"/>
      <c r="E324" s="38"/>
      <c r="F324" s="42"/>
      <c r="G324" s="40"/>
      <c r="H324" s="84"/>
      <c r="I324" s="84"/>
      <c r="J324" s="84"/>
      <c r="K324" s="85"/>
      <c r="L324" s="85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41"/>
      <c r="B325" s="47"/>
      <c r="C325" s="41"/>
      <c r="D325" s="2"/>
      <c r="E325" s="38"/>
      <c r="F325" s="42"/>
      <c r="G325" s="40"/>
      <c r="H325" s="84"/>
      <c r="I325" s="84"/>
      <c r="J325" s="84"/>
      <c r="K325" s="85"/>
      <c r="L325" s="85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41"/>
      <c r="B326" s="47"/>
      <c r="C326" s="41"/>
      <c r="D326" s="2"/>
      <c r="E326" s="38"/>
      <c r="F326" s="42"/>
      <c r="G326" s="40"/>
      <c r="H326" s="84"/>
      <c r="I326" s="84"/>
      <c r="J326" s="84"/>
      <c r="K326" s="85"/>
      <c r="L326" s="85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41"/>
      <c r="B327" s="47"/>
      <c r="C327" s="41"/>
      <c r="D327" s="2"/>
      <c r="E327" s="38"/>
      <c r="F327" s="42"/>
      <c r="G327" s="40"/>
      <c r="H327" s="84"/>
      <c r="I327" s="84"/>
      <c r="J327" s="84"/>
      <c r="K327" s="85"/>
      <c r="L327" s="85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41"/>
      <c r="B328" s="47"/>
      <c r="C328" s="41"/>
      <c r="D328" s="2"/>
      <c r="E328" s="38"/>
      <c r="F328" s="42"/>
      <c r="G328" s="40"/>
      <c r="H328" s="84"/>
      <c r="I328" s="84"/>
      <c r="J328" s="84"/>
      <c r="K328" s="85"/>
      <c r="L328" s="85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41"/>
      <c r="B329" s="47"/>
      <c r="C329" s="41"/>
      <c r="D329" s="2"/>
      <c r="E329" s="38"/>
      <c r="F329" s="42"/>
      <c r="G329" s="40"/>
      <c r="H329" s="84"/>
      <c r="I329" s="84"/>
      <c r="J329" s="84"/>
      <c r="K329" s="85"/>
      <c r="L329" s="85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41"/>
      <c r="B330" s="47"/>
      <c r="C330" s="41"/>
      <c r="D330" s="2"/>
      <c r="E330" s="38"/>
      <c r="F330" s="42"/>
      <c r="G330" s="40"/>
      <c r="H330" s="84"/>
      <c r="I330" s="84"/>
      <c r="J330" s="84"/>
      <c r="K330" s="85"/>
      <c r="L330" s="85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41"/>
      <c r="B331" s="47"/>
      <c r="C331" s="41"/>
      <c r="D331" s="2"/>
      <c r="E331" s="38"/>
      <c r="F331" s="42"/>
      <c r="G331" s="40"/>
      <c r="H331" s="84"/>
      <c r="I331" s="84"/>
      <c r="J331" s="84"/>
      <c r="K331" s="85"/>
      <c r="L331" s="85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41"/>
      <c r="B332" s="47"/>
      <c r="C332" s="41"/>
      <c r="D332" s="2"/>
      <c r="E332" s="38"/>
      <c r="F332" s="42"/>
      <c r="G332" s="40"/>
      <c r="H332" s="84"/>
      <c r="I332" s="84"/>
      <c r="J332" s="84"/>
      <c r="K332" s="85"/>
      <c r="L332" s="85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41"/>
      <c r="B333" s="47"/>
      <c r="C333" s="41"/>
      <c r="D333" s="2"/>
      <c r="E333" s="38"/>
      <c r="F333" s="42"/>
      <c r="G333" s="40"/>
      <c r="H333" s="84"/>
      <c r="I333" s="84"/>
      <c r="J333" s="84"/>
      <c r="K333" s="85"/>
      <c r="L333" s="85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41"/>
      <c r="B334" s="47"/>
      <c r="C334" s="41"/>
      <c r="D334" s="2"/>
      <c r="E334" s="38"/>
      <c r="F334" s="42"/>
      <c r="G334" s="40"/>
      <c r="H334" s="84"/>
      <c r="I334" s="84"/>
      <c r="J334" s="84"/>
      <c r="K334" s="85"/>
      <c r="L334" s="85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41"/>
      <c r="B335" s="47"/>
      <c r="C335" s="41"/>
      <c r="D335" s="2"/>
      <c r="E335" s="38"/>
      <c r="F335" s="42"/>
      <c r="G335" s="40"/>
      <c r="H335" s="84"/>
      <c r="I335" s="84"/>
      <c r="J335" s="84"/>
      <c r="K335" s="85"/>
      <c r="L335" s="85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41"/>
      <c r="B336" s="47"/>
      <c r="C336" s="41"/>
      <c r="D336" s="2"/>
      <c r="E336" s="38"/>
      <c r="F336" s="42"/>
      <c r="G336" s="40"/>
      <c r="H336" s="84"/>
      <c r="I336" s="84"/>
      <c r="J336" s="84"/>
      <c r="K336" s="85"/>
      <c r="L336" s="85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41"/>
      <c r="B337" s="47"/>
      <c r="C337" s="41"/>
      <c r="D337" s="2"/>
      <c r="E337" s="38"/>
      <c r="F337" s="42"/>
      <c r="G337" s="40"/>
      <c r="H337" s="84"/>
      <c r="I337" s="84"/>
      <c r="J337" s="84"/>
      <c r="K337" s="85"/>
      <c r="L337" s="85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41"/>
      <c r="B338" s="47"/>
      <c r="C338" s="41"/>
      <c r="D338" s="2"/>
      <c r="E338" s="38"/>
      <c r="F338" s="42"/>
      <c r="G338" s="40"/>
      <c r="H338" s="84"/>
      <c r="I338" s="84"/>
      <c r="J338" s="84"/>
      <c r="K338" s="85"/>
      <c r="L338" s="85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41"/>
      <c r="B339" s="47"/>
      <c r="C339" s="41"/>
      <c r="D339" s="2"/>
      <c r="E339" s="38"/>
      <c r="F339" s="42"/>
      <c r="G339" s="40"/>
      <c r="H339" s="84"/>
      <c r="I339" s="84"/>
      <c r="J339" s="84"/>
      <c r="K339" s="85"/>
      <c r="L339" s="85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41"/>
      <c r="B340" s="47"/>
      <c r="C340" s="41"/>
      <c r="D340" s="2"/>
      <c r="E340" s="38"/>
      <c r="F340" s="42"/>
      <c r="G340" s="40"/>
      <c r="H340" s="84"/>
      <c r="I340" s="84"/>
      <c r="J340" s="84"/>
      <c r="K340" s="85"/>
      <c r="L340" s="85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41"/>
      <c r="B341" s="47"/>
      <c r="C341" s="41"/>
      <c r="D341" s="2"/>
      <c r="E341" s="38"/>
      <c r="F341" s="42"/>
      <c r="G341" s="40"/>
      <c r="H341" s="84"/>
      <c r="I341" s="84"/>
      <c r="J341" s="84"/>
      <c r="K341" s="85"/>
      <c r="L341" s="85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41"/>
      <c r="B342" s="47"/>
      <c r="C342" s="41"/>
      <c r="D342" s="2"/>
      <c r="E342" s="38"/>
      <c r="F342" s="42"/>
      <c r="G342" s="40"/>
      <c r="H342" s="84"/>
      <c r="I342" s="84"/>
      <c r="J342" s="84"/>
      <c r="K342" s="85"/>
      <c r="L342" s="85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41"/>
      <c r="B343" s="47"/>
      <c r="C343" s="41"/>
      <c r="D343" s="2"/>
      <c r="E343" s="38"/>
      <c r="F343" s="42"/>
      <c r="G343" s="40"/>
      <c r="H343" s="84"/>
      <c r="I343" s="84"/>
      <c r="J343" s="84"/>
      <c r="K343" s="85"/>
      <c r="L343" s="85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41"/>
      <c r="B344" s="47"/>
      <c r="C344" s="41"/>
      <c r="D344" s="2"/>
      <c r="E344" s="38"/>
      <c r="F344" s="42"/>
      <c r="G344" s="40"/>
      <c r="H344" s="84"/>
      <c r="I344" s="84"/>
      <c r="J344" s="84"/>
      <c r="K344" s="85"/>
      <c r="L344" s="85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41"/>
      <c r="B345" s="47"/>
      <c r="C345" s="41"/>
      <c r="D345" s="2"/>
      <c r="E345" s="38"/>
      <c r="F345" s="42"/>
      <c r="G345" s="40"/>
      <c r="H345" s="84"/>
      <c r="I345" s="84"/>
      <c r="J345" s="84"/>
      <c r="K345" s="85"/>
      <c r="L345" s="85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41"/>
      <c r="B346" s="47"/>
      <c r="C346" s="41"/>
      <c r="D346" s="2"/>
      <c r="E346" s="38"/>
      <c r="F346" s="42"/>
      <c r="G346" s="40"/>
      <c r="H346" s="84"/>
      <c r="I346" s="84"/>
      <c r="J346" s="84"/>
      <c r="K346" s="85"/>
      <c r="L346" s="85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41"/>
      <c r="B347" s="47"/>
      <c r="C347" s="41"/>
      <c r="D347" s="2"/>
      <c r="E347" s="38"/>
      <c r="F347" s="42"/>
      <c r="G347" s="40"/>
      <c r="H347" s="84"/>
      <c r="I347" s="84"/>
      <c r="J347" s="84"/>
      <c r="K347" s="85"/>
      <c r="L347" s="85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41"/>
      <c r="B348" s="47"/>
      <c r="C348" s="41"/>
      <c r="D348" s="2"/>
      <c r="E348" s="38"/>
      <c r="F348" s="42"/>
      <c r="G348" s="40"/>
      <c r="H348" s="84"/>
      <c r="I348" s="84"/>
      <c r="J348" s="84"/>
      <c r="K348" s="85"/>
      <c r="L348" s="85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41"/>
      <c r="B349" s="47"/>
      <c r="C349" s="41"/>
      <c r="D349" s="2"/>
      <c r="E349" s="38"/>
      <c r="F349" s="42"/>
      <c r="G349" s="40"/>
      <c r="H349" s="84"/>
      <c r="I349" s="84"/>
      <c r="J349" s="84"/>
      <c r="K349" s="85"/>
      <c r="L349" s="85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41"/>
      <c r="B350" s="47"/>
      <c r="C350" s="41"/>
      <c r="D350" s="2"/>
      <c r="E350" s="38"/>
      <c r="F350" s="42"/>
      <c r="G350" s="40"/>
      <c r="H350" s="84"/>
      <c r="I350" s="84"/>
      <c r="J350" s="84"/>
      <c r="K350" s="85"/>
      <c r="L350" s="85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41"/>
      <c r="B351" s="47"/>
      <c r="C351" s="41"/>
      <c r="D351" s="2"/>
      <c r="E351" s="38"/>
      <c r="F351" s="42"/>
      <c r="G351" s="40"/>
      <c r="H351" s="84"/>
      <c r="I351" s="84"/>
      <c r="J351" s="84"/>
      <c r="K351" s="85"/>
      <c r="L351" s="85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41"/>
      <c r="B352" s="47"/>
      <c r="C352" s="41"/>
      <c r="D352" s="2"/>
      <c r="E352" s="38"/>
      <c r="F352" s="42"/>
      <c r="G352" s="40"/>
      <c r="H352" s="84"/>
      <c r="I352" s="84"/>
      <c r="J352" s="84"/>
      <c r="K352" s="85"/>
      <c r="L352" s="85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41"/>
      <c r="B353" s="47"/>
      <c r="C353" s="41"/>
      <c r="D353" s="2"/>
      <c r="E353" s="38"/>
      <c r="F353" s="42"/>
      <c r="G353" s="40"/>
      <c r="H353" s="84"/>
      <c r="I353" s="84"/>
      <c r="J353" s="84"/>
      <c r="K353" s="85"/>
      <c r="L353" s="85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41"/>
      <c r="B354" s="47"/>
      <c r="C354" s="41"/>
      <c r="D354" s="2"/>
      <c r="E354" s="38"/>
      <c r="F354" s="42"/>
      <c r="G354" s="40"/>
      <c r="H354" s="84"/>
      <c r="I354" s="84"/>
      <c r="J354" s="84"/>
      <c r="K354" s="85"/>
      <c r="L354" s="85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41"/>
      <c r="B355" s="47"/>
      <c r="C355" s="41"/>
      <c r="D355" s="2"/>
      <c r="E355" s="38"/>
      <c r="F355" s="42"/>
      <c r="G355" s="40"/>
      <c r="H355" s="84"/>
      <c r="I355" s="84"/>
      <c r="J355" s="84"/>
      <c r="K355" s="85"/>
      <c r="L355" s="85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41"/>
      <c r="B356" s="47"/>
      <c r="C356" s="41"/>
      <c r="D356" s="2"/>
      <c r="E356" s="38"/>
      <c r="F356" s="42"/>
      <c r="G356" s="40"/>
      <c r="H356" s="84"/>
      <c r="I356" s="84"/>
      <c r="J356" s="84"/>
      <c r="K356" s="85"/>
      <c r="L356" s="85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41"/>
      <c r="B357" s="47"/>
      <c r="C357" s="41"/>
      <c r="D357" s="2"/>
      <c r="E357" s="38"/>
      <c r="F357" s="42"/>
      <c r="G357" s="40"/>
      <c r="H357" s="84"/>
      <c r="I357" s="84"/>
      <c r="J357" s="84"/>
      <c r="K357" s="85"/>
      <c r="L357" s="85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41"/>
      <c r="B358" s="47"/>
      <c r="C358" s="41"/>
      <c r="D358" s="2"/>
      <c r="E358" s="38"/>
      <c r="F358" s="42"/>
      <c r="G358" s="40"/>
      <c r="H358" s="84"/>
      <c r="I358" s="84"/>
      <c r="J358" s="84"/>
      <c r="K358" s="85"/>
      <c r="L358" s="85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41"/>
      <c r="B359" s="47"/>
      <c r="C359" s="41"/>
      <c r="D359" s="2"/>
      <c r="E359" s="38"/>
      <c r="F359" s="42"/>
      <c r="G359" s="40"/>
      <c r="H359" s="84"/>
      <c r="I359" s="84"/>
      <c r="J359" s="84"/>
      <c r="K359" s="85"/>
      <c r="L359" s="85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41"/>
      <c r="B360" s="47"/>
      <c r="C360" s="41"/>
      <c r="D360" s="2"/>
      <c r="E360" s="38"/>
      <c r="F360" s="42"/>
      <c r="G360" s="40"/>
      <c r="H360" s="84"/>
      <c r="I360" s="84"/>
      <c r="J360" s="84"/>
      <c r="K360" s="85"/>
      <c r="L360" s="85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41"/>
      <c r="B361" s="47"/>
      <c r="C361" s="41"/>
      <c r="D361" s="2"/>
      <c r="E361" s="38"/>
      <c r="F361" s="42"/>
      <c r="G361" s="40"/>
      <c r="H361" s="84"/>
      <c r="I361" s="84"/>
      <c r="J361" s="84"/>
      <c r="K361" s="85"/>
      <c r="L361" s="85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41"/>
      <c r="B362" s="47"/>
      <c r="C362" s="41"/>
      <c r="D362" s="2"/>
      <c r="E362" s="38"/>
      <c r="F362" s="42"/>
      <c r="G362" s="40"/>
      <c r="H362" s="84"/>
      <c r="I362" s="84"/>
      <c r="J362" s="84"/>
      <c r="K362" s="85"/>
      <c r="L362" s="85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41"/>
      <c r="B363" s="47"/>
      <c r="C363" s="41"/>
      <c r="D363" s="2"/>
      <c r="E363" s="38"/>
      <c r="F363" s="42"/>
      <c r="G363" s="40"/>
      <c r="H363" s="84"/>
      <c r="I363" s="84"/>
      <c r="J363" s="84"/>
      <c r="K363" s="85"/>
      <c r="L363" s="85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41"/>
      <c r="B364" s="47"/>
      <c r="C364" s="41"/>
      <c r="D364" s="2"/>
      <c r="E364" s="38"/>
      <c r="F364" s="42"/>
      <c r="G364" s="40"/>
      <c r="H364" s="84"/>
      <c r="I364" s="84"/>
      <c r="J364" s="84"/>
      <c r="K364" s="85"/>
      <c r="L364" s="85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41"/>
      <c r="B365" s="47"/>
      <c r="C365" s="41"/>
      <c r="D365" s="2"/>
      <c r="E365" s="38"/>
      <c r="F365" s="42"/>
      <c r="G365" s="40"/>
      <c r="H365" s="84"/>
      <c r="I365" s="84"/>
      <c r="J365" s="84"/>
      <c r="K365" s="85"/>
      <c r="L365" s="85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41"/>
      <c r="B366" s="47"/>
      <c r="C366" s="41"/>
      <c r="D366" s="2"/>
      <c r="E366" s="38"/>
      <c r="F366" s="42"/>
      <c r="G366" s="40"/>
      <c r="H366" s="84"/>
      <c r="I366" s="84"/>
      <c r="J366" s="84"/>
      <c r="K366" s="85"/>
      <c r="L366" s="85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41"/>
      <c r="B367" s="47"/>
      <c r="C367" s="41"/>
      <c r="D367" s="2"/>
      <c r="E367" s="38"/>
      <c r="F367" s="42"/>
      <c r="G367" s="40"/>
      <c r="H367" s="84"/>
      <c r="I367" s="84"/>
      <c r="J367" s="84"/>
      <c r="K367" s="85"/>
      <c r="L367" s="85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41"/>
      <c r="B368" s="47"/>
      <c r="C368" s="41"/>
      <c r="D368" s="2"/>
      <c r="E368" s="38"/>
      <c r="F368" s="42"/>
      <c r="G368" s="40"/>
      <c r="H368" s="84"/>
      <c r="I368" s="84"/>
      <c r="J368" s="84"/>
      <c r="K368" s="85"/>
      <c r="L368" s="85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41"/>
      <c r="B369" s="47"/>
      <c r="C369" s="41"/>
      <c r="D369" s="2"/>
      <c r="E369" s="38"/>
      <c r="F369" s="42"/>
      <c r="G369" s="40"/>
      <c r="H369" s="84"/>
      <c r="I369" s="84"/>
      <c r="J369" s="84"/>
      <c r="K369" s="85"/>
      <c r="L369" s="85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41"/>
      <c r="B370" s="47"/>
      <c r="C370" s="41"/>
      <c r="D370" s="2"/>
      <c r="E370" s="38"/>
      <c r="F370" s="42"/>
      <c r="G370" s="40"/>
      <c r="H370" s="84"/>
      <c r="I370" s="84"/>
      <c r="J370" s="84"/>
      <c r="K370" s="85"/>
      <c r="L370" s="85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41"/>
      <c r="B371" s="47"/>
      <c r="C371" s="41"/>
      <c r="D371" s="2"/>
      <c r="E371" s="38"/>
      <c r="F371" s="42"/>
      <c r="G371" s="40"/>
      <c r="H371" s="84"/>
      <c r="I371" s="84"/>
      <c r="J371" s="84"/>
      <c r="K371" s="85"/>
      <c r="L371" s="85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41"/>
      <c r="B372" s="47"/>
      <c r="C372" s="41"/>
      <c r="D372" s="2"/>
      <c r="E372" s="38"/>
      <c r="F372" s="42"/>
      <c r="G372" s="40"/>
      <c r="H372" s="84"/>
      <c r="I372" s="84"/>
      <c r="J372" s="84"/>
      <c r="K372" s="85"/>
      <c r="L372" s="85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41"/>
      <c r="B373" s="47"/>
      <c r="C373" s="41"/>
      <c r="D373" s="2"/>
      <c r="E373" s="38"/>
      <c r="F373" s="42"/>
      <c r="G373" s="40"/>
      <c r="H373" s="84"/>
      <c r="I373" s="84"/>
      <c r="J373" s="84"/>
      <c r="K373" s="85"/>
      <c r="L373" s="85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41"/>
      <c r="B374" s="47"/>
      <c r="C374" s="41"/>
      <c r="D374" s="2"/>
      <c r="E374" s="38"/>
      <c r="F374" s="42"/>
      <c r="G374" s="40"/>
      <c r="H374" s="84"/>
      <c r="I374" s="84"/>
      <c r="J374" s="84"/>
      <c r="K374" s="85"/>
      <c r="L374" s="85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41"/>
      <c r="B375" s="47"/>
      <c r="C375" s="41"/>
      <c r="D375" s="2"/>
      <c r="E375" s="38"/>
      <c r="F375" s="42"/>
      <c r="G375" s="40"/>
      <c r="H375" s="84"/>
      <c r="I375" s="84"/>
      <c r="J375" s="84"/>
      <c r="K375" s="85"/>
      <c r="L375" s="85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41"/>
      <c r="B376" s="47"/>
      <c r="C376" s="41"/>
      <c r="D376" s="2"/>
      <c r="E376" s="38"/>
      <c r="F376" s="42"/>
      <c r="G376" s="40"/>
      <c r="H376" s="84"/>
      <c r="I376" s="84"/>
      <c r="J376" s="84"/>
      <c r="K376" s="85"/>
      <c r="L376" s="85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41"/>
      <c r="B377" s="47"/>
      <c r="C377" s="41"/>
      <c r="D377" s="2"/>
      <c r="E377" s="38"/>
      <c r="F377" s="42"/>
      <c r="G377" s="40"/>
      <c r="H377" s="84"/>
      <c r="I377" s="84"/>
      <c r="J377" s="84"/>
      <c r="K377" s="85"/>
      <c r="L377" s="85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41"/>
      <c r="B378" s="47"/>
      <c r="C378" s="41"/>
      <c r="D378" s="2"/>
      <c r="E378" s="38"/>
      <c r="F378" s="42"/>
      <c r="G378" s="40"/>
      <c r="H378" s="84"/>
      <c r="I378" s="84"/>
      <c r="J378" s="84"/>
      <c r="K378" s="85"/>
      <c r="L378" s="85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41"/>
      <c r="B379" s="47"/>
      <c r="C379" s="41"/>
      <c r="D379" s="2"/>
      <c r="E379" s="38"/>
      <c r="F379" s="42"/>
      <c r="G379" s="40"/>
      <c r="H379" s="84"/>
      <c r="I379" s="84"/>
      <c r="J379" s="84"/>
      <c r="K379" s="85"/>
      <c r="L379" s="85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41"/>
      <c r="B380" s="47"/>
      <c r="C380" s="41"/>
      <c r="D380" s="2"/>
      <c r="E380" s="38"/>
      <c r="F380" s="42"/>
      <c r="G380" s="40"/>
      <c r="H380" s="84"/>
      <c r="I380" s="84"/>
      <c r="J380" s="84"/>
      <c r="K380" s="85"/>
      <c r="L380" s="85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41"/>
      <c r="B381" s="47"/>
      <c r="C381" s="41"/>
      <c r="D381" s="2"/>
      <c r="E381" s="38"/>
      <c r="F381" s="42"/>
      <c r="G381" s="40"/>
      <c r="H381" s="84"/>
      <c r="I381" s="84"/>
      <c r="J381" s="84"/>
      <c r="K381" s="85"/>
      <c r="L381" s="85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41"/>
      <c r="B382" s="47"/>
      <c r="C382" s="41"/>
      <c r="D382" s="2"/>
      <c r="E382" s="38"/>
      <c r="F382" s="42"/>
      <c r="G382" s="40"/>
      <c r="H382" s="84"/>
      <c r="I382" s="84"/>
      <c r="J382" s="84"/>
      <c r="K382" s="85"/>
      <c r="L382" s="85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41"/>
      <c r="B383" s="47"/>
      <c r="C383" s="41"/>
      <c r="D383" s="2"/>
      <c r="E383" s="38"/>
      <c r="F383" s="42"/>
      <c r="G383" s="40"/>
      <c r="H383" s="84"/>
      <c r="I383" s="84"/>
      <c r="J383" s="84"/>
      <c r="K383" s="85"/>
      <c r="L383" s="85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41"/>
      <c r="B384" s="47"/>
      <c r="C384" s="41"/>
      <c r="D384" s="2"/>
      <c r="E384" s="38"/>
      <c r="F384" s="42"/>
      <c r="G384" s="40"/>
      <c r="H384" s="84"/>
      <c r="I384" s="84"/>
      <c r="J384" s="84"/>
      <c r="K384" s="85"/>
      <c r="L384" s="85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41"/>
      <c r="B385" s="47"/>
      <c r="C385" s="41"/>
      <c r="D385" s="2"/>
      <c r="E385" s="38"/>
      <c r="F385" s="42"/>
      <c r="G385" s="40"/>
      <c r="H385" s="84"/>
      <c r="I385" s="84"/>
      <c r="J385" s="84"/>
      <c r="K385" s="85"/>
      <c r="L385" s="85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41"/>
      <c r="B386" s="47"/>
      <c r="C386" s="41"/>
      <c r="D386" s="2"/>
      <c r="E386" s="38"/>
      <c r="F386" s="42"/>
      <c r="G386" s="40"/>
      <c r="H386" s="84"/>
      <c r="I386" s="84"/>
      <c r="J386" s="84"/>
      <c r="K386" s="85"/>
      <c r="L386" s="85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41"/>
      <c r="B387" s="47"/>
      <c r="C387" s="41"/>
      <c r="D387" s="2"/>
      <c r="E387" s="38"/>
      <c r="F387" s="42"/>
      <c r="G387" s="40"/>
      <c r="H387" s="84"/>
      <c r="I387" s="84"/>
      <c r="J387" s="84"/>
      <c r="K387" s="85"/>
      <c r="L387" s="85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41"/>
      <c r="B388" s="47"/>
      <c r="C388" s="41"/>
      <c r="D388" s="2"/>
      <c r="E388" s="38"/>
      <c r="F388" s="42"/>
      <c r="G388" s="40"/>
      <c r="H388" s="84"/>
      <c r="I388" s="84"/>
      <c r="J388" s="84"/>
      <c r="K388" s="85"/>
      <c r="L388" s="85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41"/>
      <c r="B389" s="47"/>
      <c r="C389" s="41"/>
      <c r="D389" s="2"/>
      <c r="E389" s="38"/>
      <c r="F389" s="42"/>
      <c r="G389" s="40"/>
      <c r="H389" s="84"/>
      <c r="I389" s="84"/>
      <c r="J389" s="84"/>
      <c r="K389" s="85"/>
      <c r="L389" s="85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41"/>
      <c r="B390" s="47"/>
      <c r="C390" s="41"/>
      <c r="D390" s="2"/>
      <c r="E390" s="38"/>
      <c r="F390" s="42"/>
      <c r="G390" s="40"/>
      <c r="H390" s="84"/>
      <c r="I390" s="84"/>
      <c r="J390" s="84"/>
      <c r="K390" s="85"/>
      <c r="L390" s="85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41"/>
      <c r="B391" s="47"/>
      <c r="C391" s="41"/>
      <c r="D391" s="2"/>
      <c r="E391" s="38"/>
      <c r="F391" s="42"/>
      <c r="G391" s="40"/>
      <c r="H391" s="84"/>
      <c r="I391" s="84"/>
      <c r="J391" s="84"/>
      <c r="K391" s="85"/>
      <c r="L391" s="85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41"/>
      <c r="B392" s="47"/>
      <c r="C392" s="41"/>
      <c r="D392" s="2"/>
      <c r="E392" s="38"/>
      <c r="F392" s="42"/>
      <c r="G392" s="40"/>
      <c r="H392" s="84"/>
      <c r="I392" s="84"/>
      <c r="J392" s="84"/>
      <c r="K392" s="85"/>
      <c r="L392" s="85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41"/>
      <c r="B393" s="47"/>
      <c r="C393" s="41"/>
      <c r="D393" s="2"/>
      <c r="E393" s="38"/>
      <c r="F393" s="42"/>
      <c r="G393" s="40"/>
      <c r="H393" s="84"/>
      <c r="I393" s="84"/>
      <c r="J393" s="84"/>
      <c r="K393" s="85"/>
      <c r="L393" s="85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41"/>
      <c r="B394" s="47"/>
      <c r="C394" s="41"/>
      <c r="D394" s="2"/>
      <c r="E394" s="38"/>
      <c r="F394" s="42"/>
      <c r="G394" s="40"/>
      <c r="H394" s="84"/>
      <c r="I394" s="84"/>
      <c r="J394" s="84"/>
      <c r="K394" s="85"/>
      <c r="L394" s="85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41"/>
      <c r="B395" s="47"/>
      <c r="C395" s="41"/>
      <c r="D395" s="2"/>
      <c r="E395" s="38"/>
      <c r="F395" s="42"/>
      <c r="G395" s="40"/>
      <c r="H395" s="84"/>
      <c r="I395" s="84"/>
      <c r="J395" s="84"/>
      <c r="K395" s="85"/>
      <c r="L395" s="85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41"/>
      <c r="B396" s="47"/>
      <c r="C396" s="41"/>
      <c r="D396" s="2"/>
      <c r="E396" s="38"/>
      <c r="F396" s="42"/>
      <c r="G396" s="40"/>
      <c r="H396" s="84"/>
      <c r="I396" s="84"/>
      <c r="J396" s="84"/>
      <c r="K396" s="85"/>
      <c r="L396" s="85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41"/>
      <c r="B397" s="47"/>
      <c r="C397" s="41"/>
      <c r="D397" s="2"/>
      <c r="E397" s="38"/>
      <c r="F397" s="42"/>
      <c r="G397" s="40"/>
      <c r="H397" s="84"/>
      <c r="I397" s="84"/>
      <c r="J397" s="84"/>
      <c r="K397" s="85"/>
      <c r="L397" s="85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41"/>
      <c r="B398" s="47"/>
      <c r="C398" s="41"/>
      <c r="D398" s="2"/>
      <c r="E398" s="38"/>
      <c r="F398" s="42"/>
      <c r="G398" s="40"/>
      <c r="H398" s="84"/>
      <c r="I398" s="84"/>
      <c r="J398" s="84"/>
      <c r="K398" s="85"/>
      <c r="L398" s="85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41"/>
      <c r="B399" s="47"/>
      <c r="C399" s="41"/>
      <c r="D399" s="2"/>
      <c r="E399" s="38"/>
      <c r="F399" s="42"/>
      <c r="G399" s="40"/>
      <c r="H399" s="84"/>
      <c r="I399" s="84"/>
      <c r="J399" s="84"/>
      <c r="K399" s="85"/>
      <c r="L399" s="85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41"/>
      <c r="B400" s="47"/>
      <c r="C400" s="41"/>
      <c r="D400" s="2"/>
      <c r="E400" s="38"/>
      <c r="F400" s="42"/>
      <c r="G400" s="40"/>
      <c r="H400" s="84"/>
      <c r="I400" s="84"/>
      <c r="J400" s="84"/>
      <c r="K400" s="85"/>
      <c r="L400" s="85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07"/>
      <c r="C401" s="2"/>
      <c r="D401" s="2"/>
      <c r="E401" s="104"/>
      <c r="F401" s="106"/>
      <c r="G401" s="105"/>
      <c r="H401" s="85"/>
      <c r="I401" s="85"/>
      <c r="J401" s="85"/>
      <c r="K401" s="85"/>
      <c r="L401" s="85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07"/>
      <c r="C402" s="2"/>
      <c r="D402" s="2"/>
      <c r="E402" s="104"/>
      <c r="F402" s="106"/>
      <c r="G402" s="105"/>
      <c r="H402" s="85"/>
      <c r="I402" s="85"/>
      <c r="J402" s="85"/>
      <c r="K402" s="85"/>
      <c r="L402" s="85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07"/>
      <c r="C403" s="2"/>
      <c r="D403" s="2"/>
      <c r="E403" s="104"/>
      <c r="F403" s="106"/>
      <c r="G403" s="105"/>
      <c r="H403" s="85"/>
      <c r="I403" s="85"/>
      <c r="J403" s="85"/>
      <c r="K403" s="85"/>
      <c r="L403" s="85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07"/>
      <c r="C404" s="2"/>
      <c r="D404" s="2"/>
      <c r="E404" s="104"/>
      <c r="F404" s="106"/>
      <c r="G404" s="105"/>
      <c r="H404" s="85"/>
      <c r="I404" s="85"/>
      <c r="J404" s="85"/>
      <c r="K404" s="85"/>
      <c r="L404" s="85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07"/>
      <c r="C405" s="2"/>
      <c r="D405" s="2"/>
      <c r="E405" s="104"/>
      <c r="F405" s="106"/>
      <c r="G405" s="105"/>
      <c r="H405" s="85"/>
      <c r="I405" s="85"/>
      <c r="J405" s="85"/>
      <c r="K405" s="85"/>
      <c r="L405" s="85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07"/>
      <c r="C406" s="2"/>
      <c r="D406" s="2"/>
      <c r="E406" s="104"/>
      <c r="F406" s="106"/>
      <c r="G406" s="105"/>
      <c r="H406" s="85"/>
      <c r="I406" s="85"/>
      <c r="J406" s="85"/>
      <c r="K406" s="85"/>
      <c r="L406" s="85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07"/>
      <c r="C407" s="2"/>
      <c r="D407" s="2"/>
      <c r="E407" s="104"/>
      <c r="F407" s="106"/>
      <c r="G407" s="105"/>
      <c r="H407" s="85"/>
      <c r="I407" s="85"/>
      <c r="J407" s="85"/>
      <c r="K407" s="85"/>
      <c r="L407" s="85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07"/>
      <c r="C408" s="2"/>
      <c r="D408" s="2"/>
      <c r="E408" s="104"/>
      <c r="F408" s="106"/>
      <c r="G408" s="105"/>
      <c r="H408" s="85"/>
      <c r="I408" s="85"/>
      <c r="J408" s="85"/>
      <c r="K408" s="85"/>
      <c r="L408" s="85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07"/>
      <c r="C409" s="2"/>
      <c r="D409" s="2"/>
      <c r="E409" s="104"/>
      <c r="F409" s="106"/>
      <c r="G409" s="105"/>
      <c r="H409" s="85"/>
      <c r="I409" s="85"/>
      <c r="J409" s="85"/>
      <c r="K409" s="85"/>
      <c r="L409" s="85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07"/>
      <c r="C410" s="2"/>
      <c r="D410" s="2"/>
      <c r="E410" s="104"/>
      <c r="F410" s="106"/>
      <c r="G410" s="105"/>
      <c r="H410" s="85"/>
      <c r="I410" s="85"/>
      <c r="J410" s="85"/>
      <c r="K410" s="85"/>
      <c r="L410" s="85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07"/>
      <c r="C411" s="2"/>
      <c r="D411" s="2"/>
      <c r="E411" s="104"/>
      <c r="F411" s="106"/>
      <c r="G411" s="105"/>
      <c r="H411" s="85"/>
      <c r="I411" s="85"/>
      <c r="J411" s="85"/>
      <c r="K411" s="85"/>
      <c r="L411" s="85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07"/>
      <c r="C412" s="2"/>
      <c r="D412" s="2"/>
      <c r="E412" s="104"/>
      <c r="F412" s="106"/>
      <c r="G412" s="105"/>
      <c r="H412" s="85"/>
      <c r="I412" s="85"/>
      <c r="J412" s="85"/>
      <c r="K412" s="85"/>
      <c r="L412" s="85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07"/>
      <c r="C413" s="2"/>
      <c r="D413" s="2"/>
      <c r="E413" s="104"/>
      <c r="F413" s="106"/>
      <c r="G413" s="105"/>
      <c r="H413" s="85"/>
      <c r="I413" s="85"/>
      <c r="J413" s="85"/>
      <c r="K413" s="85"/>
      <c r="L413" s="85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07"/>
      <c r="C414" s="2"/>
      <c r="D414" s="2"/>
      <c r="E414" s="104"/>
      <c r="F414" s="106"/>
      <c r="G414" s="105"/>
      <c r="H414" s="85"/>
      <c r="I414" s="85"/>
      <c r="J414" s="85"/>
      <c r="K414" s="85"/>
      <c r="L414" s="85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07"/>
      <c r="C415" s="2"/>
      <c r="D415" s="2"/>
      <c r="E415" s="104"/>
      <c r="F415" s="106"/>
      <c r="G415" s="105"/>
      <c r="H415" s="85"/>
      <c r="I415" s="85"/>
      <c r="J415" s="85"/>
      <c r="K415" s="85"/>
      <c r="L415" s="85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07"/>
      <c r="C416" s="2"/>
      <c r="D416" s="2"/>
      <c r="E416" s="104"/>
      <c r="F416" s="106"/>
      <c r="G416" s="105"/>
      <c r="H416" s="85"/>
      <c r="I416" s="85"/>
      <c r="J416" s="85"/>
      <c r="K416" s="85"/>
      <c r="L416" s="85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07"/>
      <c r="C417" s="2"/>
      <c r="D417" s="2"/>
      <c r="E417" s="104"/>
      <c r="F417" s="106"/>
      <c r="G417" s="105"/>
      <c r="H417" s="85"/>
      <c r="I417" s="85"/>
      <c r="J417" s="85"/>
      <c r="K417" s="85"/>
      <c r="L417" s="85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07"/>
      <c r="C418" s="2"/>
      <c r="D418" s="2"/>
      <c r="E418" s="104"/>
      <c r="F418" s="106"/>
      <c r="G418" s="105"/>
      <c r="H418" s="85"/>
      <c r="I418" s="85"/>
      <c r="J418" s="85"/>
      <c r="K418" s="85"/>
      <c r="L418" s="85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07"/>
      <c r="C419" s="2"/>
      <c r="D419" s="2"/>
      <c r="E419" s="104"/>
      <c r="F419" s="106"/>
      <c r="G419" s="105"/>
      <c r="H419" s="85"/>
      <c r="I419" s="85"/>
      <c r="J419" s="85"/>
      <c r="K419" s="85"/>
      <c r="L419" s="85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07"/>
      <c r="C420" s="2"/>
      <c r="D420" s="2"/>
      <c r="E420" s="104"/>
      <c r="F420" s="106"/>
      <c r="G420" s="105"/>
      <c r="H420" s="85"/>
      <c r="I420" s="85"/>
      <c r="J420" s="85"/>
      <c r="K420" s="85"/>
      <c r="L420" s="85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07"/>
      <c r="C421" s="2"/>
      <c r="D421" s="2"/>
      <c r="E421" s="104"/>
      <c r="F421" s="106"/>
      <c r="G421" s="105"/>
      <c r="H421" s="85"/>
      <c r="I421" s="85"/>
      <c r="J421" s="85"/>
      <c r="K421" s="85"/>
      <c r="L421" s="85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07"/>
      <c r="C422" s="2"/>
      <c r="D422" s="2"/>
      <c r="E422" s="104"/>
      <c r="F422" s="106"/>
      <c r="G422" s="105"/>
      <c r="H422" s="85"/>
      <c r="I422" s="85"/>
      <c r="J422" s="85"/>
      <c r="K422" s="85"/>
      <c r="L422" s="85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07"/>
      <c r="C423" s="2"/>
      <c r="D423" s="2"/>
      <c r="E423" s="104"/>
      <c r="F423" s="106"/>
      <c r="G423" s="105"/>
      <c r="H423" s="85"/>
      <c r="I423" s="85"/>
      <c r="J423" s="85"/>
      <c r="K423" s="85"/>
      <c r="L423" s="85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07"/>
      <c r="C424" s="2"/>
      <c r="D424" s="2"/>
      <c r="E424" s="104"/>
      <c r="F424" s="106"/>
      <c r="G424" s="105"/>
      <c r="H424" s="85"/>
      <c r="I424" s="85"/>
      <c r="J424" s="85"/>
      <c r="K424" s="85"/>
      <c r="L424" s="85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07"/>
      <c r="C425" s="2"/>
      <c r="D425" s="2"/>
      <c r="E425" s="104"/>
      <c r="F425" s="106"/>
      <c r="G425" s="105"/>
      <c r="H425" s="85"/>
      <c r="I425" s="85"/>
      <c r="J425" s="85"/>
      <c r="K425" s="85"/>
      <c r="L425" s="85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07"/>
      <c r="C426" s="2"/>
      <c r="D426" s="2"/>
      <c r="E426" s="104"/>
      <c r="F426" s="106"/>
      <c r="G426" s="105"/>
      <c r="H426" s="85"/>
      <c r="I426" s="85"/>
      <c r="J426" s="85"/>
      <c r="K426" s="85"/>
      <c r="L426" s="85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07"/>
      <c r="C427" s="2"/>
      <c r="D427" s="2"/>
      <c r="E427" s="104"/>
      <c r="F427" s="106"/>
      <c r="G427" s="105"/>
      <c r="H427" s="85"/>
      <c r="I427" s="85"/>
      <c r="J427" s="85"/>
      <c r="K427" s="85"/>
      <c r="L427" s="85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07"/>
      <c r="C428" s="2"/>
      <c r="D428" s="2"/>
      <c r="E428" s="104"/>
      <c r="F428" s="106"/>
      <c r="G428" s="105"/>
      <c r="H428" s="85"/>
      <c r="I428" s="85"/>
      <c r="J428" s="85"/>
      <c r="K428" s="85"/>
      <c r="L428" s="85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07"/>
      <c r="C429" s="2"/>
      <c r="D429" s="2"/>
      <c r="E429" s="104"/>
      <c r="F429" s="106"/>
      <c r="G429" s="105"/>
      <c r="H429" s="85"/>
      <c r="I429" s="85"/>
      <c r="J429" s="85"/>
      <c r="K429" s="85"/>
      <c r="L429" s="85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07"/>
      <c r="C430" s="2"/>
      <c r="D430" s="2"/>
      <c r="E430" s="104"/>
      <c r="F430" s="106"/>
      <c r="G430" s="105"/>
      <c r="H430" s="85"/>
      <c r="I430" s="85"/>
      <c r="J430" s="85"/>
      <c r="K430" s="85"/>
      <c r="L430" s="85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07"/>
      <c r="C431" s="2"/>
      <c r="D431" s="2"/>
      <c r="E431" s="104"/>
      <c r="F431" s="106"/>
      <c r="G431" s="105"/>
      <c r="H431" s="85"/>
      <c r="I431" s="85"/>
      <c r="J431" s="85"/>
      <c r="K431" s="85"/>
      <c r="L431" s="85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07"/>
      <c r="C432" s="2"/>
      <c r="D432" s="2"/>
      <c r="E432" s="104"/>
      <c r="F432" s="106"/>
      <c r="G432" s="105"/>
      <c r="H432" s="85"/>
      <c r="I432" s="85"/>
      <c r="J432" s="85"/>
      <c r="K432" s="85"/>
      <c r="L432" s="85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07"/>
      <c r="C433" s="2"/>
      <c r="D433" s="2"/>
      <c r="E433" s="104"/>
      <c r="F433" s="106"/>
      <c r="G433" s="105"/>
      <c r="H433" s="85"/>
      <c r="I433" s="85"/>
      <c r="J433" s="85"/>
      <c r="K433" s="85"/>
      <c r="L433" s="85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07"/>
      <c r="C434" s="2"/>
      <c r="D434" s="2"/>
      <c r="E434" s="104"/>
      <c r="F434" s="106"/>
      <c r="G434" s="105"/>
      <c r="H434" s="85"/>
      <c r="I434" s="85"/>
      <c r="J434" s="85"/>
      <c r="K434" s="85"/>
      <c r="L434" s="85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07"/>
      <c r="C435" s="2"/>
      <c r="D435" s="2"/>
      <c r="E435" s="104"/>
      <c r="F435" s="106"/>
      <c r="G435" s="105"/>
      <c r="H435" s="85"/>
      <c r="I435" s="85"/>
      <c r="J435" s="85"/>
      <c r="K435" s="85"/>
      <c r="L435" s="85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07"/>
      <c r="C436" s="2"/>
      <c r="D436" s="2"/>
      <c r="E436" s="104"/>
      <c r="F436" s="106"/>
      <c r="G436" s="105"/>
      <c r="H436" s="85"/>
      <c r="I436" s="85"/>
      <c r="J436" s="85"/>
      <c r="K436" s="85"/>
      <c r="L436" s="85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07"/>
      <c r="C437" s="2"/>
      <c r="D437" s="2"/>
      <c r="E437" s="104"/>
      <c r="F437" s="106"/>
      <c r="G437" s="105"/>
      <c r="H437" s="85"/>
      <c r="I437" s="85"/>
      <c r="J437" s="85"/>
      <c r="K437" s="85"/>
      <c r="L437" s="85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07"/>
      <c r="C438" s="2"/>
      <c r="D438" s="2"/>
      <c r="E438" s="104"/>
      <c r="F438" s="106"/>
      <c r="G438" s="105"/>
      <c r="H438" s="85"/>
      <c r="I438" s="85"/>
      <c r="J438" s="85"/>
      <c r="K438" s="85"/>
      <c r="L438" s="85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07"/>
      <c r="C439" s="2"/>
      <c r="D439" s="2"/>
      <c r="E439" s="104"/>
      <c r="F439" s="106"/>
      <c r="G439" s="105"/>
      <c r="H439" s="85"/>
      <c r="I439" s="85"/>
      <c r="J439" s="85"/>
      <c r="K439" s="85"/>
      <c r="L439" s="85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07"/>
      <c r="C440" s="2"/>
      <c r="D440" s="2"/>
      <c r="E440" s="104"/>
      <c r="F440" s="106"/>
      <c r="G440" s="105"/>
      <c r="H440" s="85"/>
      <c r="I440" s="85"/>
      <c r="J440" s="85"/>
      <c r="K440" s="85"/>
      <c r="L440" s="85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07"/>
      <c r="C441" s="2"/>
      <c r="D441" s="2"/>
      <c r="E441" s="104"/>
      <c r="F441" s="106"/>
      <c r="G441" s="105"/>
      <c r="H441" s="85"/>
      <c r="I441" s="85"/>
      <c r="J441" s="85"/>
      <c r="K441" s="85"/>
      <c r="L441" s="85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07"/>
      <c r="C442" s="2"/>
      <c r="D442" s="2"/>
      <c r="E442" s="104"/>
      <c r="F442" s="106"/>
      <c r="G442" s="105"/>
      <c r="H442" s="85"/>
      <c r="I442" s="85"/>
      <c r="J442" s="85"/>
      <c r="K442" s="85"/>
      <c r="L442" s="85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07"/>
      <c r="C443" s="2"/>
      <c r="D443" s="2"/>
      <c r="E443" s="104"/>
      <c r="F443" s="106"/>
      <c r="G443" s="105"/>
      <c r="H443" s="85"/>
      <c r="I443" s="85"/>
      <c r="J443" s="85"/>
      <c r="K443" s="85"/>
      <c r="L443" s="85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07"/>
      <c r="C444" s="2"/>
      <c r="D444" s="2"/>
      <c r="E444" s="104"/>
      <c r="F444" s="106"/>
      <c r="G444" s="105"/>
      <c r="H444" s="85"/>
      <c r="I444" s="85"/>
      <c r="J444" s="85"/>
      <c r="K444" s="85"/>
      <c r="L444" s="85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07"/>
      <c r="C445" s="2"/>
      <c r="D445" s="2"/>
      <c r="E445" s="104"/>
      <c r="F445" s="106"/>
      <c r="G445" s="105"/>
      <c r="H445" s="85"/>
      <c r="I445" s="85"/>
      <c r="J445" s="85"/>
      <c r="K445" s="85"/>
      <c r="L445" s="85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07"/>
      <c r="C446" s="2"/>
      <c r="D446" s="2"/>
      <c r="E446" s="104"/>
      <c r="F446" s="106"/>
      <c r="G446" s="105"/>
      <c r="H446" s="85"/>
      <c r="I446" s="85"/>
      <c r="J446" s="85"/>
      <c r="K446" s="85"/>
      <c r="L446" s="85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07"/>
      <c r="C447" s="2"/>
      <c r="D447" s="2"/>
      <c r="E447" s="104"/>
      <c r="F447" s="106"/>
      <c r="G447" s="105"/>
      <c r="H447" s="85"/>
      <c r="I447" s="85"/>
      <c r="J447" s="85"/>
      <c r="K447" s="85"/>
      <c r="L447" s="85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07"/>
      <c r="C448" s="2"/>
      <c r="D448" s="2"/>
      <c r="E448" s="104"/>
      <c r="F448" s="106"/>
      <c r="G448" s="105"/>
      <c r="H448" s="85"/>
      <c r="I448" s="85"/>
      <c r="J448" s="85"/>
      <c r="K448" s="85"/>
      <c r="L448" s="85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07"/>
      <c r="C449" s="2"/>
      <c r="D449" s="2"/>
      <c r="E449" s="104"/>
      <c r="F449" s="106"/>
      <c r="G449" s="105"/>
      <c r="H449" s="85"/>
      <c r="I449" s="85"/>
      <c r="J449" s="85"/>
      <c r="K449" s="85"/>
      <c r="L449" s="85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07"/>
      <c r="C450" s="2"/>
      <c r="D450" s="2"/>
      <c r="E450" s="104"/>
      <c r="F450" s="106"/>
      <c r="G450" s="105"/>
      <c r="H450" s="85"/>
      <c r="I450" s="85"/>
      <c r="J450" s="85"/>
      <c r="K450" s="85"/>
      <c r="L450" s="85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07"/>
      <c r="C451" s="2"/>
      <c r="D451" s="2"/>
      <c r="E451" s="104"/>
      <c r="F451" s="106"/>
      <c r="G451" s="105"/>
      <c r="H451" s="85"/>
      <c r="I451" s="85"/>
      <c r="J451" s="85"/>
      <c r="K451" s="85"/>
      <c r="L451" s="85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07"/>
      <c r="C452" s="2"/>
      <c r="D452" s="2"/>
      <c r="E452" s="104"/>
      <c r="F452" s="106"/>
      <c r="G452" s="105"/>
      <c r="H452" s="85"/>
      <c r="I452" s="85"/>
      <c r="J452" s="85"/>
      <c r="K452" s="85"/>
      <c r="L452" s="85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07"/>
      <c r="C453" s="2"/>
      <c r="D453" s="2"/>
      <c r="E453" s="104"/>
      <c r="F453" s="106"/>
      <c r="G453" s="105"/>
      <c r="H453" s="85"/>
      <c r="I453" s="85"/>
      <c r="J453" s="85"/>
      <c r="K453" s="85"/>
      <c r="L453" s="85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07"/>
      <c r="C454" s="2"/>
      <c r="D454" s="2"/>
      <c r="E454" s="104"/>
      <c r="F454" s="106"/>
      <c r="G454" s="105"/>
      <c r="H454" s="85"/>
      <c r="I454" s="85"/>
      <c r="J454" s="85"/>
      <c r="K454" s="85"/>
      <c r="L454" s="85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07"/>
      <c r="C455" s="2"/>
      <c r="D455" s="2"/>
      <c r="E455" s="104"/>
      <c r="F455" s="106"/>
      <c r="G455" s="105"/>
      <c r="H455" s="85"/>
      <c r="I455" s="85"/>
      <c r="J455" s="85"/>
      <c r="K455" s="85"/>
      <c r="L455" s="85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07"/>
      <c r="C456" s="2"/>
      <c r="D456" s="2"/>
      <c r="E456" s="104"/>
      <c r="F456" s="106"/>
      <c r="G456" s="105"/>
      <c r="H456" s="85"/>
      <c r="I456" s="85"/>
      <c r="J456" s="85"/>
      <c r="K456" s="85"/>
      <c r="L456" s="85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07"/>
      <c r="C457" s="2"/>
      <c r="D457" s="2"/>
      <c r="E457" s="104"/>
      <c r="F457" s="106"/>
      <c r="G457" s="105"/>
      <c r="H457" s="85"/>
      <c r="I457" s="85"/>
      <c r="J457" s="85"/>
      <c r="K457" s="85"/>
      <c r="L457" s="85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07"/>
      <c r="C458" s="2"/>
      <c r="D458" s="2"/>
      <c r="E458" s="104"/>
      <c r="F458" s="106"/>
      <c r="G458" s="105"/>
      <c r="H458" s="85"/>
      <c r="I458" s="85"/>
      <c r="J458" s="85"/>
      <c r="K458" s="85"/>
      <c r="L458" s="85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07"/>
      <c r="C459" s="2"/>
      <c r="D459" s="2"/>
      <c r="E459" s="104"/>
      <c r="F459" s="106"/>
      <c r="G459" s="105"/>
      <c r="H459" s="85"/>
      <c r="I459" s="85"/>
      <c r="J459" s="85"/>
      <c r="K459" s="85"/>
      <c r="L459" s="85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07"/>
      <c r="C460" s="2"/>
      <c r="D460" s="2"/>
      <c r="E460" s="104"/>
      <c r="F460" s="106"/>
      <c r="G460" s="105"/>
      <c r="H460" s="85"/>
      <c r="I460" s="85"/>
      <c r="J460" s="85"/>
      <c r="K460" s="85"/>
      <c r="L460" s="85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07"/>
      <c r="C461" s="2"/>
      <c r="D461" s="2"/>
      <c r="E461" s="104"/>
      <c r="F461" s="106"/>
      <c r="G461" s="105"/>
      <c r="H461" s="85"/>
      <c r="I461" s="85"/>
      <c r="J461" s="85"/>
      <c r="K461" s="85"/>
      <c r="L461" s="85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07"/>
      <c r="C462" s="2"/>
      <c r="D462" s="2"/>
      <c r="E462" s="104"/>
      <c r="F462" s="106"/>
      <c r="G462" s="105"/>
      <c r="H462" s="85"/>
      <c r="I462" s="85"/>
      <c r="J462" s="85"/>
      <c r="K462" s="85"/>
      <c r="L462" s="85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07"/>
      <c r="C463" s="2"/>
      <c r="D463" s="2"/>
      <c r="E463" s="104"/>
      <c r="F463" s="106"/>
      <c r="G463" s="105"/>
      <c r="H463" s="85"/>
      <c r="I463" s="85"/>
      <c r="J463" s="85"/>
      <c r="K463" s="85"/>
      <c r="L463" s="85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07"/>
      <c r="C464" s="2"/>
      <c r="D464" s="2"/>
      <c r="E464" s="104"/>
      <c r="F464" s="106"/>
      <c r="G464" s="105"/>
      <c r="H464" s="85"/>
      <c r="I464" s="85"/>
      <c r="J464" s="85"/>
      <c r="K464" s="85"/>
      <c r="L464" s="85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07"/>
      <c r="C465" s="2"/>
      <c r="D465" s="2"/>
      <c r="E465" s="104"/>
      <c r="F465" s="106"/>
      <c r="G465" s="105"/>
      <c r="H465" s="85"/>
      <c r="I465" s="85"/>
      <c r="J465" s="85"/>
      <c r="K465" s="85"/>
      <c r="L465" s="85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07"/>
      <c r="C466" s="2"/>
      <c r="D466" s="2"/>
      <c r="E466" s="104"/>
      <c r="F466" s="106"/>
      <c r="G466" s="105"/>
      <c r="H466" s="85"/>
      <c r="I466" s="85"/>
      <c r="J466" s="85"/>
      <c r="K466" s="85"/>
      <c r="L466" s="85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07"/>
      <c r="C467" s="2"/>
      <c r="D467" s="2"/>
      <c r="E467" s="104"/>
      <c r="F467" s="106"/>
      <c r="G467" s="105"/>
      <c r="H467" s="85"/>
      <c r="I467" s="85"/>
      <c r="J467" s="85"/>
      <c r="K467" s="85"/>
      <c r="L467" s="85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07"/>
      <c r="C468" s="2"/>
      <c r="D468" s="2"/>
      <c r="E468" s="104"/>
      <c r="F468" s="106"/>
      <c r="G468" s="105"/>
      <c r="H468" s="85"/>
      <c r="I468" s="85"/>
      <c r="J468" s="85"/>
      <c r="K468" s="85"/>
      <c r="L468" s="85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07"/>
      <c r="C469" s="2"/>
      <c r="D469" s="2"/>
      <c r="E469" s="104"/>
      <c r="F469" s="106"/>
      <c r="G469" s="105"/>
      <c r="H469" s="85"/>
      <c r="I469" s="85"/>
      <c r="J469" s="85"/>
      <c r="K469" s="85"/>
      <c r="L469" s="85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07"/>
      <c r="C470" s="2"/>
      <c r="D470" s="2"/>
      <c r="E470" s="104"/>
      <c r="F470" s="106"/>
      <c r="G470" s="105"/>
      <c r="H470" s="85"/>
      <c r="I470" s="85"/>
      <c r="J470" s="85"/>
      <c r="K470" s="85"/>
      <c r="L470" s="85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07"/>
      <c r="C471" s="2"/>
      <c r="D471" s="2"/>
      <c r="E471" s="104"/>
      <c r="F471" s="106"/>
      <c r="G471" s="105"/>
      <c r="H471" s="85"/>
      <c r="I471" s="85"/>
      <c r="J471" s="85"/>
      <c r="K471" s="85"/>
      <c r="L471" s="85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07"/>
      <c r="C472" s="2"/>
      <c r="D472" s="2"/>
      <c r="E472" s="104"/>
      <c r="F472" s="106"/>
      <c r="G472" s="105"/>
      <c r="H472" s="85"/>
      <c r="I472" s="85"/>
      <c r="J472" s="85"/>
      <c r="K472" s="85"/>
      <c r="L472" s="85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07"/>
      <c r="C473" s="2"/>
      <c r="D473" s="2"/>
      <c r="E473" s="104"/>
      <c r="F473" s="106"/>
      <c r="G473" s="105"/>
      <c r="H473" s="85"/>
      <c r="I473" s="85"/>
      <c r="J473" s="85"/>
      <c r="K473" s="85"/>
      <c r="L473" s="85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07"/>
      <c r="C474" s="2"/>
      <c r="D474" s="2"/>
      <c r="E474" s="104"/>
      <c r="F474" s="106"/>
      <c r="G474" s="105"/>
      <c r="H474" s="85"/>
      <c r="I474" s="85"/>
      <c r="J474" s="85"/>
      <c r="K474" s="85"/>
      <c r="L474" s="85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07"/>
      <c r="C475" s="2"/>
      <c r="D475" s="2"/>
      <c r="E475" s="104"/>
      <c r="F475" s="106"/>
      <c r="G475" s="105"/>
      <c r="H475" s="85"/>
      <c r="I475" s="85"/>
      <c r="J475" s="85"/>
      <c r="K475" s="85"/>
      <c r="L475" s="85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07"/>
      <c r="C476" s="2"/>
      <c r="D476" s="2"/>
      <c r="E476" s="104"/>
      <c r="F476" s="106"/>
      <c r="G476" s="105"/>
      <c r="H476" s="85"/>
      <c r="I476" s="85"/>
      <c r="J476" s="85"/>
      <c r="K476" s="85"/>
      <c r="L476" s="85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07"/>
      <c r="C477" s="2"/>
      <c r="D477" s="2"/>
      <c r="E477" s="104"/>
      <c r="F477" s="106"/>
      <c r="G477" s="105"/>
      <c r="H477" s="85"/>
      <c r="I477" s="85"/>
      <c r="J477" s="85"/>
      <c r="K477" s="85"/>
      <c r="L477" s="85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07"/>
      <c r="C478" s="2"/>
      <c r="D478" s="2"/>
      <c r="E478" s="104"/>
      <c r="F478" s="106"/>
      <c r="G478" s="105"/>
      <c r="H478" s="85"/>
      <c r="I478" s="85"/>
      <c r="J478" s="85"/>
      <c r="K478" s="85"/>
      <c r="L478" s="85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07"/>
      <c r="C479" s="2"/>
      <c r="D479" s="2"/>
      <c r="E479" s="104"/>
      <c r="F479" s="106"/>
      <c r="G479" s="105"/>
      <c r="H479" s="85"/>
      <c r="I479" s="85"/>
      <c r="J479" s="85"/>
      <c r="K479" s="85"/>
      <c r="L479" s="85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07"/>
      <c r="C480" s="2"/>
      <c r="D480" s="2"/>
      <c r="E480" s="104"/>
      <c r="F480" s="106"/>
      <c r="G480" s="105"/>
      <c r="H480" s="85"/>
      <c r="I480" s="85"/>
      <c r="J480" s="85"/>
      <c r="K480" s="85"/>
      <c r="L480" s="85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07"/>
      <c r="C481" s="2"/>
      <c r="D481" s="2"/>
      <c r="E481" s="104"/>
      <c r="F481" s="106"/>
      <c r="G481" s="105"/>
      <c r="H481" s="85"/>
      <c r="I481" s="85"/>
      <c r="J481" s="85"/>
      <c r="K481" s="85"/>
      <c r="L481" s="85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07"/>
      <c r="C482" s="2"/>
      <c r="D482" s="2"/>
      <c r="E482" s="104"/>
      <c r="F482" s="106"/>
      <c r="G482" s="105"/>
      <c r="H482" s="85"/>
      <c r="I482" s="85"/>
      <c r="J482" s="85"/>
      <c r="K482" s="85"/>
      <c r="L482" s="85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07"/>
      <c r="C483" s="2"/>
      <c r="D483" s="2"/>
      <c r="E483" s="104"/>
      <c r="F483" s="106"/>
      <c r="G483" s="105"/>
      <c r="H483" s="85"/>
      <c r="I483" s="85"/>
      <c r="J483" s="85"/>
      <c r="K483" s="85"/>
      <c r="L483" s="85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07"/>
      <c r="C484" s="2"/>
      <c r="D484" s="2"/>
      <c r="E484" s="104"/>
      <c r="F484" s="106"/>
      <c r="G484" s="105"/>
      <c r="H484" s="85"/>
      <c r="I484" s="85"/>
      <c r="J484" s="85"/>
      <c r="K484" s="85"/>
      <c r="L484" s="85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07"/>
      <c r="C485" s="2"/>
      <c r="D485" s="2"/>
      <c r="E485" s="104"/>
      <c r="F485" s="106"/>
      <c r="G485" s="105"/>
      <c r="H485" s="85"/>
      <c r="I485" s="85"/>
      <c r="J485" s="85"/>
      <c r="K485" s="85"/>
      <c r="L485" s="85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07"/>
      <c r="C486" s="2"/>
      <c r="D486" s="2"/>
      <c r="E486" s="104"/>
      <c r="F486" s="106"/>
      <c r="G486" s="105"/>
      <c r="H486" s="85"/>
      <c r="I486" s="85"/>
      <c r="J486" s="85"/>
      <c r="K486" s="85"/>
      <c r="L486" s="85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07"/>
      <c r="C487" s="2"/>
      <c r="D487" s="2"/>
      <c r="E487" s="104"/>
      <c r="F487" s="106"/>
      <c r="G487" s="105"/>
      <c r="H487" s="85"/>
      <c r="I487" s="85"/>
      <c r="J487" s="85"/>
      <c r="K487" s="85"/>
      <c r="L487" s="85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07"/>
      <c r="C488" s="2"/>
      <c r="D488" s="2"/>
      <c r="E488" s="104"/>
      <c r="F488" s="106"/>
      <c r="G488" s="105"/>
      <c r="H488" s="85"/>
      <c r="I488" s="85"/>
      <c r="J488" s="85"/>
      <c r="K488" s="85"/>
      <c r="L488" s="85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07"/>
      <c r="C489" s="2"/>
      <c r="D489" s="2"/>
      <c r="E489" s="104"/>
      <c r="F489" s="106"/>
      <c r="G489" s="105"/>
      <c r="H489" s="85"/>
      <c r="I489" s="85"/>
      <c r="J489" s="85"/>
      <c r="K489" s="85"/>
      <c r="L489" s="85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07"/>
      <c r="C490" s="2"/>
      <c r="D490" s="2"/>
      <c r="E490" s="104"/>
      <c r="F490" s="106"/>
      <c r="G490" s="105"/>
      <c r="H490" s="85"/>
      <c r="I490" s="85"/>
      <c r="J490" s="85"/>
      <c r="K490" s="85"/>
      <c r="L490" s="85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07"/>
      <c r="C491" s="2"/>
      <c r="D491" s="2"/>
      <c r="E491" s="104"/>
      <c r="F491" s="106"/>
      <c r="G491" s="105"/>
      <c r="H491" s="85"/>
      <c r="I491" s="85"/>
      <c r="J491" s="85"/>
      <c r="K491" s="85"/>
      <c r="L491" s="85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07"/>
      <c r="C492" s="2"/>
      <c r="D492" s="2"/>
      <c r="E492" s="104"/>
      <c r="F492" s="106"/>
      <c r="G492" s="105"/>
      <c r="H492" s="85"/>
      <c r="I492" s="85"/>
      <c r="J492" s="85"/>
      <c r="K492" s="85"/>
      <c r="L492" s="85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07"/>
      <c r="C493" s="2"/>
      <c r="D493" s="2"/>
      <c r="E493" s="104"/>
      <c r="F493" s="106"/>
      <c r="G493" s="105"/>
      <c r="H493" s="85"/>
      <c r="I493" s="85"/>
      <c r="J493" s="85"/>
      <c r="K493" s="85"/>
      <c r="L493" s="85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07"/>
      <c r="C494" s="2"/>
      <c r="D494" s="2"/>
      <c r="E494" s="104"/>
      <c r="F494" s="106"/>
      <c r="G494" s="105"/>
      <c r="H494" s="85"/>
      <c r="I494" s="85"/>
      <c r="J494" s="85"/>
      <c r="K494" s="85"/>
      <c r="L494" s="85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07"/>
      <c r="C495" s="2"/>
      <c r="D495" s="2"/>
      <c r="E495" s="104"/>
      <c r="F495" s="106"/>
      <c r="G495" s="105"/>
      <c r="H495" s="85"/>
      <c r="I495" s="85"/>
      <c r="J495" s="85"/>
      <c r="K495" s="85"/>
      <c r="L495" s="85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07"/>
      <c r="C496" s="2"/>
      <c r="D496" s="2"/>
      <c r="E496" s="104"/>
      <c r="F496" s="106"/>
      <c r="G496" s="105"/>
      <c r="H496" s="85"/>
      <c r="I496" s="85"/>
      <c r="J496" s="85"/>
      <c r="K496" s="85"/>
      <c r="L496" s="85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07"/>
      <c r="C497" s="2"/>
      <c r="D497" s="2"/>
      <c r="E497" s="104"/>
      <c r="F497" s="106"/>
      <c r="G497" s="105"/>
      <c r="H497" s="85"/>
      <c r="I497" s="85"/>
      <c r="J497" s="85"/>
      <c r="K497" s="85"/>
      <c r="L497" s="85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07"/>
      <c r="C498" s="2"/>
      <c r="D498" s="2"/>
      <c r="E498" s="104"/>
      <c r="F498" s="106"/>
      <c r="G498" s="105"/>
      <c r="H498" s="85"/>
      <c r="I498" s="85"/>
      <c r="J498" s="85"/>
      <c r="K498" s="85"/>
      <c r="L498" s="85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07"/>
      <c r="C499" s="2"/>
      <c r="D499" s="2"/>
      <c r="E499" s="104"/>
      <c r="F499" s="106"/>
      <c r="G499" s="105"/>
      <c r="H499" s="85"/>
      <c r="I499" s="85"/>
      <c r="J499" s="85"/>
      <c r="K499" s="85"/>
      <c r="L499" s="85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07"/>
      <c r="C500" s="2"/>
      <c r="D500" s="2"/>
      <c r="E500" s="104"/>
      <c r="F500" s="106"/>
      <c r="G500" s="105"/>
      <c r="H500" s="85"/>
      <c r="I500" s="85"/>
      <c r="J500" s="85"/>
      <c r="K500" s="85"/>
      <c r="L500" s="85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07"/>
      <c r="C501" s="2"/>
      <c r="D501" s="2"/>
      <c r="E501" s="104"/>
      <c r="F501" s="106"/>
      <c r="G501" s="105"/>
      <c r="H501" s="85"/>
      <c r="I501" s="85"/>
      <c r="J501" s="85"/>
      <c r="K501" s="85"/>
      <c r="L501" s="85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07"/>
      <c r="C502" s="2"/>
      <c r="D502" s="2"/>
      <c r="E502" s="104"/>
      <c r="F502" s="106"/>
      <c r="G502" s="105"/>
      <c r="H502" s="85"/>
      <c r="I502" s="85"/>
      <c r="J502" s="85"/>
      <c r="K502" s="85"/>
      <c r="L502" s="85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07"/>
      <c r="C503" s="2"/>
      <c r="D503" s="2"/>
      <c r="E503" s="104"/>
      <c r="F503" s="106"/>
      <c r="G503" s="105"/>
      <c r="H503" s="85"/>
      <c r="I503" s="85"/>
      <c r="J503" s="85"/>
      <c r="K503" s="85"/>
      <c r="L503" s="85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07"/>
      <c r="C504" s="2"/>
      <c r="D504" s="2"/>
      <c r="E504" s="104"/>
      <c r="F504" s="106"/>
      <c r="G504" s="105"/>
      <c r="H504" s="85"/>
      <c r="I504" s="85"/>
      <c r="J504" s="85"/>
      <c r="K504" s="85"/>
      <c r="L504" s="85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07"/>
      <c r="C505" s="2"/>
      <c r="D505" s="2"/>
      <c r="E505" s="104"/>
      <c r="F505" s="106"/>
      <c r="G505" s="105"/>
      <c r="H505" s="85"/>
      <c r="I505" s="85"/>
      <c r="J505" s="85"/>
      <c r="K505" s="85"/>
      <c r="L505" s="85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07"/>
      <c r="C506" s="2"/>
      <c r="D506" s="2"/>
      <c r="E506" s="104"/>
      <c r="F506" s="106"/>
      <c r="G506" s="105"/>
      <c r="H506" s="85"/>
      <c r="I506" s="85"/>
      <c r="J506" s="85"/>
      <c r="K506" s="85"/>
      <c r="L506" s="85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07"/>
      <c r="C507" s="2"/>
      <c r="D507" s="2"/>
      <c r="E507" s="104"/>
      <c r="F507" s="106"/>
      <c r="G507" s="105"/>
      <c r="H507" s="85"/>
      <c r="I507" s="85"/>
      <c r="J507" s="85"/>
      <c r="K507" s="85"/>
      <c r="L507" s="85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07"/>
      <c r="C508" s="2"/>
      <c r="D508" s="2"/>
      <c r="E508" s="104"/>
      <c r="F508" s="106"/>
      <c r="G508" s="105"/>
      <c r="H508" s="85"/>
      <c r="I508" s="85"/>
      <c r="J508" s="85"/>
      <c r="K508" s="85"/>
      <c r="L508" s="85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07"/>
      <c r="C509" s="2"/>
      <c r="D509" s="2"/>
      <c r="E509" s="104"/>
      <c r="F509" s="106"/>
      <c r="G509" s="105"/>
      <c r="H509" s="85"/>
      <c r="I509" s="85"/>
      <c r="J509" s="85"/>
      <c r="K509" s="85"/>
      <c r="L509" s="85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07"/>
      <c r="C510" s="2"/>
      <c r="D510" s="2"/>
      <c r="E510" s="104"/>
      <c r="F510" s="106"/>
      <c r="G510" s="105"/>
      <c r="H510" s="85"/>
      <c r="I510" s="85"/>
      <c r="J510" s="85"/>
      <c r="K510" s="85"/>
      <c r="L510" s="85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07"/>
      <c r="C511" s="2"/>
      <c r="D511" s="2"/>
      <c r="E511" s="104"/>
      <c r="F511" s="106"/>
      <c r="G511" s="105"/>
      <c r="H511" s="85"/>
      <c r="I511" s="85"/>
      <c r="J511" s="85"/>
      <c r="K511" s="85"/>
      <c r="L511" s="85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07"/>
      <c r="C512" s="2"/>
      <c r="D512" s="2"/>
      <c r="E512" s="104"/>
      <c r="F512" s="106"/>
      <c r="G512" s="105"/>
      <c r="H512" s="85"/>
      <c r="I512" s="85"/>
      <c r="J512" s="85"/>
      <c r="K512" s="85"/>
      <c r="L512" s="85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07"/>
      <c r="C513" s="2"/>
      <c r="D513" s="2"/>
      <c r="E513" s="104"/>
      <c r="F513" s="106"/>
      <c r="G513" s="105"/>
      <c r="H513" s="85"/>
      <c r="I513" s="85"/>
      <c r="J513" s="85"/>
      <c r="K513" s="85"/>
      <c r="L513" s="85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07"/>
      <c r="C514" s="2"/>
      <c r="D514" s="2"/>
      <c r="E514" s="104"/>
      <c r="F514" s="106"/>
      <c r="G514" s="105"/>
      <c r="H514" s="85"/>
      <c r="I514" s="85"/>
      <c r="J514" s="85"/>
      <c r="K514" s="85"/>
      <c r="L514" s="85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07"/>
      <c r="C515" s="2"/>
      <c r="D515" s="2"/>
      <c r="E515" s="104"/>
      <c r="F515" s="106"/>
      <c r="G515" s="105"/>
      <c r="H515" s="85"/>
      <c r="I515" s="85"/>
      <c r="J515" s="85"/>
      <c r="K515" s="85"/>
      <c r="L515" s="85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07"/>
      <c r="C516" s="2"/>
      <c r="D516" s="2"/>
      <c r="E516" s="104"/>
      <c r="F516" s="106"/>
      <c r="G516" s="105"/>
      <c r="H516" s="85"/>
      <c r="I516" s="85"/>
      <c r="J516" s="85"/>
      <c r="K516" s="85"/>
      <c r="L516" s="85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07"/>
      <c r="C517" s="2"/>
      <c r="D517" s="2"/>
      <c r="E517" s="104"/>
      <c r="F517" s="106"/>
      <c r="G517" s="105"/>
      <c r="H517" s="85"/>
      <c r="I517" s="85"/>
      <c r="J517" s="85"/>
      <c r="K517" s="85"/>
      <c r="L517" s="85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07"/>
      <c r="C518" s="2"/>
      <c r="D518" s="2"/>
      <c r="E518" s="104"/>
      <c r="F518" s="106"/>
      <c r="G518" s="105"/>
      <c r="H518" s="85"/>
      <c r="I518" s="85"/>
      <c r="J518" s="85"/>
      <c r="K518" s="85"/>
      <c r="L518" s="85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07"/>
      <c r="C519" s="2"/>
      <c r="D519" s="2"/>
      <c r="E519" s="104"/>
      <c r="F519" s="106"/>
      <c r="G519" s="105"/>
      <c r="H519" s="85"/>
      <c r="I519" s="85"/>
      <c r="J519" s="85"/>
      <c r="K519" s="85"/>
      <c r="L519" s="85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07"/>
      <c r="C520" s="2"/>
      <c r="D520" s="2"/>
      <c r="E520" s="104"/>
      <c r="F520" s="106"/>
      <c r="G520" s="105"/>
      <c r="H520" s="85"/>
      <c r="I520" s="85"/>
      <c r="J520" s="85"/>
      <c r="K520" s="85"/>
      <c r="L520" s="85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07"/>
      <c r="C521" s="2"/>
      <c r="D521" s="2"/>
      <c r="E521" s="104"/>
      <c r="F521" s="106"/>
      <c r="G521" s="105"/>
      <c r="H521" s="85"/>
      <c r="I521" s="85"/>
      <c r="J521" s="85"/>
      <c r="K521" s="85"/>
      <c r="L521" s="85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07"/>
      <c r="C522" s="2"/>
      <c r="D522" s="2"/>
      <c r="E522" s="104"/>
      <c r="F522" s="106"/>
      <c r="G522" s="105"/>
      <c r="H522" s="85"/>
      <c r="I522" s="85"/>
      <c r="J522" s="85"/>
      <c r="K522" s="85"/>
      <c r="L522" s="85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07"/>
      <c r="C523" s="2"/>
      <c r="D523" s="2"/>
      <c r="E523" s="104"/>
      <c r="F523" s="106"/>
      <c r="G523" s="105"/>
      <c r="H523" s="85"/>
      <c r="I523" s="85"/>
      <c r="J523" s="85"/>
      <c r="K523" s="85"/>
      <c r="L523" s="85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07"/>
      <c r="C524" s="2"/>
      <c r="D524" s="2"/>
      <c r="E524" s="104"/>
      <c r="F524" s="106"/>
      <c r="G524" s="105"/>
      <c r="H524" s="85"/>
      <c r="I524" s="85"/>
      <c r="J524" s="85"/>
      <c r="K524" s="85"/>
      <c r="L524" s="85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07"/>
      <c r="C525" s="2"/>
      <c r="D525" s="2"/>
      <c r="E525" s="104"/>
      <c r="F525" s="106"/>
      <c r="G525" s="105"/>
      <c r="H525" s="85"/>
      <c r="I525" s="85"/>
      <c r="J525" s="85"/>
      <c r="K525" s="85"/>
      <c r="L525" s="85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07"/>
      <c r="C526" s="2"/>
      <c r="D526" s="2"/>
      <c r="E526" s="104"/>
      <c r="F526" s="106"/>
      <c r="G526" s="105"/>
      <c r="H526" s="85"/>
      <c r="I526" s="85"/>
      <c r="J526" s="85"/>
      <c r="K526" s="85"/>
      <c r="L526" s="85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07"/>
      <c r="C527" s="2"/>
      <c r="D527" s="2"/>
      <c r="E527" s="104"/>
      <c r="F527" s="106"/>
      <c r="G527" s="105"/>
      <c r="H527" s="85"/>
      <c r="I527" s="85"/>
      <c r="J527" s="85"/>
      <c r="K527" s="85"/>
      <c r="L527" s="85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07"/>
      <c r="C528" s="2"/>
      <c r="D528" s="2"/>
      <c r="E528" s="104"/>
      <c r="F528" s="106"/>
      <c r="G528" s="105"/>
      <c r="H528" s="85"/>
      <c r="I528" s="85"/>
      <c r="J528" s="85"/>
      <c r="K528" s="85"/>
      <c r="L528" s="85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07"/>
      <c r="C529" s="2"/>
      <c r="D529" s="2"/>
      <c r="E529" s="104"/>
      <c r="F529" s="106"/>
      <c r="G529" s="105"/>
      <c r="H529" s="85"/>
      <c r="I529" s="85"/>
      <c r="J529" s="85"/>
      <c r="K529" s="85"/>
      <c r="L529" s="85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07"/>
      <c r="C530" s="2"/>
      <c r="D530" s="2"/>
      <c r="E530" s="104"/>
      <c r="F530" s="106"/>
      <c r="G530" s="105"/>
      <c r="H530" s="85"/>
      <c r="I530" s="85"/>
      <c r="J530" s="85"/>
      <c r="K530" s="85"/>
      <c r="L530" s="85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07"/>
      <c r="C531" s="2"/>
      <c r="D531" s="2"/>
      <c r="E531" s="104"/>
      <c r="F531" s="106"/>
      <c r="G531" s="105"/>
      <c r="H531" s="85"/>
      <c r="I531" s="85"/>
      <c r="J531" s="85"/>
      <c r="K531" s="85"/>
      <c r="L531" s="85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07"/>
      <c r="C532" s="2"/>
      <c r="D532" s="2"/>
      <c r="E532" s="104"/>
      <c r="F532" s="106"/>
      <c r="G532" s="105"/>
      <c r="H532" s="85"/>
      <c r="I532" s="85"/>
      <c r="J532" s="85"/>
      <c r="K532" s="85"/>
      <c r="L532" s="85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07"/>
      <c r="C533" s="2"/>
      <c r="D533" s="2"/>
      <c r="E533" s="104"/>
      <c r="F533" s="106"/>
      <c r="G533" s="105"/>
      <c r="H533" s="85"/>
      <c r="I533" s="85"/>
      <c r="J533" s="85"/>
      <c r="K533" s="85"/>
      <c r="L533" s="85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07"/>
      <c r="C534" s="2"/>
      <c r="D534" s="2"/>
      <c r="E534" s="104"/>
      <c r="F534" s="106"/>
      <c r="G534" s="105"/>
      <c r="H534" s="85"/>
      <c r="I534" s="85"/>
      <c r="J534" s="85"/>
      <c r="K534" s="85"/>
      <c r="L534" s="85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07"/>
      <c r="C535" s="2"/>
      <c r="D535" s="2"/>
      <c r="E535" s="104"/>
      <c r="F535" s="106"/>
      <c r="G535" s="105"/>
      <c r="H535" s="85"/>
      <c r="I535" s="85"/>
      <c r="J535" s="85"/>
      <c r="K535" s="85"/>
      <c r="L535" s="85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07"/>
      <c r="C536" s="2"/>
      <c r="D536" s="2"/>
      <c r="E536" s="104"/>
      <c r="F536" s="106"/>
      <c r="G536" s="105"/>
      <c r="H536" s="85"/>
      <c r="I536" s="85"/>
      <c r="J536" s="85"/>
      <c r="K536" s="85"/>
      <c r="L536" s="85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07"/>
      <c r="C537" s="2"/>
      <c r="D537" s="2"/>
      <c r="E537" s="104"/>
      <c r="F537" s="106"/>
      <c r="G537" s="105"/>
      <c r="H537" s="85"/>
      <c r="I537" s="85"/>
      <c r="J537" s="85"/>
      <c r="K537" s="85"/>
      <c r="L537" s="85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07"/>
      <c r="C538" s="2"/>
      <c r="D538" s="2"/>
      <c r="E538" s="104"/>
      <c r="F538" s="106"/>
      <c r="G538" s="105"/>
      <c r="H538" s="85"/>
      <c r="I538" s="85"/>
      <c r="J538" s="85"/>
      <c r="K538" s="85"/>
      <c r="L538" s="85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07"/>
      <c r="C539" s="2"/>
      <c r="D539" s="2"/>
      <c r="E539" s="104"/>
      <c r="F539" s="106"/>
      <c r="G539" s="105"/>
      <c r="H539" s="85"/>
      <c r="I539" s="85"/>
      <c r="J539" s="85"/>
      <c r="K539" s="85"/>
      <c r="L539" s="85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07"/>
      <c r="C540" s="2"/>
      <c r="D540" s="2"/>
      <c r="E540" s="104"/>
      <c r="F540" s="106"/>
      <c r="G540" s="105"/>
      <c r="H540" s="85"/>
      <c r="I540" s="85"/>
      <c r="J540" s="85"/>
      <c r="K540" s="85"/>
      <c r="L540" s="85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07"/>
      <c r="C541" s="2"/>
      <c r="D541" s="2"/>
      <c r="E541" s="104"/>
      <c r="F541" s="106"/>
      <c r="G541" s="105"/>
      <c r="H541" s="85"/>
      <c r="I541" s="85"/>
      <c r="J541" s="85"/>
      <c r="K541" s="85"/>
      <c r="L541" s="85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07"/>
      <c r="C542" s="2"/>
      <c r="D542" s="2"/>
      <c r="E542" s="104"/>
      <c r="F542" s="106"/>
      <c r="G542" s="105"/>
      <c r="H542" s="85"/>
      <c r="I542" s="85"/>
      <c r="J542" s="85"/>
      <c r="K542" s="85"/>
      <c r="L542" s="85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07"/>
      <c r="C543" s="2"/>
      <c r="D543" s="2"/>
      <c r="E543" s="104"/>
      <c r="F543" s="106"/>
      <c r="G543" s="105"/>
      <c r="H543" s="85"/>
      <c r="I543" s="85"/>
      <c r="J543" s="85"/>
      <c r="K543" s="85"/>
      <c r="L543" s="85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07"/>
      <c r="C544" s="2"/>
      <c r="D544" s="2"/>
      <c r="E544" s="104"/>
      <c r="F544" s="106"/>
      <c r="G544" s="105"/>
      <c r="H544" s="85"/>
      <c r="I544" s="85"/>
      <c r="J544" s="85"/>
      <c r="K544" s="85"/>
      <c r="L544" s="85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07"/>
      <c r="C545" s="2"/>
      <c r="D545" s="2"/>
      <c r="E545" s="104"/>
      <c r="F545" s="106"/>
      <c r="G545" s="105"/>
      <c r="H545" s="85"/>
      <c r="I545" s="85"/>
      <c r="J545" s="85"/>
      <c r="K545" s="85"/>
      <c r="L545" s="85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07"/>
      <c r="C546" s="2"/>
      <c r="D546" s="2"/>
      <c r="E546" s="104"/>
      <c r="F546" s="106"/>
      <c r="G546" s="105"/>
      <c r="H546" s="85"/>
      <c r="I546" s="85"/>
      <c r="J546" s="85"/>
      <c r="K546" s="85"/>
      <c r="L546" s="85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07"/>
      <c r="C547" s="2"/>
      <c r="D547" s="2"/>
      <c r="E547" s="104"/>
      <c r="F547" s="106"/>
      <c r="G547" s="105"/>
      <c r="H547" s="85"/>
      <c r="I547" s="85"/>
      <c r="J547" s="85"/>
      <c r="K547" s="85"/>
      <c r="L547" s="85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07"/>
      <c r="C548" s="2"/>
      <c r="D548" s="2"/>
      <c r="E548" s="104"/>
      <c r="F548" s="106"/>
      <c r="G548" s="105"/>
      <c r="H548" s="85"/>
      <c r="I548" s="85"/>
      <c r="J548" s="85"/>
      <c r="K548" s="85"/>
      <c r="L548" s="85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07"/>
      <c r="C549" s="2"/>
      <c r="D549" s="2"/>
      <c r="E549" s="104"/>
      <c r="F549" s="106"/>
      <c r="G549" s="105"/>
      <c r="H549" s="85"/>
      <c r="I549" s="85"/>
      <c r="J549" s="85"/>
      <c r="K549" s="85"/>
      <c r="L549" s="85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07"/>
      <c r="C550" s="2"/>
      <c r="D550" s="2"/>
      <c r="E550" s="104"/>
      <c r="F550" s="106"/>
      <c r="G550" s="105"/>
      <c r="H550" s="85"/>
      <c r="I550" s="85"/>
      <c r="J550" s="85"/>
      <c r="K550" s="85"/>
      <c r="L550" s="85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07"/>
      <c r="C551" s="2"/>
      <c r="D551" s="2"/>
      <c r="E551" s="104"/>
      <c r="F551" s="106"/>
      <c r="G551" s="105"/>
      <c r="H551" s="85"/>
      <c r="I551" s="85"/>
      <c r="J551" s="85"/>
      <c r="K551" s="85"/>
      <c r="L551" s="85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07"/>
      <c r="C552" s="2"/>
      <c r="D552" s="2"/>
      <c r="E552" s="104"/>
      <c r="F552" s="106"/>
      <c r="G552" s="105"/>
      <c r="H552" s="85"/>
      <c r="I552" s="85"/>
      <c r="J552" s="85"/>
      <c r="K552" s="85"/>
      <c r="L552" s="85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07"/>
      <c r="C553" s="2"/>
      <c r="D553" s="2"/>
      <c r="E553" s="104"/>
      <c r="F553" s="106"/>
      <c r="G553" s="105"/>
      <c r="H553" s="85"/>
      <c r="I553" s="85"/>
      <c r="J553" s="85"/>
      <c r="K553" s="85"/>
      <c r="L553" s="85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07"/>
      <c r="C554" s="2"/>
      <c r="D554" s="2"/>
      <c r="E554" s="104"/>
      <c r="F554" s="106"/>
      <c r="G554" s="105"/>
      <c r="H554" s="85"/>
      <c r="I554" s="85"/>
      <c r="J554" s="85"/>
      <c r="K554" s="85"/>
      <c r="L554" s="85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07"/>
      <c r="C555" s="2"/>
      <c r="D555" s="2"/>
      <c r="E555" s="104"/>
      <c r="F555" s="106"/>
      <c r="G555" s="105"/>
      <c r="H555" s="85"/>
      <c r="I555" s="85"/>
      <c r="J555" s="85"/>
      <c r="K555" s="85"/>
      <c r="L555" s="85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07"/>
      <c r="C556" s="2"/>
      <c r="D556" s="2"/>
      <c r="E556" s="104"/>
      <c r="F556" s="106"/>
      <c r="G556" s="105"/>
      <c r="H556" s="85"/>
      <c r="I556" s="85"/>
      <c r="J556" s="85"/>
      <c r="K556" s="85"/>
      <c r="L556" s="85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07"/>
      <c r="C557" s="2"/>
      <c r="D557" s="2"/>
      <c r="E557" s="104"/>
      <c r="F557" s="106"/>
      <c r="G557" s="105"/>
      <c r="H557" s="85"/>
      <c r="I557" s="85"/>
      <c r="J557" s="85"/>
      <c r="K557" s="85"/>
      <c r="L557" s="85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07"/>
      <c r="C558" s="2"/>
      <c r="D558" s="2"/>
      <c r="E558" s="104"/>
      <c r="F558" s="106"/>
      <c r="G558" s="105"/>
      <c r="H558" s="85"/>
      <c r="I558" s="85"/>
      <c r="J558" s="85"/>
      <c r="K558" s="85"/>
      <c r="L558" s="85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07"/>
      <c r="C559" s="2"/>
      <c r="D559" s="2"/>
      <c r="E559" s="104"/>
      <c r="F559" s="106"/>
      <c r="G559" s="105"/>
      <c r="H559" s="85"/>
      <c r="I559" s="85"/>
      <c r="J559" s="85"/>
      <c r="K559" s="85"/>
      <c r="L559" s="85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07"/>
      <c r="C560" s="2"/>
      <c r="D560" s="2"/>
      <c r="E560" s="104"/>
      <c r="F560" s="106"/>
      <c r="G560" s="105"/>
      <c r="H560" s="85"/>
      <c r="I560" s="85"/>
      <c r="J560" s="85"/>
      <c r="K560" s="85"/>
      <c r="L560" s="85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07"/>
      <c r="C561" s="2"/>
      <c r="D561" s="2"/>
      <c r="E561" s="104"/>
      <c r="F561" s="106"/>
      <c r="G561" s="105"/>
      <c r="H561" s="85"/>
      <c r="I561" s="85"/>
      <c r="J561" s="85"/>
      <c r="K561" s="85"/>
      <c r="L561" s="85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07"/>
      <c r="C562" s="2"/>
      <c r="D562" s="2"/>
      <c r="E562" s="104"/>
      <c r="F562" s="106"/>
      <c r="G562" s="105"/>
      <c r="H562" s="85"/>
      <c r="I562" s="85"/>
      <c r="J562" s="85"/>
      <c r="K562" s="85"/>
      <c r="L562" s="85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07"/>
      <c r="C563" s="2"/>
      <c r="D563" s="2"/>
      <c r="E563" s="104"/>
      <c r="F563" s="106"/>
      <c r="G563" s="105"/>
      <c r="H563" s="85"/>
      <c r="I563" s="85"/>
      <c r="J563" s="85"/>
      <c r="K563" s="85"/>
      <c r="L563" s="85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07"/>
      <c r="C564" s="2"/>
      <c r="D564" s="2"/>
      <c r="E564" s="104"/>
      <c r="F564" s="106"/>
      <c r="G564" s="105"/>
      <c r="H564" s="85"/>
      <c r="I564" s="85"/>
      <c r="J564" s="85"/>
      <c r="K564" s="85"/>
      <c r="L564" s="85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07"/>
      <c r="C565" s="2"/>
      <c r="D565" s="2"/>
      <c r="E565" s="104"/>
      <c r="F565" s="106"/>
      <c r="G565" s="105"/>
      <c r="H565" s="85"/>
      <c r="I565" s="85"/>
      <c r="J565" s="85"/>
      <c r="K565" s="85"/>
      <c r="L565" s="85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07"/>
      <c r="C566" s="2"/>
      <c r="D566" s="2"/>
      <c r="E566" s="104"/>
      <c r="F566" s="106"/>
      <c r="G566" s="105"/>
      <c r="H566" s="85"/>
      <c r="I566" s="85"/>
      <c r="J566" s="85"/>
      <c r="K566" s="85"/>
      <c r="L566" s="85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07"/>
      <c r="C567" s="2"/>
      <c r="D567" s="2"/>
      <c r="E567" s="104"/>
      <c r="F567" s="106"/>
      <c r="G567" s="105"/>
      <c r="H567" s="85"/>
      <c r="I567" s="85"/>
      <c r="J567" s="85"/>
      <c r="K567" s="85"/>
      <c r="L567" s="85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07"/>
      <c r="C568" s="2"/>
      <c r="D568" s="2"/>
      <c r="E568" s="104"/>
      <c r="F568" s="106"/>
      <c r="G568" s="105"/>
      <c r="H568" s="85"/>
      <c r="I568" s="85"/>
      <c r="J568" s="85"/>
      <c r="K568" s="85"/>
      <c r="L568" s="85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07"/>
      <c r="C569" s="2"/>
      <c r="D569" s="2"/>
      <c r="E569" s="104"/>
      <c r="F569" s="106"/>
      <c r="G569" s="105"/>
      <c r="H569" s="85"/>
      <c r="I569" s="85"/>
      <c r="J569" s="85"/>
      <c r="K569" s="85"/>
      <c r="L569" s="85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07"/>
      <c r="C570" s="2"/>
      <c r="D570" s="2"/>
      <c r="E570" s="104"/>
      <c r="F570" s="106"/>
      <c r="G570" s="105"/>
      <c r="H570" s="85"/>
      <c r="I570" s="85"/>
      <c r="J570" s="85"/>
      <c r="K570" s="85"/>
      <c r="L570" s="85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07"/>
      <c r="C571" s="2"/>
      <c r="D571" s="2"/>
      <c r="E571" s="104"/>
      <c r="F571" s="106"/>
      <c r="G571" s="105"/>
      <c r="H571" s="85"/>
      <c r="I571" s="85"/>
      <c r="J571" s="85"/>
      <c r="K571" s="85"/>
      <c r="L571" s="85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07"/>
      <c r="C572" s="2"/>
      <c r="D572" s="2"/>
      <c r="E572" s="104"/>
      <c r="F572" s="106"/>
      <c r="G572" s="105"/>
      <c r="H572" s="85"/>
      <c r="I572" s="85"/>
      <c r="J572" s="85"/>
      <c r="K572" s="85"/>
      <c r="L572" s="85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07"/>
      <c r="C573" s="2"/>
      <c r="D573" s="2"/>
      <c r="E573" s="104"/>
      <c r="F573" s="106"/>
      <c r="G573" s="105"/>
      <c r="H573" s="85"/>
      <c r="I573" s="85"/>
      <c r="J573" s="85"/>
      <c r="K573" s="85"/>
      <c r="L573" s="85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07"/>
      <c r="C574" s="2"/>
      <c r="D574" s="2"/>
      <c r="E574" s="104"/>
      <c r="F574" s="106"/>
      <c r="G574" s="105"/>
      <c r="H574" s="85"/>
      <c r="I574" s="85"/>
      <c r="J574" s="85"/>
      <c r="K574" s="85"/>
      <c r="L574" s="85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07"/>
      <c r="C575" s="2"/>
      <c r="D575" s="2"/>
      <c r="E575" s="104"/>
      <c r="F575" s="106"/>
      <c r="G575" s="105"/>
      <c r="H575" s="85"/>
      <c r="I575" s="85"/>
      <c r="J575" s="85"/>
      <c r="K575" s="85"/>
      <c r="L575" s="85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07"/>
      <c r="C576" s="2"/>
      <c r="D576" s="2"/>
      <c r="E576" s="104"/>
      <c r="F576" s="106"/>
      <c r="G576" s="105"/>
      <c r="H576" s="85"/>
      <c r="I576" s="85"/>
      <c r="J576" s="85"/>
      <c r="K576" s="85"/>
      <c r="L576" s="85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07"/>
      <c r="C577" s="2"/>
      <c r="D577" s="2"/>
      <c r="E577" s="104"/>
      <c r="F577" s="106"/>
      <c r="G577" s="105"/>
      <c r="H577" s="85"/>
      <c r="I577" s="85"/>
      <c r="J577" s="85"/>
      <c r="K577" s="85"/>
      <c r="L577" s="85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07"/>
      <c r="C578" s="2"/>
      <c r="D578" s="2"/>
      <c r="E578" s="104"/>
      <c r="F578" s="106"/>
      <c r="G578" s="105"/>
      <c r="H578" s="85"/>
      <c r="I578" s="85"/>
      <c r="J578" s="85"/>
      <c r="K578" s="85"/>
      <c r="L578" s="85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07"/>
      <c r="C579" s="2"/>
      <c r="D579" s="2"/>
      <c r="E579" s="104"/>
      <c r="F579" s="106"/>
      <c r="G579" s="105"/>
      <c r="H579" s="85"/>
      <c r="I579" s="85"/>
      <c r="J579" s="85"/>
      <c r="K579" s="85"/>
      <c r="L579" s="85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07"/>
      <c r="C580" s="2"/>
      <c r="D580" s="2"/>
      <c r="E580" s="104"/>
      <c r="F580" s="106"/>
      <c r="G580" s="105"/>
      <c r="H580" s="85"/>
      <c r="I580" s="85"/>
      <c r="J580" s="85"/>
      <c r="K580" s="85"/>
      <c r="L580" s="85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07"/>
      <c r="C581" s="2"/>
      <c r="D581" s="2"/>
      <c r="E581" s="104"/>
      <c r="F581" s="106"/>
      <c r="G581" s="105"/>
      <c r="H581" s="85"/>
      <c r="I581" s="85"/>
      <c r="J581" s="85"/>
      <c r="K581" s="85"/>
      <c r="L581" s="85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07"/>
      <c r="C582" s="2"/>
      <c r="D582" s="2"/>
      <c r="E582" s="104"/>
      <c r="F582" s="106"/>
      <c r="G582" s="105"/>
      <c r="H582" s="85"/>
      <c r="I582" s="85"/>
      <c r="J582" s="85"/>
      <c r="K582" s="85"/>
      <c r="L582" s="85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07"/>
      <c r="C583" s="2"/>
      <c r="D583" s="2"/>
      <c r="E583" s="104"/>
      <c r="F583" s="106"/>
      <c r="G583" s="105"/>
      <c r="H583" s="85"/>
      <c r="I583" s="85"/>
      <c r="J583" s="85"/>
      <c r="K583" s="85"/>
      <c r="L583" s="85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07"/>
      <c r="C584" s="2"/>
      <c r="D584" s="2"/>
      <c r="E584" s="104"/>
      <c r="F584" s="106"/>
      <c r="G584" s="105"/>
      <c r="H584" s="85"/>
      <c r="I584" s="85"/>
      <c r="J584" s="85"/>
      <c r="K584" s="85"/>
      <c r="L584" s="85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07"/>
      <c r="C585" s="2"/>
      <c r="D585" s="2"/>
      <c r="E585" s="104"/>
      <c r="F585" s="106"/>
      <c r="G585" s="105"/>
      <c r="H585" s="85"/>
      <c r="I585" s="85"/>
      <c r="J585" s="85"/>
      <c r="K585" s="85"/>
      <c r="L585" s="85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07"/>
      <c r="C586" s="2"/>
      <c r="D586" s="2"/>
      <c r="E586" s="104"/>
      <c r="F586" s="106"/>
      <c r="G586" s="105"/>
      <c r="H586" s="85"/>
      <c r="I586" s="85"/>
      <c r="J586" s="85"/>
      <c r="K586" s="85"/>
      <c r="L586" s="85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07"/>
      <c r="C587" s="2"/>
      <c r="D587" s="2"/>
      <c r="E587" s="104"/>
      <c r="F587" s="106"/>
      <c r="G587" s="105"/>
      <c r="H587" s="85"/>
      <c r="I587" s="85"/>
      <c r="J587" s="85"/>
      <c r="K587" s="85"/>
      <c r="L587" s="85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07"/>
      <c r="C588" s="2"/>
      <c r="D588" s="2"/>
      <c r="E588" s="104"/>
      <c r="F588" s="106"/>
      <c r="G588" s="105"/>
      <c r="H588" s="85"/>
      <c r="I588" s="85"/>
      <c r="J588" s="85"/>
      <c r="K588" s="85"/>
      <c r="L588" s="85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07"/>
      <c r="C589" s="2"/>
      <c r="D589" s="2"/>
      <c r="E589" s="104"/>
      <c r="F589" s="106"/>
      <c r="G589" s="105"/>
      <c r="H589" s="85"/>
      <c r="I589" s="85"/>
      <c r="J589" s="85"/>
      <c r="K589" s="85"/>
      <c r="L589" s="85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07"/>
      <c r="C590" s="2"/>
      <c r="D590" s="2"/>
      <c r="E590" s="104"/>
      <c r="F590" s="106"/>
      <c r="G590" s="105"/>
      <c r="H590" s="85"/>
      <c r="I590" s="85"/>
      <c r="J590" s="85"/>
      <c r="K590" s="85"/>
      <c r="L590" s="85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07"/>
      <c r="C591" s="2"/>
      <c r="D591" s="2"/>
      <c r="E591" s="104"/>
      <c r="F591" s="106"/>
      <c r="G591" s="105"/>
      <c r="H591" s="85"/>
      <c r="I591" s="85"/>
      <c r="J591" s="85"/>
      <c r="K591" s="85"/>
      <c r="L591" s="85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07"/>
      <c r="C592" s="2"/>
      <c r="D592" s="2"/>
      <c r="E592" s="104"/>
      <c r="F592" s="106"/>
      <c r="G592" s="105"/>
      <c r="H592" s="85"/>
      <c r="I592" s="85"/>
      <c r="J592" s="85"/>
      <c r="K592" s="85"/>
      <c r="L592" s="85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07"/>
      <c r="C593" s="2"/>
      <c r="D593" s="2"/>
      <c r="E593" s="104"/>
      <c r="F593" s="106"/>
      <c r="G593" s="105"/>
      <c r="H593" s="85"/>
      <c r="I593" s="85"/>
      <c r="J593" s="85"/>
      <c r="K593" s="85"/>
      <c r="L593" s="85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07"/>
      <c r="C594" s="2"/>
      <c r="D594" s="2"/>
      <c r="E594" s="104"/>
      <c r="F594" s="106"/>
      <c r="G594" s="105"/>
      <c r="H594" s="85"/>
      <c r="I594" s="85"/>
      <c r="J594" s="85"/>
      <c r="K594" s="85"/>
      <c r="L594" s="85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07"/>
      <c r="C595" s="2"/>
      <c r="D595" s="2"/>
      <c r="E595" s="104"/>
      <c r="F595" s="106"/>
      <c r="G595" s="105"/>
      <c r="H595" s="85"/>
      <c r="I595" s="85"/>
      <c r="J595" s="85"/>
      <c r="K595" s="85"/>
      <c r="L595" s="85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07"/>
      <c r="C596" s="2"/>
      <c r="D596" s="2"/>
      <c r="E596" s="104"/>
      <c r="F596" s="106"/>
      <c r="G596" s="105"/>
      <c r="H596" s="85"/>
      <c r="I596" s="85"/>
      <c r="J596" s="85"/>
      <c r="K596" s="85"/>
      <c r="L596" s="85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07"/>
      <c r="C597" s="2"/>
      <c r="D597" s="2"/>
      <c r="E597" s="104"/>
      <c r="F597" s="106"/>
      <c r="G597" s="105"/>
      <c r="H597" s="85"/>
      <c r="I597" s="85"/>
      <c r="J597" s="85"/>
      <c r="K597" s="85"/>
      <c r="L597" s="85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07"/>
      <c r="C598" s="2"/>
      <c r="D598" s="2"/>
      <c r="E598" s="104"/>
      <c r="F598" s="106"/>
      <c r="G598" s="105"/>
      <c r="H598" s="85"/>
      <c r="I598" s="85"/>
      <c r="J598" s="85"/>
      <c r="K598" s="85"/>
      <c r="L598" s="85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07"/>
      <c r="C599" s="2"/>
      <c r="D599" s="2"/>
      <c r="E599" s="104"/>
      <c r="F599" s="106"/>
      <c r="G599" s="105"/>
      <c r="H599" s="85"/>
      <c r="I599" s="85"/>
      <c r="J599" s="85"/>
      <c r="K599" s="85"/>
      <c r="L599" s="85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07"/>
      <c r="C600" s="2"/>
      <c r="D600" s="2"/>
      <c r="E600" s="104"/>
      <c r="F600" s="106"/>
      <c r="G600" s="105"/>
      <c r="H600" s="85"/>
      <c r="I600" s="85"/>
      <c r="J600" s="85"/>
      <c r="K600" s="85"/>
      <c r="L600" s="85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07"/>
      <c r="C601" s="2"/>
      <c r="D601" s="2"/>
      <c r="E601" s="104"/>
      <c r="F601" s="106"/>
      <c r="G601" s="105"/>
      <c r="H601" s="85"/>
      <c r="I601" s="85"/>
      <c r="J601" s="85"/>
      <c r="K601" s="85"/>
      <c r="L601" s="85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07"/>
      <c r="C602" s="2"/>
      <c r="D602" s="2"/>
      <c r="E602" s="104"/>
      <c r="F602" s="106"/>
      <c r="G602" s="105"/>
      <c r="H602" s="85"/>
      <c r="I602" s="85"/>
      <c r="J602" s="85"/>
      <c r="K602" s="85"/>
      <c r="L602" s="85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07"/>
      <c r="C603" s="2"/>
      <c r="D603" s="2"/>
      <c r="E603" s="104"/>
      <c r="F603" s="106"/>
      <c r="G603" s="105"/>
      <c r="H603" s="85"/>
      <c r="I603" s="85"/>
      <c r="J603" s="85"/>
      <c r="K603" s="85"/>
      <c r="L603" s="85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07"/>
      <c r="C604" s="2"/>
      <c r="D604" s="2"/>
      <c r="E604" s="104"/>
      <c r="F604" s="106"/>
      <c r="G604" s="105"/>
      <c r="H604" s="85"/>
      <c r="I604" s="85"/>
      <c r="J604" s="85"/>
      <c r="K604" s="85"/>
      <c r="L604" s="85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07"/>
      <c r="C605" s="2"/>
      <c r="D605" s="2"/>
      <c r="E605" s="104"/>
      <c r="F605" s="106"/>
      <c r="G605" s="105"/>
      <c r="H605" s="85"/>
      <c r="I605" s="85"/>
      <c r="J605" s="85"/>
      <c r="K605" s="85"/>
      <c r="L605" s="85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07"/>
      <c r="C606" s="2"/>
      <c r="D606" s="2"/>
      <c r="E606" s="104"/>
      <c r="F606" s="106"/>
      <c r="G606" s="105"/>
      <c r="H606" s="85"/>
      <c r="I606" s="85"/>
      <c r="J606" s="85"/>
      <c r="K606" s="85"/>
      <c r="L606" s="85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07"/>
      <c r="C607" s="2"/>
      <c r="D607" s="2"/>
      <c r="E607" s="104"/>
      <c r="F607" s="106"/>
      <c r="G607" s="105"/>
      <c r="H607" s="85"/>
      <c r="I607" s="85"/>
      <c r="J607" s="85"/>
      <c r="K607" s="85"/>
      <c r="L607" s="85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07"/>
      <c r="C608" s="2"/>
      <c r="D608" s="2"/>
      <c r="E608" s="104"/>
      <c r="F608" s="106"/>
      <c r="G608" s="105"/>
      <c r="H608" s="85"/>
      <c r="I608" s="85"/>
      <c r="J608" s="85"/>
      <c r="K608" s="85"/>
      <c r="L608" s="85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07"/>
      <c r="C609" s="2"/>
      <c r="D609" s="2"/>
      <c r="E609" s="104"/>
      <c r="F609" s="106"/>
      <c r="G609" s="105"/>
      <c r="H609" s="85"/>
      <c r="I609" s="85"/>
      <c r="J609" s="85"/>
      <c r="K609" s="85"/>
      <c r="L609" s="85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07"/>
      <c r="C610" s="2"/>
      <c r="D610" s="2"/>
      <c r="E610" s="104"/>
      <c r="F610" s="106"/>
      <c r="G610" s="105"/>
      <c r="H610" s="85"/>
      <c r="I610" s="85"/>
      <c r="J610" s="85"/>
      <c r="K610" s="85"/>
      <c r="L610" s="85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07"/>
      <c r="C611" s="2"/>
      <c r="D611" s="2"/>
      <c r="E611" s="104"/>
      <c r="F611" s="106"/>
      <c r="G611" s="105"/>
      <c r="H611" s="85"/>
      <c r="I611" s="85"/>
      <c r="J611" s="85"/>
      <c r="K611" s="85"/>
      <c r="L611" s="85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07"/>
      <c r="C612" s="2"/>
      <c r="D612" s="2"/>
      <c r="E612" s="104"/>
      <c r="F612" s="106"/>
      <c r="G612" s="105"/>
      <c r="H612" s="85"/>
      <c r="I612" s="85"/>
      <c r="J612" s="85"/>
      <c r="K612" s="85"/>
      <c r="L612" s="85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07"/>
      <c r="C613" s="2"/>
      <c r="D613" s="2"/>
      <c r="E613" s="104"/>
      <c r="F613" s="106"/>
      <c r="G613" s="105"/>
      <c r="H613" s="85"/>
      <c r="I613" s="85"/>
      <c r="J613" s="85"/>
      <c r="K613" s="85"/>
      <c r="L613" s="85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07"/>
      <c r="C614" s="2"/>
      <c r="D614" s="2"/>
      <c r="E614" s="104"/>
      <c r="F614" s="106"/>
      <c r="G614" s="105"/>
      <c r="H614" s="85"/>
      <c r="I614" s="85"/>
      <c r="J614" s="85"/>
      <c r="K614" s="85"/>
      <c r="L614" s="85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07"/>
      <c r="C615" s="2"/>
      <c r="D615" s="2"/>
      <c r="E615" s="104"/>
      <c r="F615" s="106"/>
      <c r="G615" s="105"/>
      <c r="H615" s="85"/>
      <c r="I615" s="85"/>
      <c r="J615" s="85"/>
      <c r="K615" s="85"/>
      <c r="L615" s="85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07"/>
      <c r="C616" s="2"/>
      <c r="D616" s="2"/>
      <c r="E616" s="104"/>
      <c r="F616" s="106"/>
      <c r="G616" s="105"/>
      <c r="H616" s="85"/>
      <c r="I616" s="85"/>
      <c r="J616" s="85"/>
      <c r="K616" s="85"/>
      <c r="L616" s="85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07"/>
      <c r="C617" s="2"/>
      <c r="D617" s="2"/>
      <c r="E617" s="104"/>
      <c r="F617" s="106"/>
      <c r="G617" s="105"/>
      <c r="H617" s="85"/>
      <c r="I617" s="85"/>
      <c r="J617" s="85"/>
      <c r="K617" s="85"/>
      <c r="L617" s="85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07"/>
      <c r="C618" s="2"/>
      <c r="D618" s="2"/>
      <c r="E618" s="104"/>
      <c r="F618" s="106"/>
      <c r="G618" s="105"/>
      <c r="H618" s="85"/>
      <c r="I618" s="85"/>
      <c r="J618" s="85"/>
      <c r="K618" s="85"/>
      <c r="L618" s="85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07"/>
      <c r="C619" s="2"/>
      <c r="D619" s="2"/>
      <c r="E619" s="104"/>
      <c r="F619" s="106"/>
      <c r="G619" s="105"/>
      <c r="H619" s="85"/>
      <c r="I619" s="85"/>
      <c r="J619" s="85"/>
      <c r="K619" s="85"/>
      <c r="L619" s="85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07"/>
      <c r="C620" s="2"/>
      <c r="D620" s="2"/>
      <c r="E620" s="104"/>
      <c r="F620" s="106"/>
      <c r="G620" s="105"/>
      <c r="H620" s="85"/>
      <c r="I620" s="85"/>
      <c r="J620" s="85"/>
      <c r="K620" s="85"/>
      <c r="L620" s="85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07"/>
      <c r="C621" s="2"/>
      <c r="D621" s="2"/>
      <c r="E621" s="104"/>
      <c r="F621" s="106"/>
      <c r="G621" s="105"/>
      <c r="H621" s="85"/>
      <c r="I621" s="85"/>
      <c r="J621" s="85"/>
      <c r="K621" s="85"/>
      <c r="L621" s="85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07"/>
      <c r="C622" s="2"/>
      <c r="D622" s="2"/>
      <c r="E622" s="104"/>
      <c r="F622" s="106"/>
      <c r="G622" s="105"/>
      <c r="H622" s="85"/>
      <c r="I622" s="85"/>
      <c r="J622" s="85"/>
      <c r="K622" s="85"/>
      <c r="L622" s="85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07"/>
      <c r="C623" s="2"/>
      <c r="D623" s="2"/>
      <c r="E623" s="104"/>
      <c r="F623" s="106"/>
      <c r="G623" s="105"/>
      <c r="H623" s="85"/>
      <c r="I623" s="85"/>
      <c r="J623" s="85"/>
      <c r="K623" s="85"/>
      <c r="L623" s="85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07"/>
      <c r="C624" s="2"/>
      <c r="D624" s="2"/>
      <c r="E624" s="104"/>
      <c r="F624" s="106"/>
      <c r="G624" s="105"/>
      <c r="H624" s="85"/>
      <c r="I624" s="85"/>
      <c r="J624" s="85"/>
      <c r="K624" s="85"/>
      <c r="L624" s="85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07"/>
      <c r="C625" s="2"/>
      <c r="D625" s="2"/>
      <c r="E625" s="104"/>
      <c r="F625" s="106"/>
      <c r="G625" s="105"/>
      <c r="H625" s="85"/>
      <c r="I625" s="85"/>
      <c r="J625" s="85"/>
      <c r="K625" s="85"/>
      <c r="L625" s="85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07"/>
      <c r="C626" s="2"/>
      <c r="D626" s="2"/>
      <c r="E626" s="104"/>
      <c r="F626" s="106"/>
      <c r="G626" s="105"/>
      <c r="H626" s="85"/>
      <c r="I626" s="85"/>
      <c r="J626" s="85"/>
      <c r="K626" s="85"/>
      <c r="L626" s="85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07"/>
      <c r="C627" s="2"/>
      <c r="D627" s="2"/>
      <c r="E627" s="104"/>
      <c r="F627" s="106"/>
      <c r="G627" s="105"/>
      <c r="H627" s="85"/>
      <c r="I627" s="85"/>
      <c r="J627" s="85"/>
      <c r="K627" s="85"/>
      <c r="L627" s="85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07"/>
      <c r="C628" s="2"/>
      <c r="D628" s="2"/>
      <c r="E628" s="104"/>
      <c r="F628" s="106"/>
      <c r="G628" s="105"/>
      <c r="H628" s="85"/>
      <c r="I628" s="85"/>
      <c r="J628" s="85"/>
      <c r="K628" s="85"/>
      <c r="L628" s="85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07"/>
      <c r="C629" s="2"/>
      <c r="D629" s="2"/>
      <c r="E629" s="104"/>
      <c r="F629" s="106"/>
      <c r="G629" s="105"/>
      <c r="H629" s="85"/>
      <c r="I629" s="85"/>
      <c r="J629" s="85"/>
      <c r="K629" s="85"/>
      <c r="L629" s="85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07"/>
      <c r="C630" s="2"/>
      <c r="D630" s="2"/>
      <c r="E630" s="104"/>
      <c r="F630" s="106"/>
      <c r="G630" s="105"/>
      <c r="H630" s="85"/>
      <c r="I630" s="85"/>
      <c r="J630" s="85"/>
      <c r="K630" s="85"/>
      <c r="L630" s="85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07"/>
      <c r="C631" s="2"/>
      <c r="D631" s="2"/>
      <c r="E631" s="104"/>
      <c r="F631" s="106"/>
      <c r="G631" s="105"/>
      <c r="H631" s="85"/>
      <c r="I631" s="85"/>
      <c r="J631" s="85"/>
      <c r="K631" s="85"/>
      <c r="L631" s="85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07"/>
      <c r="C632" s="2"/>
      <c r="D632" s="2"/>
      <c r="E632" s="104"/>
      <c r="F632" s="106"/>
      <c r="G632" s="105"/>
      <c r="H632" s="85"/>
      <c r="I632" s="85"/>
      <c r="J632" s="85"/>
      <c r="K632" s="85"/>
      <c r="L632" s="85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07"/>
      <c r="C633" s="2"/>
      <c r="D633" s="2"/>
      <c r="E633" s="104"/>
      <c r="F633" s="106"/>
      <c r="G633" s="105"/>
      <c r="H633" s="85"/>
      <c r="I633" s="85"/>
      <c r="J633" s="85"/>
      <c r="K633" s="85"/>
      <c r="L633" s="85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07"/>
      <c r="C634" s="2"/>
      <c r="D634" s="2"/>
      <c r="E634" s="104"/>
      <c r="F634" s="106"/>
      <c r="G634" s="105"/>
      <c r="H634" s="85"/>
      <c r="I634" s="85"/>
      <c r="J634" s="85"/>
      <c r="K634" s="85"/>
      <c r="L634" s="85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07"/>
      <c r="C635" s="2"/>
      <c r="D635" s="2"/>
      <c r="E635" s="104"/>
      <c r="F635" s="106"/>
      <c r="G635" s="105"/>
      <c r="H635" s="85"/>
      <c r="I635" s="85"/>
      <c r="J635" s="85"/>
      <c r="K635" s="85"/>
      <c r="L635" s="85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07"/>
      <c r="C636" s="2"/>
      <c r="D636" s="2"/>
      <c r="E636" s="104"/>
      <c r="F636" s="106"/>
      <c r="G636" s="105"/>
      <c r="H636" s="85"/>
      <c r="I636" s="85"/>
      <c r="J636" s="85"/>
      <c r="K636" s="85"/>
      <c r="L636" s="85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07"/>
      <c r="C637" s="2"/>
      <c r="D637" s="2"/>
      <c r="E637" s="104"/>
      <c r="F637" s="106"/>
      <c r="G637" s="105"/>
      <c r="H637" s="85"/>
      <c r="I637" s="85"/>
      <c r="J637" s="85"/>
      <c r="K637" s="85"/>
      <c r="L637" s="85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07"/>
      <c r="C638" s="2"/>
      <c r="D638" s="2"/>
      <c r="E638" s="104"/>
      <c r="F638" s="106"/>
      <c r="G638" s="105"/>
      <c r="H638" s="85"/>
      <c r="I638" s="85"/>
      <c r="J638" s="85"/>
      <c r="K638" s="85"/>
      <c r="L638" s="85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07"/>
      <c r="C639" s="2"/>
      <c r="D639" s="2"/>
      <c r="E639" s="104"/>
      <c r="F639" s="106"/>
      <c r="G639" s="105"/>
      <c r="H639" s="85"/>
      <c r="I639" s="85"/>
      <c r="J639" s="85"/>
      <c r="K639" s="85"/>
      <c r="L639" s="85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07"/>
      <c r="C640" s="2"/>
      <c r="D640" s="2"/>
      <c r="E640" s="104"/>
      <c r="F640" s="106"/>
      <c r="G640" s="105"/>
      <c r="H640" s="85"/>
      <c r="I640" s="85"/>
      <c r="J640" s="85"/>
      <c r="K640" s="85"/>
      <c r="L640" s="85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07"/>
      <c r="C641" s="2"/>
      <c r="D641" s="2"/>
      <c r="E641" s="104"/>
      <c r="F641" s="106"/>
      <c r="G641" s="105"/>
      <c r="H641" s="85"/>
      <c r="I641" s="85"/>
      <c r="J641" s="85"/>
      <c r="K641" s="85"/>
      <c r="L641" s="85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07"/>
      <c r="C642" s="2"/>
      <c r="D642" s="2"/>
      <c r="E642" s="104"/>
      <c r="F642" s="106"/>
      <c r="G642" s="105"/>
      <c r="H642" s="85"/>
      <c r="I642" s="85"/>
      <c r="J642" s="85"/>
      <c r="K642" s="85"/>
      <c r="L642" s="85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07"/>
      <c r="C643" s="2"/>
      <c r="D643" s="2"/>
      <c r="E643" s="104"/>
      <c r="F643" s="106"/>
      <c r="G643" s="105"/>
      <c r="H643" s="85"/>
      <c r="I643" s="85"/>
      <c r="J643" s="85"/>
      <c r="K643" s="85"/>
      <c r="L643" s="85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07"/>
      <c r="C644" s="2"/>
      <c r="D644" s="2"/>
      <c r="E644" s="104"/>
      <c r="F644" s="106"/>
      <c r="G644" s="105"/>
      <c r="H644" s="85"/>
      <c r="I644" s="85"/>
      <c r="J644" s="85"/>
      <c r="K644" s="85"/>
      <c r="L644" s="85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07"/>
      <c r="C645" s="2"/>
      <c r="D645" s="2"/>
      <c r="E645" s="104"/>
      <c r="F645" s="106"/>
      <c r="G645" s="105"/>
      <c r="H645" s="85"/>
      <c r="I645" s="85"/>
      <c r="J645" s="85"/>
      <c r="K645" s="85"/>
      <c r="L645" s="85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07"/>
      <c r="C646" s="2"/>
      <c r="D646" s="2"/>
      <c r="E646" s="104"/>
      <c r="F646" s="106"/>
      <c r="G646" s="105"/>
      <c r="H646" s="85"/>
      <c r="I646" s="85"/>
      <c r="J646" s="85"/>
      <c r="K646" s="85"/>
      <c r="L646" s="85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07"/>
      <c r="C647" s="2"/>
      <c r="D647" s="2"/>
      <c r="E647" s="104"/>
      <c r="F647" s="106"/>
      <c r="G647" s="105"/>
      <c r="H647" s="85"/>
      <c r="I647" s="85"/>
      <c r="J647" s="85"/>
      <c r="K647" s="85"/>
      <c r="L647" s="85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07"/>
      <c r="C648" s="2"/>
      <c r="D648" s="2"/>
      <c r="E648" s="104"/>
      <c r="F648" s="106"/>
      <c r="G648" s="105"/>
      <c r="H648" s="85"/>
      <c r="I648" s="85"/>
      <c r="J648" s="85"/>
      <c r="K648" s="85"/>
      <c r="L648" s="85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07"/>
      <c r="C649" s="2"/>
      <c r="D649" s="2"/>
      <c r="E649" s="104"/>
      <c r="F649" s="106"/>
      <c r="G649" s="105"/>
      <c r="H649" s="85"/>
      <c r="I649" s="85"/>
      <c r="J649" s="85"/>
      <c r="K649" s="85"/>
      <c r="L649" s="85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07"/>
      <c r="C650" s="2"/>
      <c r="D650" s="2"/>
      <c r="E650" s="104"/>
      <c r="F650" s="106"/>
      <c r="G650" s="105"/>
      <c r="H650" s="85"/>
      <c r="I650" s="85"/>
      <c r="J650" s="85"/>
      <c r="K650" s="85"/>
      <c r="L650" s="85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07"/>
      <c r="C651" s="2"/>
      <c r="D651" s="2"/>
      <c r="E651" s="104"/>
      <c r="F651" s="106"/>
      <c r="G651" s="105"/>
      <c r="H651" s="85"/>
      <c r="I651" s="85"/>
      <c r="J651" s="85"/>
      <c r="K651" s="85"/>
      <c r="L651" s="85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07"/>
      <c r="C652" s="2"/>
      <c r="D652" s="2"/>
      <c r="E652" s="104"/>
      <c r="F652" s="106"/>
      <c r="G652" s="105"/>
      <c r="H652" s="85"/>
      <c r="I652" s="85"/>
      <c r="J652" s="85"/>
      <c r="K652" s="85"/>
      <c r="L652" s="85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07"/>
      <c r="C653" s="2"/>
      <c r="D653" s="2"/>
      <c r="E653" s="104"/>
      <c r="F653" s="106"/>
      <c r="G653" s="105"/>
      <c r="H653" s="85"/>
      <c r="I653" s="85"/>
      <c r="J653" s="85"/>
      <c r="K653" s="85"/>
      <c r="L653" s="85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07"/>
      <c r="C654" s="2"/>
      <c r="D654" s="2"/>
      <c r="E654" s="104"/>
      <c r="F654" s="106"/>
      <c r="G654" s="105"/>
      <c r="H654" s="85"/>
      <c r="I654" s="85"/>
      <c r="J654" s="85"/>
      <c r="K654" s="85"/>
      <c r="L654" s="85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07"/>
      <c r="C655" s="2"/>
      <c r="D655" s="2"/>
      <c r="E655" s="104"/>
      <c r="F655" s="106"/>
      <c r="G655" s="105"/>
      <c r="H655" s="85"/>
      <c r="I655" s="85"/>
      <c r="J655" s="85"/>
      <c r="K655" s="85"/>
      <c r="L655" s="85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07"/>
      <c r="C656" s="2"/>
      <c r="D656" s="2"/>
      <c r="E656" s="104"/>
      <c r="F656" s="106"/>
      <c r="G656" s="105"/>
      <c r="H656" s="85"/>
      <c r="I656" s="85"/>
      <c r="J656" s="85"/>
      <c r="K656" s="85"/>
      <c r="L656" s="85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07"/>
      <c r="C657" s="2"/>
      <c r="D657" s="2"/>
      <c r="E657" s="104"/>
      <c r="F657" s="106"/>
      <c r="G657" s="105"/>
      <c r="H657" s="85"/>
      <c r="I657" s="85"/>
      <c r="J657" s="85"/>
      <c r="K657" s="85"/>
      <c r="L657" s="85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07"/>
      <c r="C658" s="2"/>
      <c r="D658" s="2"/>
      <c r="E658" s="104"/>
      <c r="F658" s="106"/>
      <c r="G658" s="105"/>
      <c r="H658" s="85"/>
      <c r="I658" s="85"/>
      <c r="J658" s="85"/>
      <c r="K658" s="85"/>
      <c r="L658" s="85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07"/>
      <c r="C659" s="2"/>
      <c r="D659" s="2"/>
      <c r="E659" s="104"/>
      <c r="F659" s="106"/>
      <c r="G659" s="105"/>
      <c r="H659" s="85"/>
      <c r="I659" s="85"/>
      <c r="J659" s="85"/>
      <c r="K659" s="85"/>
      <c r="L659" s="85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07"/>
      <c r="C660" s="2"/>
      <c r="D660" s="2"/>
      <c r="E660" s="104"/>
      <c r="F660" s="106"/>
      <c r="G660" s="105"/>
      <c r="H660" s="85"/>
      <c r="I660" s="85"/>
      <c r="J660" s="85"/>
      <c r="K660" s="85"/>
      <c r="L660" s="85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07"/>
      <c r="C661" s="2"/>
      <c r="D661" s="2"/>
      <c r="E661" s="104"/>
      <c r="F661" s="106"/>
      <c r="G661" s="105"/>
      <c r="H661" s="85"/>
      <c r="I661" s="85"/>
      <c r="J661" s="85"/>
      <c r="K661" s="85"/>
      <c r="L661" s="85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07"/>
      <c r="C662" s="2"/>
      <c r="D662" s="2"/>
      <c r="E662" s="104"/>
      <c r="F662" s="106"/>
      <c r="G662" s="105"/>
      <c r="H662" s="85"/>
      <c r="I662" s="85"/>
      <c r="J662" s="85"/>
      <c r="K662" s="85"/>
      <c r="L662" s="85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07"/>
      <c r="C663" s="2"/>
      <c r="D663" s="2"/>
      <c r="E663" s="104"/>
      <c r="F663" s="106"/>
      <c r="G663" s="105"/>
      <c r="H663" s="85"/>
      <c r="I663" s="85"/>
      <c r="J663" s="85"/>
      <c r="K663" s="85"/>
      <c r="L663" s="85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07"/>
      <c r="C664" s="2"/>
      <c r="D664" s="2"/>
      <c r="E664" s="104"/>
      <c r="F664" s="106"/>
      <c r="G664" s="105"/>
      <c r="H664" s="85"/>
      <c r="I664" s="85"/>
      <c r="J664" s="85"/>
      <c r="K664" s="85"/>
      <c r="L664" s="85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07"/>
      <c r="C665" s="2"/>
      <c r="D665" s="2"/>
      <c r="E665" s="104"/>
      <c r="F665" s="106"/>
      <c r="G665" s="105"/>
      <c r="H665" s="85"/>
      <c r="I665" s="85"/>
      <c r="J665" s="85"/>
      <c r="K665" s="85"/>
      <c r="L665" s="85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07"/>
      <c r="C666" s="2"/>
      <c r="D666" s="2"/>
      <c r="E666" s="104"/>
      <c r="F666" s="106"/>
      <c r="G666" s="105"/>
      <c r="H666" s="85"/>
      <c r="I666" s="85"/>
      <c r="J666" s="85"/>
      <c r="K666" s="85"/>
      <c r="L666" s="85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07"/>
      <c r="C667" s="2"/>
      <c r="D667" s="2"/>
      <c r="E667" s="104"/>
      <c r="F667" s="106"/>
      <c r="G667" s="105"/>
      <c r="H667" s="85"/>
      <c r="I667" s="85"/>
      <c r="J667" s="85"/>
      <c r="K667" s="85"/>
      <c r="L667" s="85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07"/>
      <c r="C668" s="2"/>
      <c r="D668" s="2"/>
      <c r="E668" s="104"/>
      <c r="F668" s="106"/>
      <c r="G668" s="105"/>
      <c r="H668" s="85"/>
      <c r="I668" s="85"/>
      <c r="J668" s="85"/>
      <c r="K668" s="85"/>
      <c r="L668" s="85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07"/>
      <c r="C669" s="2"/>
      <c r="D669" s="2"/>
      <c r="E669" s="104"/>
      <c r="F669" s="106"/>
      <c r="G669" s="105"/>
      <c r="H669" s="85"/>
      <c r="I669" s="85"/>
      <c r="J669" s="85"/>
      <c r="K669" s="85"/>
      <c r="L669" s="85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07"/>
      <c r="C670" s="2"/>
      <c r="D670" s="2"/>
      <c r="E670" s="104"/>
      <c r="F670" s="106"/>
      <c r="G670" s="105"/>
      <c r="H670" s="85"/>
      <c r="I670" s="85"/>
      <c r="J670" s="85"/>
      <c r="K670" s="85"/>
      <c r="L670" s="85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07"/>
      <c r="C671" s="2"/>
      <c r="D671" s="2"/>
      <c r="E671" s="104"/>
      <c r="F671" s="106"/>
      <c r="G671" s="105"/>
      <c r="H671" s="85"/>
      <c r="I671" s="85"/>
      <c r="J671" s="85"/>
      <c r="K671" s="85"/>
      <c r="L671" s="85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07"/>
      <c r="C672" s="2"/>
      <c r="D672" s="2"/>
      <c r="E672" s="104"/>
      <c r="F672" s="106"/>
      <c r="G672" s="105"/>
      <c r="H672" s="85"/>
      <c r="I672" s="85"/>
      <c r="J672" s="85"/>
      <c r="K672" s="85"/>
      <c r="L672" s="85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07"/>
      <c r="C673" s="2"/>
      <c r="D673" s="2"/>
      <c r="E673" s="104"/>
      <c r="F673" s="106"/>
      <c r="G673" s="105"/>
      <c r="H673" s="85"/>
      <c r="I673" s="85"/>
      <c r="J673" s="85"/>
      <c r="K673" s="85"/>
      <c r="L673" s="85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07"/>
      <c r="C674" s="2"/>
      <c r="D674" s="2"/>
      <c r="E674" s="104"/>
      <c r="F674" s="106"/>
      <c r="G674" s="105"/>
      <c r="H674" s="85"/>
      <c r="I674" s="85"/>
      <c r="J674" s="85"/>
      <c r="K674" s="85"/>
      <c r="L674" s="85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07"/>
      <c r="C675" s="2"/>
      <c r="D675" s="2"/>
      <c r="E675" s="104"/>
      <c r="F675" s="106"/>
      <c r="G675" s="105"/>
      <c r="H675" s="85"/>
      <c r="I675" s="85"/>
      <c r="J675" s="85"/>
      <c r="K675" s="85"/>
      <c r="L675" s="85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07"/>
      <c r="C676" s="2"/>
      <c r="D676" s="2"/>
      <c r="E676" s="104"/>
      <c r="F676" s="106"/>
      <c r="G676" s="105"/>
      <c r="H676" s="85"/>
      <c r="I676" s="85"/>
      <c r="J676" s="85"/>
      <c r="K676" s="85"/>
      <c r="L676" s="85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07"/>
      <c r="C677" s="2"/>
      <c r="D677" s="2"/>
      <c r="E677" s="104"/>
      <c r="F677" s="106"/>
      <c r="G677" s="105"/>
      <c r="H677" s="85"/>
      <c r="I677" s="85"/>
      <c r="J677" s="85"/>
      <c r="K677" s="85"/>
      <c r="L677" s="85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07"/>
      <c r="C678" s="2"/>
      <c r="D678" s="2"/>
      <c r="E678" s="104"/>
      <c r="F678" s="106"/>
      <c r="G678" s="105"/>
      <c r="H678" s="85"/>
      <c r="I678" s="85"/>
      <c r="J678" s="85"/>
      <c r="K678" s="85"/>
      <c r="L678" s="85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07"/>
      <c r="C679" s="2"/>
      <c r="D679" s="2"/>
      <c r="E679" s="104"/>
      <c r="F679" s="106"/>
      <c r="G679" s="105"/>
      <c r="H679" s="85"/>
      <c r="I679" s="85"/>
      <c r="J679" s="85"/>
      <c r="K679" s="85"/>
      <c r="L679" s="85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07"/>
      <c r="C680" s="2"/>
      <c r="D680" s="2"/>
      <c r="E680" s="104"/>
      <c r="F680" s="106"/>
      <c r="G680" s="105"/>
      <c r="H680" s="85"/>
      <c r="I680" s="85"/>
      <c r="J680" s="85"/>
      <c r="K680" s="85"/>
      <c r="L680" s="85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07"/>
      <c r="C681" s="2"/>
      <c r="D681" s="2"/>
      <c r="E681" s="104"/>
      <c r="F681" s="106"/>
      <c r="G681" s="105"/>
      <c r="H681" s="85"/>
      <c r="I681" s="85"/>
      <c r="J681" s="85"/>
      <c r="K681" s="85"/>
      <c r="L681" s="85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07"/>
      <c r="C682" s="2"/>
      <c r="D682" s="2"/>
      <c r="E682" s="104"/>
      <c r="F682" s="106"/>
      <c r="G682" s="105"/>
      <c r="H682" s="85"/>
      <c r="I682" s="85"/>
      <c r="J682" s="85"/>
      <c r="K682" s="85"/>
      <c r="L682" s="85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07"/>
      <c r="C683" s="2"/>
      <c r="D683" s="2"/>
      <c r="E683" s="104"/>
      <c r="F683" s="106"/>
      <c r="G683" s="105"/>
      <c r="H683" s="85"/>
      <c r="I683" s="85"/>
      <c r="J683" s="85"/>
      <c r="K683" s="85"/>
      <c r="L683" s="85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07"/>
      <c r="C684" s="2"/>
      <c r="D684" s="2"/>
      <c r="E684" s="104"/>
      <c r="F684" s="106"/>
      <c r="G684" s="105"/>
      <c r="H684" s="85"/>
      <c r="I684" s="85"/>
      <c r="J684" s="85"/>
      <c r="K684" s="85"/>
      <c r="L684" s="85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07"/>
      <c r="C685" s="2"/>
      <c r="D685" s="2"/>
      <c r="E685" s="104"/>
      <c r="F685" s="106"/>
      <c r="G685" s="105"/>
      <c r="H685" s="85"/>
      <c r="I685" s="85"/>
      <c r="J685" s="85"/>
      <c r="K685" s="85"/>
      <c r="L685" s="85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07"/>
      <c r="C686" s="2"/>
      <c r="D686" s="2"/>
      <c r="E686" s="104"/>
      <c r="F686" s="106"/>
      <c r="G686" s="105"/>
      <c r="H686" s="85"/>
      <c r="I686" s="85"/>
      <c r="J686" s="85"/>
      <c r="K686" s="85"/>
      <c r="L686" s="85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07"/>
      <c r="C687" s="2"/>
      <c r="D687" s="2"/>
      <c r="E687" s="104"/>
      <c r="F687" s="106"/>
      <c r="G687" s="105"/>
      <c r="H687" s="85"/>
      <c r="I687" s="85"/>
      <c r="J687" s="85"/>
      <c r="K687" s="85"/>
      <c r="L687" s="85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07"/>
      <c r="C688" s="2"/>
      <c r="D688" s="2"/>
      <c r="E688" s="104"/>
      <c r="F688" s="106"/>
      <c r="G688" s="105"/>
      <c r="H688" s="85"/>
      <c r="I688" s="85"/>
      <c r="J688" s="85"/>
      <c r="K688" s="85"/>
      <c r="L688" s="85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07"/>
      <c r="C689" s="2"/>
      <c r="D689" s="2"/>
      <c r="E689" s="104"/>
      <c r="F689" s="106"/>
      <c r="G689" s="105"/>
      <c r="H689" s="85"/>
      <c r="I689" s="85"/>
      <c r="J689" s="85"/>
      <c r="K689" s="85"/>
      <c r="L689" s="85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07"/>
      <c r="C690" s="2"/>
      <c r="D690" s="2"/>
      <c r="E690" s="104"/>
      <c r="F690" s="106"/>
      <c r="G690" s="105"/>
      <c r="H690" s="85"/>
      <c r="I690" s="85"/>
      <c r="J690" s="85"/>
      <c r="K690" s="85"/>
      <c r="L690" s="85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07"/>
      <c r="C691" s="2"/>
      <c r="D691" s="2"/>
      <c r="E691" s="104"/>
      <c r="F691" s="106"/>
      <c r="G691" s="105"/>
      <c r="H691" s="85"/>
      <c r="I691" s="85"/>
      <c r="J691" s="85"/>
      <c r="K691" s="85"/>
      <c r="L691" s="85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07"/>
      <c r="C692" s="2"/>
      <c r="D692" s="2"/>
      <c r="E692" s="104"/>
      <c r="F692" s="106"/>
      <c r="G692" s="105"/>
      <c r="H692" s="85"/>
      <c r="I692" s="85"/>
      <c r="J692" s="85"/>
      <c r="K692" s="85"/>
      <c r="L692" s="85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07"/>
      <c r="C693" s="2"/>
      <c r="D693" s="2"/>
      <c r="E693" s="104"/>
      <c r="F693" s="106"/>
      <c r="G693" s="105"/>
      <c r="H693" s="85"/>
      <c r="I693" s="85"/>
      <c r="J693" s="85"/>
      <c r="K693" s="85"/>
      <c r="L693" s="85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07"/>
      <c r="C694" s="2"/>
      <c r="D694" s="2"/>
      <c r="E694" s="104"/>
      <c r="F694" s="106"/>
      <c r="G694" s="105"/>
      <c r="H694" s="85"/>
      <c r="I694" s="85"/>
      <c r="J694" s="85"/>
      <c r="K694" s="85"/>
      <c r="L694" s="85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07"/>
      <c r="C695" s="2"/>
      <c r="D695" s="2"/>
      <c r="E695" s="104"/>
      <c r="F695" s="106"/>
      <c r="G695" s="105"/>
      <c r="H695" s="85"/>
      <c r="I695" s="85"/>
      <c r="J695" s="85"/>
      <c r="K695" s="85"/>
      <c r="L695" s="85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07"/>
      <c r="C696" s="2"/>
      <c r="D696" s="2"/>
      <c r="E696" s="104"/>
      <c r="F696" s="106"/>
      <c r="G696" s="105"/>
      <c r="H696" s="85"/>
      <c r="I696" s="85"/>
      <c r="J696" s="85"/>
      <c r="K696" s="85"/>
      <c r="L696" s="85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07"/>
      <c r="C697" s="2"/>
      <c r="D697" s="2"/>
      <c r="E697" s="104"/>
      <c r="F697" s="106"/>
      <c r="G697" s="105"/>
      <c r="H697" s="85"/>
      <c r="I697" s="85"/>
      <c r="J697" s="85"/>
      <c r="K697" s="85"/>
      <c r="L697" s="85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07"/>
      <c r="C698" s="2"/>
      <c r="D698" s="2"/>
      <c r="E698" s="104"/>
      <c r="F698" s="106"/>
      <c r="G698" s="105"/>
      <c r="H698" s="85"/>
      <c r="I698" s="85"/>
      <c r="J698" s="85"/>
      <c r="K698" s="85"/>
      <c r="L698" s="85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07"/>
      <c r="C699" s="2"/>
      <c r="D699" s="2"/>
      <c r="E699" s="104"/>
      <c r="F699" s="106"/>
      <c r="G699" s="105"/>
      <c r="H699" s="85"/>
      <c r="I699" s="85"/>
      <c r="J699" s="85"/>
      <c r="K699" s="85"/>
      <c r="L699" s="85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07"/>
      <c r="C700" s="2"/>
      <c r="D700" s="2"/>
      <c r="E700" s="104"/>
      <c r="F700" s="106"/>
      <c r="G700" s="105"/>
      <c r="H700" s="85"/>
      <c r="I700" s="85"/>
      <c r="J700" s="85"/>
      <c r="K700" s="85"/>
      <c r="L700" s="85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07"/>
      <c r="C701" s="2"/>
      <c r="D701" s="2"/>
      <c r="E701" s="104"/>
      <c r="F701" s="106"/>
      <c r="G701" s="105"/>
      <c r="H701" s="85"/>
      <c r="I701" s="85"/>
      <c r="J701" s="85"/>
      <c r="K701" s="85"/>
      <c r="L701" s="85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07"/>
      <c r="C702" s="2"/>
      <c r="D702" s="2"/>
      <c r="E702" s="104"/>
      <c r="F702" s="106"/>
      <c r="G702" s="105"/>
      <c r="H702" s="85"/>
      <c r="I702" s="85"/>
      <c r="J702" s="85"/>
      <c r="K702" s="85"/>
      <c r="L702" s="85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07"/>
      <c r="C703" s="2"/>
      <c r="D703" s="2"/>
      <c r="E703" s="104"/>
      <c r="F703" s="106"/>
      <c r="G703" s="105"/>
      <c r="H703" s="85"/>
      <c r="I703" s="85"/>
      <c r="J703" s="85"/>
      <c r="K703" s="85"/>
      <c r="L703" s="85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07"/>
      <c r="C704" s="2"/>
      <c r="D704" s="2"/>
      <c r="E704" s="104"/>
      <c r="F704" s="106"/>
      <c r="G704" s="105"/>
      <c r="H704" s="85"/>
      <c r="I704" s="85"/>
      <c r="J704" s="85"/>
      <c r="K704" s="85"/>
      <c r="L704" s="85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07"/>
      <c r="C705" s="2"/>
      <c r="D705" s="2"/>
      <c r="E705" s="104"/>
      <c r="F705" s="106"/>
      <c r="G705" s="105"/>
      <c r="H705" s="85"/>
      <c r="I705" s="85"/>
      <c r="J705" s="85"/>
      <c r="K705" s="85"/>
      <c r="L705" s="85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07"/>
      <c r="C706" s="2"/>
      <c r="D706" s="2"/>
      <c r="E706" s="104"/>
      <c r="F706" s="106"/>
      <c r="G706" s="105"/>
      <c r="H706" s="85"/>
      <c r="I706" s="85"/>
      <c r="J706" s="85"/>
      <c r="K706" s="85"/>
      <c r="L706" s="85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07"/>
      <c r="C707" s="2"/>
      <c r="D707" s="2"/>
      <c r="E707" s="104"/>
      <c r="F707" s="106"/>
      <c r="G707" s="105"/>
      <c r="H707" s="85"/>
      <c r="I707" s="85"/>
      <c r="J707" s="85"/>
      <c r="K707" s="85"/>
      <c r="L707" s="85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07"/>
      <c r="C708" s="2"/>
      <c r="D708" s="2"/>
      <c r="E708" s="104"/>
      <c r="F708" s="106"/>
      <c r="G708" s="105"/>
      <c r="H708" s="85"/>
      <c r="I708" s="85"/>
      <c r="J708" s="85"/>
      <c r="K708" s="85"/>
      <c r="L708" s="85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07"/>
      <c r="C709" s="2"/>
      <c r="D709" s="2"/>
      <c r="E709" s="104"/>
      <c r="F709" s="106"/>
      <c r="G709" s="105"/>
      <c r="H709" s="85"/>
      <c r="I709" s="85"/>
      <c r="J709" s="85"/>
      <c r="K709" s="85"/>
      <c r="L709" s="85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07"/>
      <c r="C710" s="2"/>
      <c r="D710" s="2"/>
      <c r="E710" s="104"/>
      <c r="F710" s="106"/>
      <c r="G710" s="105"/>
      <c r="H710" s="85"/>
      <c r="I710" s="85"/>
      <c r="J710" s="85"/>
      <c r="K710" s="85"/>
      <c r="L710" s="85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07"/>
      <c r="C711" s="2"/>
      <c r="D711" s="2"/>
      <c r="E711" s="104"/>
      <c r="F711" s="106"/>
      <c r="G711" s="105"/>
      <c r="H711" s="85"/>
      <c r="I711" s="85"/>
      <c r="J711" s="85"/>
      <c r="K711" s="85"/>
      <c r="L711" s="85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07"/>
      <c r="C712" s="2"/>
      <c r="D712" s="2"/>
      <c r="E712" s="104"/>
      <c r="F712" s="106"/>
      <c r="G712" s="105"/>
      <c r="H712" s="85"/>
      <c r="I712" s="85"/>
      <c r="J712" s="85"/>
      <c r="K712" s="85"/>
      <c r="L712" s="85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07"/>
      <c r="C713" s="2"/>
      <c r="D713" s="2"/>
      <c r="E713" s="104"/>
      <c r="F713" s="106"/>
      <c r="G713" s="105"/>
      <c r="H713" s="85"/>
      <c r="I713" s="85"/>
      <c r="J713" s="85"/>
      <c r="K713" s="85"/>
      <c r="L713" s="85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07"/>
      <c r="C714" s="2"/>
      <c r="D714" s="2"/>
      <c r="E714" s="104"/>
      <c r="F714" s="106"/>
      <c r="G714" s="105"/>
      <c r="H714" s="85"/>
      <c r="I714" s="85"/>
      <c r="J714" s="85"/>
      <c r="K714" s="85"/>
      <c r="L714" s="85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07"/>
      <c r="C715" s="2"/>
      <c r="D715" s="2"/>
      <c r="E715" s="104"/>
      <c r="F715" s="106"/>
      <c r="G715" s="105"/>
      <c r="H715" s="85"/>
      <c r="I715" s="85"/>
      <c r="J715" s="85"/>
      <c r="K715" s="85"/>
      <c r="L715" s="85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07"/>
      <c r="C716" s="2"/>
      <c r="D716" s="2"/>
      <c r="E716" s="104"/>
      <c r="F716" s="106"/>
      <c r="G716" s="105"/>
      <c r="H716" s="85"/>
      <c r="I716" s="85"/>
      <c r="J716" s="85"/>
      <c r="K716" s="85"/>
      <c r="L716" s="85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07"/>
      <c r="C717" s="2"/>
      <c r="D717" s="2"/>
      <c r="E717" s="104"/>
      <c r="F717" s="106"/>
      <c r="G717" s="105"/>
      <c r="H717" s="85"/>
      <c r="I717" s="85"/>
      <c r="J717" s="85"/>
      <c r="K717" s="85"/>
      <c r="L717" s="85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07"/>
      <c r="C718" s="2"/>
      <c r="D718" s="2"/>
      <c r="E718" s="104"/>
      <c r="F718" s="106"/>
      <c r="G718" s="105"/>
      <c r="H718" s="85"/>
      <c r="I718" s="85"/>
      <c r="J718" s="85"/>
      <c r="K718" s="85"/>
      <c r="L718" s="85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07"/>
      <c r="C719" s="2"/>
      <c r="D719" s="2"/>
      <c r="E719" s="104"/>
      <c r="F719" s="106"/>
      <c r="G719" s="105"/>
      <c r="H719" s="85"/>
      <c r="I719" s="85"/>
      <c r="J719" s="85"/>
      <c r="K719" s="85"/>
      <c r="L719" s="85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07"/>
      <c r="C720" s="2"/>
      <c r="D720" s="2"/>
      <c r="E720" s="104"/>
      <c r="F720" s="106"/>
      <c r="G720" s="105"/>
      <c r="H720" s="85"/>
      <c r="I720" s="85"/>
      <c r="J720" s="85"/>
      <c r="K720" s="85"/>
      <c r="L720" s="85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07"/>
      <c r="C721" s="2"/>
      <c r="D721" s="2"/>
      <c r="E721" s="104"/>
      <c r="F721" s="106"/>
      <c r="G721" s="105"/>
      <c r="H721" s="85"/>
      <c r="I721" s="85"/>
      <c r="J721" s="85"/>
      <c r="K721" s="85"/>
      <c r="L721" s="85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07"/>
      <c r="C722" s="2"/>
      <c r="D722" s="2"/>
      <c r="E722" s="104"/>
      <c r="F722" s="106"/>
      <c r="G722" s="105"/>
      <c r="H722" s="85"/>
      <c r="I722" s="85"/>
      <c r="J722" s="85"/>
      <c r="K722" s="85"/>
      <c r="L722" s="85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07"/>
      <c r="C723" s="2"/>
      <c r="D723" s="2"/>
      <c r="E723" s="104"/>
      <c r="F723" s="106"/>
      <c r="G723" s="105"/>
      <c r="H723" s="85"/>
      <c r="I723" s="85"/>
      <c r="J723" s="85"/>
      <c r="K723" s="85"/>
      <c r="L723" s="85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07"/>
      <c r="C724" s="2"/>
      <c r="D724" s="2"/>
      <c r="E724" s="104"/>
      <c r="F724" s="106"/>
      <c r="G724" s="105"/>
      <c r="H724" s="85"/>
      <c r="I724" s="85"/>
      <c r="J724" s="85"/>
      <c r="K724" s="85"/>
      <c r="L724" s="85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07"/>
      <c r="C725" s="2"/>
      <c r="D725" s="2"/>
      <c r="E725" s="104"/>
      <c r="F725" s="106"/>
      <c r="G725" s="105"/>
      <c r="H725" s="85"/>
      <c r="I725" s="85"/>
      <c r="J725" s="85"/>
      <c r="K725" s="85"/>
      <c r="L725" s="85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07"/>
      <c r="C726" s="2"/>
      <c r="D726" s="2"/>
      <c r="E726" s="104"/>
      <c r="F726" s="106"/>
      <c r="G726" s="105"/>
      <c r="H726" s="85"/>
      <c r="I726" s="85"/>
      <c r="J726" s="85"/>
      <c r="K726" s="85"/>
      <c r="L726" s="85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07"/>
      <c r="C727" s="2"/>
      <c r="D727" s="2"/>
      <c r="E727" s="104"/>
      <c r="F727" s="106"/>
      <c r="G727" s="105"/>
      <c r="H727" s="85"/>
      <c r="I727" s="85"/>
      <c r="J727" s="85"/>
      <c r="K727" s="85"/>
      <c r="L727" s="85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07"/>
      <c r="C728" s="2"/>
      <c r="D728" s="2"/>
      <c r="E728" s="104"/>
      <c r="F728" s="106"/>
      <c r="G728" s="105"/>
      <c r="H728" s="85"/>
      <c r="I728" s="85"/>
      <c r="J728" s="85"/>
      <c r="K728" s="85"/>
      <c r="L728" s="85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07"/>
      <c r="C729" s="2"/>
      <c r="D729" s="2"/>
      <c r="E729" s="104"/>
      <c r="F729" s="106"/>
      <c r="G729" s="105"/>
      <c r="H729" s="85"/>
      <c r="I729" s="85"/>
      <c r="J729" s="85"/>
      <c r="K729" s="85"/>
      <c r="L729" s="85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07"/>
      <c r="C730" s="2"/>
      <c r="D730" s="2"/>
      <c r="E730" s="104"/>
      <c r="F730" s="106"/>
      <c r="G730" s="105"/>
      <c r="H730" s="85"/>
      <c r="I730" s="85"/>
      <c r="J730" s="85"/>
      <c r="K730" s="85"/>
      <c r="L730" s="85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07"/>
      <c r="C731" s="2"/>
      <c r="D731" s="2"/>
      <c r="E731" s="104"/>
      <c r="F731" s="106"/>
      <c r="G731" s="105"/>
      <c r="H731" s="85"/>
      <c r="I731" s="85"/>
      <c r="J731" s="85"/>
      <c r="K731" s="85"/>
      <c r="L731" s="85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07"/>
      <c r="C732" s="2"/>
      <c r="D732" s="2"/>
      <c r="E732" s="104"/>
      <c r="F732" s="106"/>
      <c r="G732" s="105"/>
      <c r="H732" s="85"/>
      <c r="I732" s="85"/>
      <c r="J732" s="85"/>
      <c r="K732" s="85"/>
      <c r="L732" s="85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07"/>
      <c r="C733" s="2"/>
      <c r="D733" s="2"/>
      <c r="E733" s="104"/>
      <c r="F733" s="106"/>
      <c r="G733" s="105"/>
      <c r="H733" s="85"/>
      <c r="I733" s="85"/>
      <c r="J733" s="85"/>
      <c r="K733" s="85"/>
      <c r="L733" s="85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07"/>
      <c r="C734" s="2"/>
      <c r="D734" s="2"/>
      <c r="E734" s="104"/>
      <c r="F734" s="106"/>
      <c r="G734" s="105"/>
      <c r="H734" s="85"/>
      <c r="I734" s="85"/>
      <c r="J734" s="85"/>
      <c r="K734" s="85"/>
      <c r="L734" s="85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07"/>
      <c r="C735" s="2"/>
      <c r="D735" s="2"/>
      <c r="E735" s="104"/>
      <c r="F735" s="106"/>
      <c r="G735" s="105"/>
      <c r="H735" s="85"/>
      <c r="I735" s="85"/>
      <c r="J735" s="85"/>
      <c r="K735" s="85"/>
      <c r="L735" s="85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07"/>
      <c r="C736" s="2"/>
      <c r="D736" s="2"/>
      <c r="E736" s="104"/>
      <c r="F736" s="106"/>
      <c r="G736" s="105"/>
      <c r="H736" s="85"/>
      <c r="I736" s="85"/>
      <c r="J736" s="85"/>
      <c r="K736" s="85"/>
      <c r="L736" s="85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07"/>
      <c r="C737" s="2"/>
      <c r="D737" s="2"/>
      <c r="E737" s="104"/>
      <c r="F737" s="106"/>
      <c r="G737" s="105"/>
      <c r="H737" s="85"/>
      <c r="I737" s="85"/>
      <c r="J737" s="85"/>
      <c r="K737" s="85"/>
      <c r="L737" s="85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07"/>
      <c r="C738" s="2"/>
      <c r="D738" s="2"/>
      <c r="E738" s="104"/>
      <c r="F738" s="106"/>
      <c r="G738" s="105"/>
      <c r="H738" s="85"/>
      <c r="I738" s="85"/>
      <c r="J738" s="85"/>
      <c r="K738" s="85"/>
      <c r="L738" s="85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07"/>
      <c r="C739" s="2"/>
      <c r="D739" s="2"/>
      <c r="E739" s="104"/>
      <c r="F739" s="106"/>
      <c r="G739" s="105"/>
      <c r="H739" s="85"/>
      <c r="I739" s="85"/>
      <c r="J739" s="85"/>
      <c r="K739" s="85"/>
      <c r="L739" s="85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07"/>
      <c r="C740" s="2"/>
      <c r="D740" s="2"/>
      <c r="E740" s="104"/>
      <c r="F740" s="106"/>
      <c r="G740" s="105"/>
      <c r="H740" s="85"/>
      <c r="I740" s="85"/>
      <c r="J740" s="85"/>
      <c r="K740" s="85"/>
      <c r="L740" s="85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07"/>
      <c r="C741" s="2"/>
      <c r="D741" s="2"/>
      <c r="E741" s="104"/>
      <c r="F741" s="106"/>
      <c r="G741" s="105"/>
      <c r="H741" s="85"/>
      <c r="I741" s="85"/>
      <c r="J741" s="85"/>
      <c r="K741" s="85"/>
      <c r="L741" s="85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07"/>
      <c r="C742" s="2"/>
      <c r="D742" s="2"/>
      <c r="E742" s="104"/>
      <c r="F742" s="106"/>
      <c r="G742" s="105"/>
      <c r="H742" s="85"/>
      <c r="I742" s="85"/>
      <c r="J742" s="85"/>
      <c r="K742" s="85"/>
      <c r="L742" s="85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07"/>
      <c r="C743" s="2"/>
      <c r="D743" s="2"/>
      <c r="E743" s="104"/>
      <c r="F743" s="106"/>
      <c r="G743" s="105"/>
      <c r="H743" s="85"/>
      <c r="I743" s="85"/>
      <c r="J743" s="85"/>
      <c r="K743" s="85"/>
      <c r="L743" s="85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07"/>
      <c r="C744" s="2"/>
      <c r="D744" s="2"/>
      <c r="E744" s="104"/>
      <c r="F744" s="106"/>
      <c r="G744" s="105"/>
      <c r="H744" s="85"/>
      <c r="I744" s="85"/>
      <c r="J744" s="85"/>
      <c r="K744" s="85"/>
      <c r="L744" s="85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07"/>
      <c r="C745" s="2"/>
      <c r="D745" s="2"/>
      <c r="E745" s="104"/>
      <c r="F745" s="106"/>
      <c r="G745" s="105"/>
      <c r="H745" s="85"/>
      <c r="I745" s="85"/>
      <c r="J745" s="85"/>
      <c r="K745" s="85"/>
      <c r="L745" s="85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07"/>
      <c r="C746" s="2"/>
      <c r="D746" s="2"/>
      <c r="E746" s="104"/>
      <c r="F746" s="106"/>
      <c r="G746" s="105"/>
      <c r="H746" s="85"/>
      <c r="I746" s="85"/>
      <c r="J746" s="85"/>
      <c r="K746" s="85"/>
      <c r="L746" s="85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07"/>
      <c r="C747" s="2"/>
      <c r="D747" s="2"/>
      <c r="E747" s="104"/>
      <c r="F747" s="106"/>
      <c r="G747" s="105"/>
      <c r="H747" s="85"/>
      <c r="I747" s="85"/>
      <c r="J747" s="85"/>
      <c r="K747" s="85"/>
      <c r="L747" s="85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07"/>
      <c r="C748" s="2"/>
      <c r="D748" s="2"/>
      <c r="E748" s="104"/>
      <c r="F748" s="106"/>
      <c r="G748" s="105"/>
      <c r="H748" s="85"/>
      <c r="I748" s="85"/>
      <c r="J748" s="85"/>
      <c r="K748" s="85"/>
      <c r="L748" s="85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07"/>
      <c r="C749" s="2"/>
      <c r="D749" s="2"/>
      <c r="E749" s="104"/>
      <c r="F749" s="106"/>
      <c r="G749" s="105"/>
      <c r="H749" s="85"/>
      <c r="I749" s="85"/>
      <c r="J749" s="85"/>
      <c r="K749" s="85"/>
      <c r="L749" s="85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07"/>
      <c r="C750" s="2"/>
      <c r="D750" s="2"/>
      <c r="E750" s="104"/>
      <c r="F750" s="106"/>
      <c r="G750" s="105"/>
      <c r="H750" s="85"/>
      <c r="I750" s="85"/>
      <c r="J750" s="85"/>
      <c r="K750" s="85"/>
      <c r="L750" s="85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07"/>
      <c r="C751" s="2"/>
      <c r="D751" s="2"/>
      <c r="E751" s="104"/>
      <c r="F751" s="106"/>
      <c r="G751" s="105"/>
      <c r="H751" s="85"/>
      <c r="I751" s="85"/>
      <c r="J751" s="85"/>
      <c r="K751" s="85"/>
      <c r="L751" s="85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07"/>
      <c r="C752" s="2"/>
      <c r="D752" s="2"/>
      <c r="E752" s="104"/>
      <c r="F752" s="106"/>
      <c r="G752" s="105"/>
      <c r="H752" s="85"/>
      <c r="I752" s="85"/>
      <c r="J752" s="85"/>
      <c r="K752" s="85"/>
      <c r="L752" s="85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07"/>
      <c r="C753" s="2"/>
      <c r="D753" s="2"/>
      <c r="E753" s="104"/>
      <c r="F753" s="106"/>
      <c r="G753" s="105"/>
      <c r="H753" s="85"/>
      <c r="I753" s="85"/>
      <c r="J753" s="85"/>
      <c r="K753" s="85"/>
      <c r="L753" s="85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07"/>
      <c r="C754" s="2"/>
      <c r="D754" s="2"/>
      <c r="E754" s="104"/>
      <c r="F754" s="106"/>
      <c r="G754" s="105"/>
      <c r="H754" s="85"/>
      <c r="I754" s="85"/>
      <c r="J754" s="85"/>
      <c r="K754" s="85"/>
      <c r="L754" s="85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07"/>
      <c r="C755" s="2"/>
      <c r="D755" s="2"/>
      <c r="E755" s="104"/>
      <c r="F755" s="106"/>
      <c r="G755" s="105"/>
      <c r="H755" s="85"/>
      <c r="I755" s="85"/>
      <c r="J755" s="85"/>
      <c r="K755" s="85"/>
      <c r="L755" s="85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07"/>
      <c r="C756" s="2"/>
      <c r="D756" s="2"/>
      <c r="E756" s="104"/>
      <c r="F756" s="106"/>
      <c r="G756" s="105"/>
      <c r="H756" s="85"/>
      <c r="I756" s="85"/>
      <c r="J756" s="85"/>
      <c r="K756" s="85"/>
      <c r="L756" s="85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07"/>
      <c r="C757" s="2"/>
      <c r="D757" s="2"/>
      <c r="E757" s="104"/>
      <c r="F757" s="106"/>
      <c r="G757" s="105"/>
      <c r="H757" s="85"/>
      <c r="I757" s="85"/>
      <c r="J757" s="85"/>
      <c r="K757" s="85"/>
      <c r="L757" s="85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07"/>
      <c r="C758" s="2"/>
      <c r="D758" s="2"/>
      <c r="E758" s="104"/>
      <c r="F758" s="106"/>
      <c r="G758" s="105"/>
      <c r="H758" s="85"/>
      <c r="I758" s="85"/>
      <c r="J758" s="85"/>
      <c r="K758" s="85"/>
      <c r="L758" s="85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07"/>
      <c r="C759" s="2"/>
      <c r="D759" s="2"/>
      <c r="E759" s="104"/>
      <c r="F759" s="106"/>
      <c r="G759" s="105"/>
      <c r="H759" s="85"/>
      <c r="I759" s="85"/>
      <c r="J759" s="85"/>
      <c r="K759" s="85"/>
      <c r="L759" s="85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07"/>
      <c r="C760" s="2"/>
      <c r="D760" s="2"/>
      <c r="E760" s="104"/>
      <c r="F760" s="106"/>
      <c r="G760" s="105"/>
      <c r="H760" s="85"/>
      <c r="I760" s="85"/>
      <c r="J760" s="85"/>
      <c r="K760" s="85"/>
      <c r="L760" s="85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07"/>
      <c r="C761" s="2"/>
      <c r="D761" s="2"/>
      <c r="E761" s="104"/>
      <c r="F761" s="106"/>
      <c r="G761" s="105"/>
      <c r="H761" s="85"/>
      <c r="I761" s="85"/>
      <c r="J761" s="85"/>
      <c r="K761" s="85"/>
      <c r="L761" s="85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07"/>
      <c r="C762" s="2"/>
      <c r="D762" s="2"/>
      <c r="E762" s="104"/>
      <c r="F762" s="106"/>
      <c r="G762" s="105"/>
      <c r="H762" s="85"/>
      <c r="I762" s="85"/>
      <c r="J762" s="85"/>
      <c r="K762" s="85"/>
      <c r="L762" s="85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07"/>
      <c r="C763" s="2"/>
      <c r="D763" s="2"/>
      <c r="E763" s="104"/>
      <c r="F763" s="106"/>
      <c r="G763" s="105"/>
      <c r="H763" s="85"/>
      <c r="I763" s="85"/>
      <c r="J763" s="85"/>
      <c r="K763" s="85"/>
      <c r="L763" s="85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07"/>
      <c r="C764" s="2"/>
      <c r="D764" s="2"/>
      <c r="E764" s="104"/>
      <c r="F764" s="106"/>
      <c r="G764" s="105"/>
      <c r="H764" s="85"/>
      <c r="I764" s="85"/>
      <c r="J764" s="85"/>
      <c r="K764" s="85"/>
      <c r="L764" s="85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07"/>
      <c r="C765" s="2"/>
      <c r="D765" s="2"/>
      <c r="E765" s="104"/>
      <c r="F765" s="106"/>
      <c r="G765" s="105"/>
      <c r="H765" s="85"/>
      <c r="I765" s="85"/>
      <c r="J765" s="85"/>
      <c r="K765" s="85"/>
      <c r="L765" s="85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07"/>
      <c r="C766" s="2"/>
      <c r="D766" s="2"/>
      <c r="E766" s="104"/>
      <c r="F766" s="106"/>
      <c r="G766" s="105"/>
      <c r="H766" s="85"/>
      <c r="I766" s="85"/>
      <c r="J766" s="85"/>
      <c r="K766" s="85"/>
      <c r="L766" s="85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07"/>
      <c r="C767" s="2"/>
      <c r="D767" s="2"/>
      <c r="E767" s="104"/>
      <c r="F767" s="106"/>
      <c r="G767" s="105"/>
      <c r="H767" s="85"/>
      <c r="I767" s="85"/>
      <c r="J767" s="85"/>
      <c r="K767" s="85"/>
      <c r="L767" s="85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07"/>
      <c r="C768" s="2"/>
      <c r="D768" s="2"/>
      <c r="E768" s="104"/>
      <c r="F768" s="106"/>
      <c r="G768" s="105"/>
      <c r="H768" s="85"/>
      <c r="I768" s="85"/>
      <c r="J768" s="85"/>
      <c r="K768" s="85"/>
      <c r="L768" s="85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07"/>
      <c r="C769" s="2"/>
      <c r="D769" s="2"/>
      <c r="E769" s="104"/>
      <c r="F769" s="106"/>
      <c r="G769" s="105"/>
      <c r="H769" s="85"/>
      <c r="I769" s="85"/>
      <c r="J769" s="85"/>
      <c r="K769" s="85"/>
      <c r="L769" s="85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07"/>
      <c r="C770" s="2"/>
      <c r="D770" s="2"/>
      <c r="E770" s="104"/>
      <c r="F770" s="106"/>
      <c r="G770" s="105"/>
      <c r="H770" s="85"/>
      <c r="I770" s="85"/>
      <c r="J770" s="85"/>
      <c r="K770" s="85"/>
      <c r="L770" s="85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07"/>
      <c r="C771" s="2"/>
      <c r="D771" s="2"/>
      <c r="E771" s="104"/>
      <c r="F771" s="106"/>
      <c r="G771" s="105"/>
      <c r="H771" s="85"/>
      <c r="I771" s="85"/>
      <c r="J771" s="85"/>
      <c r="K771" s="85"/>
      <c r="L771" s="85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07"/>
      <c r="C772" s="2"/>
      <c r="D772" s="2"/>
      <c r="E772" s="104"/>
      <c r="F772" s="106"/>
      <c r="G772" s="105"/>
      <c r="H772" s="85"/>
      <c r="I772" s="85"/>
      <c r="J772" s="85"/>
      <c r="K772" s="85"/>
      <c r="L772" s="85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07"/>
      <c r="C773" s="2"/>
      <c r="D773" s="2"/>
      <c r="E773" s="104"/>
      <c r="F773" s="106"/>
      <c r="G773" s="105"/>
      <c r="H773" s="85"/>
      <c r="I773" s="85"/>
      <c r="J773" s="85"/>
      <c r="K773" s="85"/>
      <c r="L773" s="85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07"/>
      <c r="C774" s="2"/>
      <c r="D774" s="2"/>
      <c r="E774" s="104"/>
      <c r="F774" s="106"/>
      <c r="G774" s="105"/>
      <c r="H774" s="85"/>
      <c r="I774" s="85"/>
      <c r="J774" s="85"/>
      <c r="K774" s="85"/>
      <c r="L774" s="85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07"/>
      <c r="C775" s="2"/>
      <c r="D775" s="2"/>
      <c r="E775" s="104"/>
      <c r="F775" s="106"/>
      <c r="G775" s="105"/>
      <c r="H775" s="85"/>
      <c r="I775" s="85"/>
      <c r="J775" s="85"/>
      <c r="K775" s="85"/>
      <c r="L775" s="85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07"/>
      <c r="C776" s="2"/>
      <c r="D776" s="2"/>
      <c r="E776" s="104"/>
      <c r="F776" s="106"/>
      <c r="G776" s="105"/>
      <c r="H776" s="85"/>
      <c r="I776" s="85"/>
      <c r="J776" s="85"/>
      <c r="K776" s="85"/>
      <c r="L776" s="85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07"/>
      <c r="C777" s="2"/>
      <c r="D777" s="2"/>
      <c r="E777" s="104"/>
      <c r="F777" s="106"/>
      <c r="G777" s="105"/>
      <c r="H777" s="85"/>
      <c r="I777" s="85"/>
      <c r="J777" s="85"/>
      <c r="K777" s="85"/>
      <c r="L777" s="85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07"/>
      <c r="C778" s="2"/>
      <c r="D778" s="2"/>
      <c r="E778" s="104"/>
      <c r="F778" s="106"/>
      <c r="G778" s="105"/>
      <c r="H778" s="85"/>
      <c r="I778" s="85"/>
      <c r="J778" s="85"/>
      <c r="K778" s="85"/>
      <c r="L778" s="85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07"/>
      <c r="C779" s="2"/>
      <c r="D779" s="2"/>
      <c r="E779" s="104"/>
      <c r="F779" s="106"/>
      <c r="G779" s="105"/>
      <c r="H779" s="85"/>
      <c r="I779" s="85"/>
      <c r="J779" s="85"/>
      <c r="K779" s="85"/>
      <c r="L779" s="85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07"/>
      <c r="C780" s="2"/>
      <c r="D780" s="2"/>
      <c r="E780" s="104"/>
      <c r="F780" s="106"/>
      <c r="G780" s="105"/>
      <c r="H780" s="85"/>
      <c r="I780" s="85"/>
      <c r="J780" s="85"/>
      <c r="K780" s="85"/>
      <c r="L780" s="85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07"/>
      <c r="C781" s="2"/>
      <c r="D781" s="2"/>
      <c r="E781" s="104"/>
      <c r="F781" s="106"/>
      <c r="G781" s="105"/>
      <c r="H781" s="85"/>
      <c r="I781" s="85"/>
      <c r="J781" s="85"/>
      <c r="K781" s="85"/>
      <c r="L781" s="85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07"/>
      <c r="C782" s="2"/>
      <c r="D782" s="2"/>
      <c r="E782" s="104"/>
      <c r="F782" s="106"/>
      <c r="G782" s="105"/>
      <c r="H782" s="85"/>
      <c r="I782" s="85"/>
      <c r="J782" s="85"/>
      <c r="K782" s="85"/>
      <c r="L782" s="85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07"/>
      <c r="C783" s="2"/>
      <c r="D783" s="2"/>
      <c r="E783" s="104"/>
      <c r="F783" s="106"/>
      <c r="G783" s="105"/>
      <c r="H783" s="85"/>
      <c r="I783" s="85"/>
      <c r="J783" s="85"/>
      <c r="K783" s="85"/>
      <c r="L783" s="85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07"/>
      <c r="C784" s="2"/>
      <c r="D784" s="2"/>
      <c r="E784" s="104"/>
      <c r="F784" s="106"/>
      <c r="G784" s="105"/>
      <c r="H784" s="85"/>
      <c r="I784" s="85"/>
      <c r="J784" s="85"/>
      <c r="K784" s="85"/>
      <c r="L784" s="85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07"/>
      <c r="C785" s="2"/>
      <c r="D785" s="2"/>
      <c r="E785" s="104"/>
      <c r="F785" s="106"/>
      <c r="G785" s="105"/>
      <c r="H785" s="85"/>
      <c r="I785" s="85"/>
      <c r="J785" s="85"/>
      <c r="K785" s="85"/>
      <c r="L785" s="85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07"/>
      <c r="C786" s="2"/>
      <c r="D786" s="2"/>
      <c r="E786" s="104"/>
      <c r="F786" s="106"/>
      <c r="G786" s="105"/>
      <c r="H786" s="85"/>
      <c r="I786" s="85"/>
      <c r="J786" s="85"/>
      <c r="K786" s="85"/>
      <c r="L786" s="85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07"/>
      <c r="C787" s="2"/>
      <c r="D787" s="2"/>
      <c r="E787" s="104"/>
      <c r="F787" s="106"/>
      <c r="G787" s="105"/>
      <c r="H787" s="85"/>
      <c r="I787" s="85"/>
      <c r="J787" s="85"/>
      <c r="K787" s="85"/>
      <c r="L787" s="85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07"/>
      <c r="C788" s="2"/>
      <c r="D788" s="2"/>
      <c r="E788" s="104"/>
      <c r="F788" s="106"/>
      <c r="G788" s="105"/>
      <c r="H788" s="85"/>
      <c r="I788" s="85"/>
      <c r="J788" s="85"/>
      <c r="K788" s="85"/>
      <c r="L788" s="85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07"/>
      <c r="C789" s="2"/>
      <c r="D789" s="2"/>
      <c r="E789" s="104"/>
      <c r="F789" s="106"/>
      <c r="G789" s="105"/>
      <c r="H789" s="85"/>
      <c r="I789" s="85"/>
      <c r="J789" s="85"/>
      <c r="K789" s="85"/>
      <c r="L789" s="85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07"/>
      <c r="C790" s="2"/>
      <c r="D790" s="2"/>
      <c r="E790" s="104"/>
      <c r="F790" s="106"/>
      <c r="G790" s="105"/>
      <c r="H790" s="85"/>
      <c r="I790" s="85"/>
      <c r="J790" s="85"/>
      <c r="K790" s="85"/>
      <c r="L790" s="85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07"/>
      <c r="C791" s="2"/>
      <c r="D791" s="2"/>
      <c r="E791" s="104"/>
      <c r="F791" s="106"/>
      <c r="G791" s="105"/>
      <c r="H791" s="85"/>
      <c r="I791" s="85"/>
      <c r="J791" s="85"/>
      <c r="K791" s="85"/>
      <c r="L791" s="85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07"/>
      <c r="C792" s="2"/>
      <c r="D792" s="2"/>
      <c r="E792" s="104"/>
      <c r="F792" s="106"/>
      <c r="G792" s="105"/>
      <c r="H792" s="85"/>
      <c r="I792" s="85"/>
      <c r="J792" s="85"/>
      <c r="K792" s="85"/>
      <c r="L792" s="85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07"/>
      <c r="C793" s="2"/>
      <c r="D793" s="2"/>
      <c r="E793" s="104"/>
      <c r="F793" s="106"/>
      <c r="G793" s="105"/>
      <c r="H793" s="85"/>
      <c r="I793" s="85"/>
      <c r="J793" s="85"/>
      <c r="K793" s="85"/>
      <c r="L793" s="85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07"/>
      <c r="C794" s="2"/>
      <c r="D794" s="2"/>
      <c r="E794" s="104"/>
      <c r="F794" s="106"/>
      <c r="G794" s="105"/>
      <c r="H794" s="85"/>
      <c r="I794" s="85"/>
      <c r="J794" s="85"/>
      <c r="K794" s="85"/>
      <c r="L794" s="85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07"/>
      <c r="C795" s="2"/>
      <c r="D795" s="2"/>
      <c r="E795" s="104"/>
      <c r="F795" s="106"/>
      <c r="G795" s="105"/>
      <c r="H795" s="85"/>
      <c r="I795" s="85"/>
      <c r="J795" s="85"/>
      <c r="K795" s="85"/>
      <c r="L795" s="85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07"/>
      <c r="C796" s="2"/>
      <c r="D796" s="2"/>
      <c r="E796" s="104"/>
      <c r="F796" s="106"/>
      <c r="G796" s="105"/>
      <c r="H796" s="85"/>
      <c r="I796" s="85"/>
      <c r="J796" s="85"/>
      <c r="K796" s="85"/>
      <c r="L796" s="85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07"/>
      <c r="C797" s="2"/>
      <c r="D797" s="2"/>
      <c r="E797" s="104"/>
      <c r="F797" s="106"/>
      <c r="G797" s="105"/>
      <c r="H797" s="85"/>
      <c r="I797" s="85"/>
      <c r="J797" s="85"/>
      <c r="K797" s="85"/>
      <c r="L797" s="85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07"/>
      <c r="C798" s="2"/>
      <c r="D798" s="2"/>
      <c r="E798" s="104"/>
      <c r="F798" s="106"/>
      <c r="G798" s="105"/>
      <c r="H798" s="85"/>
      <c r="I798" s="85"/>
      <c r="J798" s="85"/>
      <c r="K798" s="85"/>
      <c r="L798" s="85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07"/>
      <c r="C799" s="2"/>
      <c r="D799" s="2"/>
      <c r="E799" s="104"/>
      <c r="F799" s="106"/>
      <c r="G799" s="105"/>
      <c r="H799" s="85"/>
      <c r="I799" s="85"/>
      <c r="J799" s="85"/>
      <c r="K799" s="85"/>
      <c r="L799" s="85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07"/>
      <c r="C800" s="2"/>
      <c r="D800" s="2"/>
      <c r="E800" s="104"/>
      <c r="F800" s="106"/>
      <c r="G800" s="105"/>
      <c r="H800" s="85"/>
      <c r="I800" s="85"/>
      <c r="J800" s="85"/>
      <c r="K800" s="85"/>
      <c r="L800" s="85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07"/>
      <c r="C801" s="2"/>
      <c r="D801" s="2"/>
      <c r="E801" s="104"/>
      <c r="F801" s="106"/>
      <c r="G801" s="105"/>
      <c r="H801" s="85"/>
      <c r="I801" s="85"/>
      <c r="J801" s="85"/>
      <c r="K801" s="85"/>
      <c r="L801" s="85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07"/>
      <c r="C802" s="2"/>
      <c r="D802" s="2"/>
      <c r="E802" s="104"/>
      <c r="F802" s="106"/>
      <c r="G802" s="105"/>
      <c r="H802" s="85"/>
      <c r="I802" s="85"/>
      <c r="J802" s="85"/>
      <c r="K802" s="85"/>
      <c r="L802" s="85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07"/>
      <c r="C803" s="2"/>
      <c r="D803" s="2"/>
      <c r="E803" s="104"/>
      <c r="F803" s="106"/>
      <c r="G803" s="105"/>
      <c r="H803" s="85"/>
      <c r="I803" s="85"/>
      <c r="J803" s="85"/>
      <c r="K803" s="85"/>
      <c r="L803" s="85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07"/>
      <c r="C804" s="2"/>
      <c r="D804" s="2"/>
      <c r="E804" s="104"/>
      <c r="F804" s="106"/>
      <c r="G804" s="105"/>
      <c r="H804" s="85"/>
      <c r="I804" s="85"/>
      <c r="J804" s="85"/>
      <c r="K804" s="85"/>
      <c r="L804" s="85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07"/>
      <c r="C805" s="2"/>
      <c r="D805" s="2"/>
      <c r="E805" s="104"/>
      <c r="F805" s="106"/>
      <c r="G805" s="105"/>
      <c r="H805" s="85"/>
      <c r="I805" s="85"/>
      <c r="J805" s="85"/>
      <c r="K805" s="85"/>
      <c r="L805" s="85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07"/>
      <c r="C806" s="2"/>
      <c r="D806" s="2"/>
      <c r="E806" s="104"/>
      <c r="F806" s="106"/>
      <c r="G806" s="105"/>
      <c r="H806" s="85"/>
      <c r="I806" s="85"/>
      <c r="J806" s="85"/>
      <c r="K806" s="85"/>
      <c r="L806" s="85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07"/>
      <c r="C807" s="2"/>
      <c r="D807" s="2"/>
      <c r="E807" s="104"/>
      <c r="F807" s="106"/>
      <c r="G807" s="105"/>
      <c r="H807" s="85"/>
      <c r="I807" s="85"/>
      <c r="J807" s="85"/>
      <c r="K807" s="85"/>
      <c r="L807" s="85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07"/>
      <c r="C808" s="2"/>
      <c r="D808" s="2"/>
      <c r="E808" s="104"/>
      <c r="F808" s="106"/>
      <c r="G808" s="105"/>
      <c r="H808" s="85"/>
      <c r="I808" s="85"/>
      <c r="J808" s="85"/>
      <c r="K808" s="85"/>
      <c r="L808" s="85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07"/>
      <c r="C809" s="2"/>
      <c r="D809" s="2"/>
      <c r="E809" s="104"/>
      <c r="F809" s="106"/>
      <c r="G809" s="105"/>
      <c r="H809" s="85"/>
      <c r="I809" s="85"/>
      <c r="J809" s="85"/>
      <c r="K809" s="85"/>
      <c r="L809" s="85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07"/>
      <c r="C810" s="2"/>
      <c r="D810" s="2"/>
      <c r="E810" s="104"/>
      <c r="F810" s="106"/>
      <c r="G810" s="105"/>
      <c r="H810" s="85"/>
      <c r="I810" s="85"/>
      <c r="J810" s="85"/>
      <c r="K810" s="85"/>
      <c r="L810" s="85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07"/>
      <c r="C811" s="2"/>
      <c r="D811" s="2"/>
      <c r="E811" s="104"/>
      <c r="F811" s="106"/>
      <c r="G811" s="105"/>
      <c r="H811" s="85"/>
      <c r="I811" s="85"/>
      <c r="J811" s="85"/>
      <c r="K811" s="85"/>
      <c r="L811" s="85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07"/>
      <c r="C812" s="2"/>
      <c r="D812" s="2"/>
      <c r="E812" s="104"/>
      <c r="F812" s="106"/>
      <c r="G812" s="105"/>
      <c r="H812" s="85"/>
      <c r="I812" s="85"/>
      <c r="J812" s="85"/>
      <c r="K812" s="85"/>
      <c r="L812" s="85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07"/>
      <c r="C813" s="2"/>
      <c r="D813" s="2"/>
      <c r="E813" s="104"/>
      <c r="F813" s="106"/>
      <c r="G813" s="105"/>
      <c r="H813" s="85"/>
      <c r="I813" s="85"/>
      <c r="J813" s="85"/>
      <c r="K813" s="85"/>
      <c r="L813" s="85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07"/>
      <c r="C814" s="2"/>
      <c r="D814" s="2"/>
      <c r="E814" s="104"/>
      <c r="F814" s="106"/>
      <c r="G814" s="105"/>
      <c r="H814" s="85"/>
      <c r="I814" s="85"/>
      <c r="J814" s="85"/>
      <c r="K814" s="85"/>
      <c r="L814" s="85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07"/>
      <c r="C815" s="2"/>
      <c r="D815" s="2"/>
      <c r="E815" s="104"/>
      <c r="F815" s="106"/>
      <c r="G815" s="105"/>
      <c r="H815" s="85"/>
      <c r="I815" s="85"/>
      <c r="J815" s="85"/>
      <c r="K815" s="85"/>
      <c r="L815" s="85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07"/>
      <c r="C816" s="2"/>
      <c r="D816" s="2"/>
      <c r="E816" s="104"/>
      <c r="F816" s="106"/>
      <c r="G816" s="105"/>
      <c r="H816" s="85"/>
      <c r="I816" s="85"/>
      <c r="J816" s="85"/>
      <c r="K816" s="85"/>
      <c r="L816" s="85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07"/>
      <c r="C817" s="2"/>
      <c r="D817" s="2"/>
      <c r="E817" s="104"/>
      <c r="F817" s="106"/>
      <c r="G817" s="105"/>
      <c r="H817" s="85"/>
      <c r="I817" s="85"/>
      <c r="J817" s="85"/>
      <c r="K817" s="85"/>
      <c r="L817" s="85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07"/>
      <c r="C818" s="2"/>
      <c r="D818" s="2"/>
      <c r="E818" s="104"/>
      <c r="F818" s="106"/>
      <c r="G818" s="105"/>
      <c r="H818" s="85"/>
      <c r="I818" s="85"/>
      <c r="J818" s="85"/>
      <c r="K818" s="85"/>
      <c r="L818" s="85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07"/>
      <c r="C819" s="2"/>
      <c r="D819" s="2"/>
      <c r="E819" s="104"/>
      <c r="F819" s="106"/>
      <c r="G819" s="105"/>
      <c r="H819" s="85"/>
      <c r="I819" s="85"/>
      <c r="J819" s="85"/>
      <c r="K819" s="85"/>
      <c r="L819" s="85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07"/>
      <c r="C820" s="2"/>
      <c r="D820" s="2"/>
      <c r="E820" s="104"/>
      <c r="F820" s="106"/>
      <c r="G820" s="105"/>
      <c r="H820" s="85"/>
      <c r="I820" s="85"/>
      <c r="J820" s="85"/>
      <c r="K820" s="85"/>
      <c r="L820" s="85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07"/>
      <c r="C821" s="2"/>
      <c r="D821" s="2"/>
      <c r="E821" s="104"/>
      <c r="F821" s="106"/>
      <c r="G821" s="105"/>
      <c r="H821" s="85"/>
      <c r="I821" s="85"/>
      <c r="J821" s="85"/>
      <c r="K821" s="85"/>
      <c r="L821" s="85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07"/>
      <c r="C822" s="2"/>
      <c r="D822" s="2"/>
      <c r="E822" s="104"/>
      <c r="F822" s="106"/>
      <c r="G822" s="105"/>
      <c r="H822" s="85"/>
      <c r="I822" s="85"/>
      <c r="J822" s="85"/>
      <c r="K822" s="85"/>
      <c r="L822" s="85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07"/>
      <c r="C823" s="2"/>
      <c r="D823" s="2"/>
      <c r="E823" s="104"/>
      <c r="F823" s="106"/>
      <c r="G823" s="105"/>
      <c r="H823" s="85"/>
      <c r="I823" s="85"/>
      <c r="J823" s="85"/>
      <c r="K823" s="85"/>
      <c r="L823" s="85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07"/>
      <c r="C824" s="2"/>
      <c r="D824" s="2"/>
      <c r="E824" s="104"/>
      <c r="F824" s="106"/>
      <c r="G824" s="105"/>
      <c r="H824" s="85"/>
      <c r="I824" s="85"/>
      <c r="J824" s="85"/>
      <c r="K824" s="85"/>
      <c r="L824" s="85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07"/>
      <c r="C825" s="2"/>
      <c r="D825" s="2"/>
      <c r="E825" s="104"/>
      <c r="F825" s="106"/>
      <c r="G825" s="105"/>
      <c r="H825" s="85"/>
      <c r="I825" s="85"/>
      <c r="J825" s="85"/>
      <c r="K825" s="85"/>
      <c r="L825" s="85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07"/>
      <c r="C826" s="2"/>
      <c r="D826" s="2"/>
      <c r="E826" s="104"/>
      <c r="F826" s="106"/>
      <c r="G826" s="105"/>
      <c r="H826" s="85"/>
      <c r="I826" s="85"/>
      <c r="J826" s="85"/>
      <c r="K826" s="85"/>
      <c r="L826" s="85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07"/>
      <c r="C827" s="2"/>
      <c r="D827" s="2"/>
      <c r="E827" s="104"/>
      <c r="F827" s="106"/>
      <c r="G827" s="105"/>
      <c r="H827" s="85"/>
      <c r="I827" s="85"/>
      <c r="J827" s="85"/>
      <c r="K827" s="85"/>
      <c r="L827" s="85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07"/>
      <c r="C828" s="2"/>
      <c r="D828" s="2"/>
      <c r="E828" s="104"/>
      <c r="F828" s="106"/>
      <c r="G828" s="105"/>
      <c r="H828" s="85"/>
      <c r="I828" s="85"/>
      <c r="J828" s="85"/>
      <c r="K828" s="85"/>
      <c r="L828" s="85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07"/>
      <c r="C829" s="2"/>
      <c r="D829" s="2"/>
      <c r="E829" s="104"/>
      <c r="F829" s="106"/>
      <c r="G829" s="105"/>
      <c r="H829" s="85"/>
      <c r="I829" s="85"/>
      <c r="J829" s="85"/>
      <c r="K829" s="85"/>
      <c r="L829" s="85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07"/>
      <c r="C830" s="2"/>
      <c r="D830" s="2"/>
      <c r="E830" s="104"/>
      <c r="F830" s="106"/>
      <c r="G830" s="105"/>
      <c r="H830" s="85"/>
      <c r="I830" s="85"/>
      <c r="J830" s="85"/>
      <c r="K830" s="85"/>
      <c r="L830" s="85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07"/>
      <c r="C831" s="2"/>
      <c r="D831" s="2"/>
      <c r="E831" s="104"/>
      <c r="F831" s="106"/>
      <c r="G831" s="105"/>
      <c r="H831" s="85"/>
      <c r="I831" s="85"/>
      <c r="J831" s="85"/>
      <c r="K831" s="85"/>
      <c r="L831" s="85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07"/>
      <c r="C832" s="2"/>
      <c r="D832" s="2"/>
      <c r="E832" s="104"/>
      <c r="F832" s="106"/>
      <c r="G832" s="105"/>
      <c r="H832" s="85"/>
      <c r="I832" s="85"/>
      <c r="J832" s="85"/>
      <c r="K832" s="85"/>
      <c r="L832" s="85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07"/>
      <c r="C833" s="2"/>
      <c r="D833" s="2"/>
      <c r="E833" s="104"/>
      <c r="F833" s="106"/>
      <c r="G833" s="105"/>
      <c r="H833" s="85"/>
      <c r="I833" s="85"/>
      <c r="J833" s="85"/>
      <c r="K833" s="85"/>
      <c r="L833" s="85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07"/>
      <c r="C834" s="2"/>
      <c r="D834" s="2"/>
      <c r="E834" s="104"/>
      <c r="F834" s="106"/>
      <c r="G834" s="105"/>
      <c r="H834" s="85"/>
      <c r="I834" s="85"/>
      <c r="J834" s="85"/>
      <c r="K834" s="85"/>
      <c r="L834" s="85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07"/>
      <c r="C835" s="2"/>
      <c r="D835" s="2"/>
      <c r="E835" s="104"/>
      <c r="F835" s="106"/>
      <c r="G835" s="105"/>
      <c r="H835" s="85"/>
      <c r="I835" s="85"/>
      <c r="J835" s="85"/>
      <c r="K835" s="85"/>
      <c r="L835" s="85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07"/>
      <c r="C836" s="2"/>
      <c r="D836" s="2"/>
      <c r="E836" s="104"/>
      <c r="F836" s="106"/>
      <c r="G836" s="105"/>
      <c r="H836" s="85"/>
      <c r="I836" s="85"/>
      <c r="J836" s="85"/>
      <c r="K836" s="85"/>
      <c r="L836" s="85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07"/>
      <c r="C837" s="2"/>
      <c r="D837" s="2"/>
      <c r="E837" s="104"/>
      <c r="F837" s="106"/>
      <c r="G837" s="105"/>
      <c r="H837" s="85"/>
      <c r="I837" s="85"/>
      <c r="J837" s="85"/>
      <c r="K837" s="85"/>
      <c r="L837" s="85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07"/>
      <c r="C838" s="2"/>
      <c r="D838" s="2"/>
      <c r="E838" s="104"/>
      <c r="F838" s="106"/>
      <c r="G838" s="105"/>
      <c r="H838" s="85"/>
      <c r="I838" s="85"/>
      <c r="J838" s="85"/>
      <c r="K838" s="85"/>
      <c r="L838" s="85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07"/>
      <c r="C839" s="2"/>
      <c r="D839" s="2"/>
      <c r="E839" s="104"/>
      <c r="F839" s="106"/>
      <c r="G839" s="105"/>
      <c r="H839" s="85"/>
      <c r="I839" s="85"/>
      <c r="J839" s="85"/>
      <c r="K839" s="85"/>
      <c r="L839" s="85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07"/>
      <c r="C840" s="2"/>
      <c r="D840" s="2"/>
      <c r="E840" s="104"/>
      <c r="F840" s="106"/>
      <c r="G840" s="105"/>
      <c r="H840" s="85"/>
      <c r="I840" s="85"/>
      <c r="J840" s="85"/>
      <c r="K840" s="85"/>
      <c r="L840" s="85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07"/>
      <c r="C841" s="2"/>
      <c r="D841" s="2"/>
      <c r="E841" s="104"/>
      <c r="F841" s="106"/>
      <c r="G841" s="105"/>
      <c r="H841" s="85"/>
      <c r="I841" s="85"/>
      <c r="J841" s="85"/>
      <c r="K841" s="85"/>
      <c r="L841" s="85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07"/>
      <c r="C842" s="2"/>
      <c r="D842" s="2"/>
      <c r="E842" s="104"/>
      <c r="F842" s="106"/>
      <c r="G842" s="105"/>
      <c r="H842" s="85"/>
      <c r="I842" s="85"/>
      <c r="J842" s="85"/>
      <c r="K842" s="85"/>
      <c r="L842" s="85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07"/>
      <c r="C843" s="2"/>
      <c r="D843" s="2"/>
      <c r="E843" s="104"/>
      <c r="F843" s="106"/>
      <c r="G843" s="105"/>
      <c r="H843" s="85"/>
      <c r="I843" s="85"/>
      <c r="J843" s="85"/>
      <c r="K843" s="85"/>
      <c r="L843" s="85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07"/>
      <c r="C844" s="2"/>
      <c r="D844" s="2"/>
      <c r="E844" s="104"/>
      <c r="F844" s="106"/>
      <c r="G844" s="105"/>
      <c r="H844" s="85"/>
      <c r="I844" s="85"/>
      <c r="J844" s="85"/>
      <c r="K844" s="85"/>
      <c r="L844" s="85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07"/>
      <c r="C845" s="2"/>
      <c r="D845" s="2"/>
      <c r="E845" s="104"/>
      <c r="F845" s="106"/>
      <c r="G845" s="105"/>
      <c r="H845" s="85"/>
      <c r="I845" s="85"/>
      <c r="J845" s="85"/>
      <c r="K845" s="85"/>
      <c r="L845" s="85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07"/>
      <c r="C846" s="2"/>
      <c r="D846" s="2"/>
      <c r="E846" s="104"/>
      <c r="F846" s="106"/>
      <c r="G846" s="105"/>
      <c r="H846" s="85"/>
      <c r="I846" s="85"/>
      <c r="J846" s="85"/>
      <c r="K846" s="85"/>
      <c r="L846" s="85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07"/>
      <c r="C847" s="2"/>
      <c r="D847" s="2"/>
      <c r="E847" s="104"/>
      <c r="F847" s="106"/>
      <c r="G847" s="105"/>
      <c r="H847" s="85"/>
      <c r="I847" s="85"/>
      <c r="J847" s="85"/>
      <c r="K847" s="85"/>
      <c r="L847" s="85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07"/>
      <c r="C848" s="2"/>
      <c r="D848" s="2"/>
      <c r="E848" s="104"/>
      <c r="F848" s="106"/>
      <c r="G848" s="105"/>
      <c r="H848" s="85"/>
      <c r="I848" s="85"/>
      <c r="J848" s="85"/>
      <c r="K848" s="85"/>
      <c r="L848" s="85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07"/>
      <c r="C849" s="2"/>
      <c r="D849" s="2"/>
      <c r="E849" s="104"/>
      <c r="F849" s="106"/>
      <c r="G849" s="105"/>
      <c r="H849" s="85"/>
      <c r="I849" s="85"/>
      <c r="J849" s="85"/>
      <c r="K849" s="85"/>
      <c r="L849" s="85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07"/>
      <c r="C850" s="2"/>
      <c r="D850" s="2"/>
      <c r="E850" s="104"/>
      <c r="F850" s="106"/>
      <c r="G850" s="105"/>
      <c r="H850" s="85"/>
      <c r="I850" s="85"/>
      <c r="J850" s="85"/>
      <c r="K850" s="85"/>
      <c r="L850" s="85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07"/>
      <c r="C851" s="2"/>
      <c r="D851" s="2"/>
      <c r="E851" s="104"/>
      <c r="F851" s="106"/>
      <c r="G851" s="105"/>
      <c r="H851" s="85"/>
      <c r="I851" s="85"/>
      <c r="J851" s="85"/>
      <c r="K851" s="85"/>
      <c r="L851" s="85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07"/>
      <c r="C852" s="2"/>
      <c r="D852" s="2"/>
      <c r="E852" s="104"/>
      <c r="F852" s="106"/>
      <c r="G852" s="105"/>
      <c r="H852" s="85"/>
      <c r="I852" s="85"/>
      <c r="J852" s="85"/>
      <c r="K852" s="85"/>
      <c r="L852" s="85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07"/>
      <c r="C853" s="2"/>
      <c r="D853" s="2"/>
      <c r="E853" s="104"/>
      <c r="F853" s="106"/>
      <c r="G853" s="105"/>
      <c r="H853" s="85"/>
      <c r="I853" s="85"/>
      <c r="J853" s="85"/>
      <c r="K853" s="85"/>
      <c r="L853" s="85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07"/>
      <c r="C854" s="2"/>
      <c r="D854" s="2"/>
      <c r="E854" s="104"/>
      <c r="F854" s="106"/>
      <c r="G854" s="105"/>
      <c r="H854" s="85"/>
      <c r="I854" s="85"/>
      <c r="J854" s="85"/>
      <c r="K854" s="85"/>
      <c r="L854" s="85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07"/>
      <c r="C855" s="2"/>
      <c r="D855" s="2"/>
      <c r="E855" s="104"/>
      <c r="F855" s="106"/>
      <c r="G855" s="105"/>
      <c r="H855" s="85"/>
      <c r="I855" s="85"/>
      <c r="J855" s="85"/>
      <c r="K855" s="85"/>
      <c r="L855" s="85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07"/>
      <c r="C856" s="2"/>
      <c r="D856" s="2"/>
      <c r="E856" s="104"/>
      <c r="F856" s="106"/>
      <c r="G856" s="105"/>
      <c r="H856" s="85"/>
      <c r="I856" s="85"/>
      <c r="J856" s="85"/>
      <c r="K856" s="85"/>
      <c r="L856" s="85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07"/>
      <c r="C857" s="2"/>
      <c r="D857" s="2"/>
      <c r="E857" s="104"/>
      <c r="F857" s="106"/>
      <c r="G857" s="105"/>
      <c r="H857" s="85"/>
      <c r="I857" s="85"/>
      <c r="J857" s="85"/>
      <c r="K857" s="85"/>
      <c r="L857" s="85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07"/>
      <c r="C858" s="2"/>
      <c r="D858" s="2"/>
      <c r="E858" s="104"/>
      <c r="F858" s="106"/>
      <c r="G858" s="105"/>
      <c r="H858" s="85"/>
      <c r="I858" s="85"/>
      <c r="J858" s="85"/>
      <c r="K858" s="85"/>
      <c r="L858" s="85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07"/>
      <c r="C859" s="2"/>
      <c r="D859" s="2"/>
      <c r="E859" s="104"/>
      <c r="F859" s="106"/>
      <c r="G859" s="105"/>
      <c r="H859" s="85"/>
      <c r="I859" s="85"/>
      <c r="J859" s="85"/>
      <c r="K859" s="85"/>
      <c r="L859" s="85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07"/>
      <c r="C860" s="2"/>
      <c r="D860" s="2"/>
      <c r="E860" s="104"/>
      <c r="F860" s="106"/>
      <c r="G860" s="105"/>
      <c r="H860" s="85"/>
      <c r="I860" s="85"/>
      <c r="J860" s="85"/>
      <c r="K860" s="85"/>
      <c r="L860" s="85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07"/>
      <c r="C861" s="2"/>
      <c r="D861" s="2"/>
      <c r="E861" s="104"/>
      <c r="F861" s="106"/>
      <c r="G861" s="105"/>
      <c r="H861" s="85"/>
      <c r="I861" s="85"/>
      <c r="J861" s="85"/>
      <c r="K861" s="85"/>
      <c r="L861" s="85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07"/>
      <c r="C862" s="2"/>
      <c r="D862" s="2"/>
      <c r="E862" s="104"/>
      <c r="F862" s="106"/>
      <c r="G862" s="105"/>
      <c r="H862" s="85"/>
      <c r="I862" s="85"/>
      <c r="J862" s="85"/>
      <c r="K862" s="85"/>
      <c r="L862" s="85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07"/>
      <c r="C863" s="2"/>
      <c r="D863" s="2"/>
      <c r="E863" s="104"/>
      <c r="F863" s="106"/>
      <c r="G863" s="105"/>
      <c r="H863" s="85"/>
      <c r="I863" s="85"/>
      <c r="J863" s="85"/>
      <c r="K863" s="85"/>
      <c r="L863" s="85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07"/>
      <c r="C864" s="2"/>
      <c r="D864" s="2"/>
      <c r="E864" s="104"/>
      <c r="F864" s="106"/>
      <c r="G864" s="105"/>
      <c r="H864" s="85"/>
      <c r="I864" s="85"/>
      <c r="J864" s="85"/>
      <c r="K864" s="85"/>
      <c r="L864" s="85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07"/>
      <c r="C865" s="2"/>
      <c r="D865" s="2"/>
      <c r="E865" s="104"/>
      <c r="F865" s="106"/>
      <c r="G865" s="105"/>
      <c r="H865" s="85"/>
      <c r="I865" s="85"/>
      <c r="J865" s="85"/>
      <c r="K865" s="85"/>
      <c r="L865" s="85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07"/>
      <c r="C866" s="2"/>
      <c r="D866" s="2"/>
      <c r="E866" s="104"/>
      <c r="F866" s="106"/>
      <c r="G866" s="105"/>
      <c r="H866" s="85"/>
      <c r="I866" s="85"/>
      <c r="J866" s="85"/>
      <c r="K866" s="85"/>
      <c r="L866" s="85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07"/>
      <c r="C867" s="2"/>
      <c r="D867" s="2"/>
      <c r="E867" s="104"/>
      <c r="F867" s="106"/>
      <c r="G867" s="105"/>
      <c r="H867" s="85"/>
      <c r="I867" s="85"/>
      <c r="J867" s="85"/>
      <c r="K867" s="85"/>
      <c r="L867" s="85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07"/>
      <c r="C868" s="2"/>
      <c r="D868" s="2"/>
      <c r="E868" s="104"/>
      <c r="F868" s="106"/>
      <c r="G868" s="105"/>
      <c r="H868" s="85"/>
      <c r="I868" s="85"/>
      <c r="J868" s="85"/>
      <c r="K868" s="85"/>
      <c r="L868" s="85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07"/>
      <c r="C869" s="2"/>
      <c r="D869" s="2"/>
      <c r="E869" s="104"/>
      <c r="F869" s="106"/>
      <c r="G869" s="105"/>
      <c r="H869" s="85"/>
      <c r="I869" s="85"/>
      <c r="J869" s="85"/>
      <c r="K869" s="85"/>
      <c r="L869" s="85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07"/>
      <c r="C870" s="2"/>
      <c r="D870" s="2"/>
      <c r="E870" s="104"/>
      <c r="F870" s="106"/>
      <c r="G870" s="105"/>
      <c r="H870" s="85"/>
      <c r="I870" s="85"/>
      <c r="J870" s="85"/>
      <c r="K870" s="85"/>
      <c r="L870" s="85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07"/>
      <c r="C871" s="2"/>
      <c r="D871" s="2"/>
      <c r="E871" s="104"/>
      <c r="F871" s="106"/>
      <c r="G871" s="105"/>
      <c r="H871" s="85"/>
      <c r="I871" s="85"/>
      <c r="J871" s="85"/>
      <c r="K871" s="85"/>
      <c r="L871" s="85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07"/>
      <c r="C872" s="2"/>
      <c r="D872" s="2"/>
      <c r="E872" s="104"/>
      <c r="F872" s="106"/>
      <c r="G872" s="105"/>
      <c r="H872" s="85"/>
      <c r="I872" s="85"/>
      <c r="J872" s="85"/>
      <c r="K872" s="85"/>
      <c r="L872" s="85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07"/>
      <c r="C873" s="2"/>
      <c r="D873" s="2"/>
      <c r="E873" s="104"/>
      <c r="F873" s="106"/>
      <c r="G873" s="105"/>
      <c r="H873" s="85"/>
      <c r="I873" s="85"/>
      <c r="J873" s="85"/>
      <c r="K873" s="85"/>
      <c r="L873" s="85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07"/>
      <c r="C874" s="2"/>
      <c r="D874" s="2"/>
      <c r="E874" s="104"/>
      <c r="F874" s="106"/>
      <c r="G874" s="105"/>
      <c r="H874" s="85"/>
      <c r="I874" s="85"/>
      <c r="J874" s="85"/>
      <c r="K874" s="85"/>
      <c r="L874" s="85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07"/>
      <c r="C875" s="2"/>
      <c r="D875" s="2"/>
      <c r="E875" s="104"/>
      <c r="F875" s="106"/>
      <c r="G875" s="105"/>
      <c r="H875" s="85"/>
      <c r="I875" s="85"/>
      <c r="J875" s="85"/>
      <c r="K875" s="85"/>
      <c r="L875" s="85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07"/>
      <c r="C876" s="2"/>
      <c r="D876" s="2"/>
      <c r="E876" s="104"/>
      <c r="F876" s="106"/>
      <c r="G876" s="105"/>
      <c r="H876" s="85"/>
      <c r="I876" s="85"/>
      <c r="J876" s="85"/>
      <c r="K876" s="85"/>
      <c r="L876" s="85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07"/>
      <c r="C877" s="2"/>
      <c r="D877" s="2"/>
      <c r="E877" s="104"/>
      <c r="F877" s="106"/>
      <c r="G877" s="105"/>
      <c r="H877" s="85"/>
      <c r="I877" s="85"/>
      <c r="J877" s="85"/>
      <c r="K877" s="85"/>
      <c r="L877" s="85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07"/>
      <c r="C878" s="2"/>
      <c r="D878" s="2"/>
      <c r="E878" s="104"/>
      <c r="F878" s="106"/>
      <c r="G878" s="105"/>
      <c r="H878" s="85"/>
      <c r="I878" s="85"/>
      <c r="J878" s="85"/>
      <c r="K878" s="85"/>
      <c r="L878" s="85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07"/>
      <c r="C879" s="2"/>
      <c r="D879" s="2"/>
      <c r="E879" s="104"/>
      <c r="F879" s="106"/>
      <c r="G879" s="105"/>
      <c r="H879" s="85"/>
      <c r="I879" s="85"/>
      <c r="J879" s="85"/>
      <c r="K879" s="85"/>
      <c r="L879" s="85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07"/>
      <c r="C880" s="2"/>
      <c r="D880" s="2"/>
      <c r="E880" s="104"/>
      <c r="F880" s="106"/>
      <c r="G880" s="105"/>
      <c r="H880" s="85"/>
      <c r="I880" s="85"/>
      <c r="J880" s="85"/>
      <c r="K880" s="85"/>
      <c r="L880" s="85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07"/>
      <c r="C881" s="2"/>
      <c r="D881" s="2"/>
      <c r="E881" s="104"/>
      <c r="F881" s="106"/>
      <c r="G881" s="105"/>
      <c r="H881" s="85"/>
      <c r="I881" s="85"/>
      <c r="J881" s="85"/>
      <c r="K881" s="85"/>
      <c r="L881" s="85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07"/>
      <c r="C882" s="2"/>
      <c r="D882" s="2"/>
      <c r="E882" s="104"/>
      <c r="F882" s="106"/>
      <c r="G882" s="105"/>
      <c r="H882" s="85"/>
      <c r="I882" s="85"/>
      <c r="J882" s="85"/>
      <c r="K882" s="85"/>
      <c r="L882" s="85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07"/>
      <c r="C883" s="2"/>
      <c r="D883" s="2"/>
      <c r="E883" s="104"/>
      <c r="F883" s="106"/>
      <c r="G883" s="105"/>
      <c r="H883" s="85"/>
      <c r="I883" s="85"/>
      <c r="J883" s="85"/>
      <c r="K883" s="85"/>
      <c r="L883" s="85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07"/>
      <c r="C884" s="2"/>
      <c r="D884" s="2"/>
      <c r="E884" s="104"/>
      <c r="F884" s="106"/>
      <c r="G884" s="105"/>
      <c r="H884" s="85"/>
      <c r="I884" s="85"/>
      <c r="J884" s="85"/>
      <c r="K884" s="85"/>
      <c r="L884" s="85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07"/>
      <c r="C885" s="2"/>
      <c r="D885" s="2"/>
      <c r="E885" s="104"/>
      <c r="F885" s="106"/>
      <c r="G885" s="105"/>
      <c r="H885" s="85"/>
      <c r="I885" s="85"/>
      <c r="J885" s="85"/>
      <c r="K885" s="85"/>
      <c r="L885" s="85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07"/>
      <c r="C886" s="2"/>
      <c r="D886" s="2"/>
      <c r="E886" s="104"/>
      <c r="F886" s="106"/>
      <c r="G886" s="105"/>
      <c r="H886" s="85"/>
      <c r="I886" s="85"/>
      <c r="J886" s="85"/>
      <c r="K886" s="85"/>
      <c r="L886" s="85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07"/>
      <c r="C887" s="2"/>
      <c r="D887" s="2"/>
      <c r="E887" s="104"/>
      <c r="F887" s="106"/>
      <c r="G887" s="105"/>
      <c r="H887" s="85"/>
      <c r="I887" s="85"/>
      <c r="J887" s="85"/>
      <c r="K887" s="85"/>
      <c r="L887" s="85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07"/>
      <c r="C888" s="2"/>
      <c r="D888" s="2"/>
      <c r="E888" s="104"/>
      <c r="F888" s="106"/>
      <c r="G888" s="105"/>
      <c r="H888" s="85"/>
      <c r="I888" s="85"/>
      <c r="J888" s="85"/>
      <c r="K888" s="85"/>
      <c r="L888" s="85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07"/>
      <c r="C889" s="2"/>
      <c r="D889" s="2"/>
      <c r="E889" s="104"/>
      <c r="F889" s="106"/>
      <c r="G889" s="105"/>
      <c r="H889" s="85"/>
      <c r="I889" s="85"/>
      <c r="J889" s="85"/>
      <c r="K889" s="85"/>
      <c r="L889" s="85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07"/>
      <c r="C890" s="2"/>
      <c r="D890" s="2"/>
      <c r="E890" s="104"/>
      <c r="F890" s="106"/>
      <c r="G890" s="105"/>
      <c r="H890" s="85"/>
      <c r="I890" s="85"/>
      <c r="J890" s="85"/>
      <c r="K890" s="85"/>
      <c r="L890" s="85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07"/>
      <c r="C891" s="2"/>
      <c r="D891" s="2"/>
      <c r="E891" s="104"/>
      <c r="F891" s="106"/>
      <c r="G891" s="105"/>
      <c r="H891" s="85"/>
      <c r="I891" s="85"/>
      <c r="J891" s="85"/>
      <c r="K891" s="85"/>
      <c r="L891" s="85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07"/>
      <c r="C892" s="2"/>
      <c r="D892" s="2"/>
      <c r="E892" s="104"/>
      <c r="F892" s="106"/>
      <c r="G892" s="105"/>
      <c r="H892" s="85"/>
      <c r="I892" s="85"/>
      <c r="J892" s="85"/>
      <c r="K892" s="85"/>
      <c r="L892" s="85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07"/>
      <c r="C893" s="2"/>
      <c r="D893" s="2"/>
      <c r="E893" s="104"/>
      <c r="F893" s="106"/>
      <c r="G893" s="105"/>
      <c r="H893" s="85"/>
      <c r="I893" s="85"/>
      <c r="J893" s="85"/>
      <c r="K893" s="85"/>
      <c r="L893" s="85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07"/>
      <c r="C894" s="2"/>
      <c r="D894" s="2"/>
      <c r="E894" s="104"/>
      <c r="F894" s="106"/>
      <c r="G894" s="105"/>
      <c r="H894" s="85"/>
      <c r="I894" s="85"/>
      <c r="J894" s="85"/>
      <c r="K894" s="85"/>
      <c r="L894" s="85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07"/>
      <c r="C895" s="2"/>
      <c r="D895" s="2"/>
      <c r="E895" s="104"/>
      <c r="F895" s="106"/>
      <c r="G895" s="105"/>
      <c r="H895" s="85"/>
      <c r="I895" s="85"/>
      <c r="J895" s="85"/>
      <c r="K895" s="85"/>
      <c r="L895" s="85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07"/>
      <c r="C896" s="2"/>
      <c r="D896" s="2"/>
      <c r="E896" s="104"/>
      <c r="F896" s="106"/>
      <c r="G896" s="105"/>
      <c r="H896" s="85"/>
      <c r="I896" s="85"/>
      <c r="J896" s="85"/>
      <c r="K896" s="85"/>
      <c r="L896" s="85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07"/>
      <c r="C897" s="2"/>
      <c r="D897" s="2"/>
      <c r="E897" s="104"/>
      <c r="F897" s="106"/>
      <c r="G897" s="105"/>
      <c r="H897" s="85"/>
      <c r="I897" s="85"/>
      <c r="J897" s="85"/>
      <c r="K897" s="85"/>
      <c r="L897" s="85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07"/>
      <c r="C898" s="2"/>
      <c r="D898" s="2"/>
      <c r="E898" s="104"/>
      <c r="F898" s="106"/>
      <c r="G898" s="105"/>
      <c r="H898" s="85"/>
      <c r="I898" s="85"/>
      <c r="J898" s="85"/>
      <c r="K898" s="85"/>
      <c r="L898" s="85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07"/>
      <c r="C899" s="2"/>
      <c r="D899" s="2"/>
      <c r="E899" s="104"/>
      <c r="F899" s="106"/>
      <c r="G899" s="105"/>
      <c r="H899" s="85"/>
      <c r="I899" s="85"/>
      <c r="J899" s="85"/>
      <c r="K899" s="85"/>
      <c r="L899" s="85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07"/>
      <c r="C900" s="2"/>
      <c r="D900" s="2"/>
      <c r="E900" s="104"/>
      <c r="F900" s="106"/>
      <c r="G900" s="105"/>
      <c r="H900" s="85"/>
      <c r="I900" s="85"/>
      <c r="J900" s="85"/>
      <c r="K900" s="85"/>
      <c r="L900" s="85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07"/>
      <c r="C901" s="2"/>
      <c r="D901" s="2"/>
      <c r="E901" s="104"/>
      <c r="F901" s="106"/>
      <c r="G901" s="105"/>
      <c r="H901" s="85"/>
      <c r="I901" s="85"/>
      <c r="J901" s="85"/>
      <c r="K901" s="85"/>
      <c r="L901" s="85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07"/>
      <c r="C902" s="2"/>
      <c r="D902" s="2"/>
      <c r="E902" s="104"/>
      <c r="F902" s="106"/>
      <c r="G902" s="105"/>
      <c r="H902" s="85"/>
      <c r="I902" s="85"/>
      <c r="J902" s="85"/>
      <c r="K902" s="85"/>
      <c r="L902" s="85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07"/>
      <c r="C903" s="2"/>
      <c r="D903" s="2"/>
      <c r="E903" s="104"/>
      <c r="F903" s="106"/>
      <c r="G903" s="105"/>
      <c r="H903" s="85"/>
      <c r="I903" s="85"/>
      <c r="J903" s="85"/>
      <c r="K903" s="85"/>
      <c r="L903" s="85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07"/>
      <c r="C904" s="2"/>
      <c r="D904" s="2"/>
      <c r="E904" s="104"/>
      <c r="F904" s="106"/>
      <c r="G904" s="105"/>
      <c r="H904" s="85"/>
      <c r="I904" s="85"/>
      <c r="J904" s="85"/>
      <c r="K904" s="85"/>
      <c r="L904" s="85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07"/>
      <c r="C905" s="2"/>
      <c r="D905" s="2"/>
      <c r="E905" s="104"/>
      <c r="F905" s="106"/>
      <c r="G905" s="105"/>
      <c r="H905" s="85"/>
      <c r="I905" s="85"/>
      <c r="J905" s="85"/>
      <c r="K905" s="85"/>
      <c r="L905" s="85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07"/>
      <c r="C906" s="2"/>
      <c r="D906" s="2"/>
      <c r="E906" s="104"/>
      <c r="F906" s="106"/>
      <c r="G906" s="105"/>
      <c r="H906" s="85"/>
      <c r="I906" s="85"/>
      <c r="J906" s="85"/>
      <c r="K906" s="85"/>
      <c r="L906" s="85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07"/>
      <c r="C907" s="2"/>
      <c r="D907" s="2"/>
      <c r="E907" s="104"/>
      <c r="F907" s="106"/>
      <c r="G907" s="105"/>
      <c r="H907" s="85"/>
      <c r="I907" s="85"/>
      <c r="J907" s="85"/>
      <c r="K907" s="85"/>
      <c r="L907" s="85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07"/>
      <c r="C908" s="2"/>
      <c r="D908" s="2"/>
      <c r="E908" s="104"/>
      <c r="F908" s="106"/>
      <c r="G908" s="105"/>
      <c r="H908" s="85"/>
      <c r="I908" s="85"/>
      <c r="J908" s="85"/>
      <c r="K908" s="85"/>
      <c r="L908" s="85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07"/>
      <c r="C909" s="2"/>
      <c r="D909" s="2"/>
      <c r="E909" s="104"/>
      <c r="F909" s="106"/>
      <c r="G909" s="105"/>
      <c r="H909" s="85"/>
      <c r="I909" s="85"/>
      <c r="J909" s="85"/>
      <c r="K909" s="85"/>
      <c r="L909" s="85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07"/>
      <c r="C910" s="2"/>
      <c r="D910" s="2"/>
      <c r="E910" s="104"/>
      <c r="F910" s="106"/>
      <c r="G910" s="105"/>
      <c r="H910" s="85"/>
      <c r="I910" s="85"/>
      <c r="J910" s="85"/>
      <c r="K910" s="85"/>
      <c r="L910" s="85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07"/>
      <c r="C911" s="2"/>
      <c r="D911" s="2"/>
      <c r="E911" s="104"/>
      <c r="F911" s="106"/>
      <c r="G911" s="105"/>
      <c r="H911" s="85"/>
      <c r="I911" s="85"/>
      <c r="J911" s="85"/>
      <c r="K911" s="85"/>
      <c r="L911" s="85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07"/>
      <c r="C912" s="2"/>
      <c r="D912" s="2"/>
      <c r="E912" s="104"/>
      <c r="F912" s="106"/>
      <c r="G912" s="105"/>
      <c r="H912" s="85"/>
      <c r="I912" s="85"/>
      <c r="J912" s="85"/>
      <c r="K912" s="85"/>
      <c r="L912" s="85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07"/>
      <c r="C913" s="2"/>
      <c r="D913" s="2"/>
      <c r="E913" s="104"/>
      <c r="F913" s="106"/>
      <c r="G913" s="105"/>
      <c r="H913" s="85"/>
      <c r="I913" s="85"/>
      <c r="J913" s="85"/>
      <c r="K913" s="85"/>
      <c r="L913" s="85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07"/>
      <c r="C914" s="2"/>
      <c r="D914" s="2"/>
      <c r="E914" s="104"/>
      <c r="F914" s="106"/>
      <c r="G914" s="105"/>
      <c r="H914" s="85"/>
      <c r="I914" s="85"/>
      <c r="J914" s="85"/>
      <c r="K914" s="85"/>
      <c r="L914" s="85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07"/>
      <c r="C915" s="2"/>
      <c r="D915" s="2"/>
      <c r="E915" s="104"/>
      <c r="F915" s="106"/>
      <c r="G915" s="105"/>
      <c r="H915" s="85"/>
      <c r="I915" s="85"/>
      <c r="J915" s="85"/>
      <c r="K915" s="85"/>
      <c r="L915" s="85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07"/>
      <c r="C916" s="2"/>
      <c r="D916" s="2"/>
      <c r="E916" s="104"/>
      <c r="F916" s="106"/>
      <c r="G916" s="105"/>
      <c r="H916" s="85"/>
      <c r="I916" s="85"/>
      <c r="J916" s="85"/>
      <c r="K916" s="85"/>
      <c r="L916" s="85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07"/>
      <c r="C917" s="2"/>
      <c r="D917" s="2"/>
      <c r="E917" s="104"/>
      <c r="F917" s="106"/>
      <c r="G917" s="105"/>
      <c r="H917" s="85"/>
      <c r="I917" s="85"/>
      <c r="J917" s="85"/>
      <c r="K917" s="85"/>
      <c r="L917" s="85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07"/>
      <c r="C918" s="2"/>
      <c r="D918" s="2"/>
      <c r="E918" s="104"/>
      <c r="F918" s="106"/>
      <c r="G918" s="105"/>
      <c r="H918" s="85"/>
      <c r="I918" s="85"/>
      <c r="J918" s="85"/>
      <c r="K918" s="85"/>
      <c r="L918" s="85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07"/>
      <c r="C919" s="2"/>
      <c r="D919" s="2"/>
      <c r="E919" s="104"/>
      <c r="F919" s="106"/>
      <c r="G919" s="105"/>
      <c r="H919" s="85"/>
      <c r="I919" s="85"/>
      <c r="J919" s="85"/>
      <c r="K919" s="85"/>
      <c r="L919" s="85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07"/>
      <c r="C920" s="2"/>
      <c r="D920" s="2"/>
      <c r="E920" s="104"/>
      <c r="F920" s="106"/>
      <c r="G920" s="105"/>
      <c r="H920" s="85"/>
      <c r="I920" s="85"/>
      <c r="J920" s="85"/>
      <c r="K920" s="85"/>
      <c r="L920" s="85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07"/>
      <c r="C921" s="2"/>
      <c r="D921" s="2"/>
      <c r="E921" s="104"/>
      <c r="F921" s="106"/>
      <c r="G921" s="105"/>
      <c r="H921" s="85"/>
      <c r="I921" s="85"/>
      <c r="J921" s="85"/>
      <c r="K921" s="85"/>
      <c r="L921" s="85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07"/>
      <c r="C922" s="2"/>
      <c r="D922" s="2"/>
      <c r="E922" s="104"/>
      <c r="F922" s="106"/>
      <c r="G922" s="105"/>
      <c r="H922" s="85"/>
      <c r="I922" s="85"/>
      <c r="J922" s="85"/>
      <c r="K922" s="85"/>
      <c r="L922" s="85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07"/>
      <c r="C923" s="2"/>
      <c r="D923" s="2"/>
      <c r="E923" s="104"/>
      <c r="F923" s="106"/>
      <c r="G923" s="105"/>
      <c r="H923" s="85"/>
      <c r="I923" s="85"/>
      <c r="J923" s="85"/>
      <c r="K923" s="85"/>
      <c r="L923" s="85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07"/>
      <c r="C924" s="2"/>
      <c r="D924" s="2"/>
      <c r="E924" s="104"/>
      <c r="F924" s="106"/>
      <c r="G924" s="105"/>
      <c r="H924" s="85"/>
      <c r="I924" s="85"/>
      <c r="J924" s="85"/>
      <c r="K924" s="85"/>
      <c r="L924" s="85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07"/>
      <c r="C925" s="2"/>
      <c r="D925" s="2"/>
      <c r="E925" s="104"/>
      <c r="F925" s="106"/>
      <c r="G925" s="105"/>
      <c r="H925" s="85"/>
      <c r="I925" s="85"/>
      <c r="J925" s="85"/>
      <c r="K925" s="85"/>
      <c r="L925" s="85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07"/>
      <c r="C926" s="2"/>
      <c r="D926" s="2"/>
      <c r="E926" s="104"/>
      <c r="F926" s="106"/>
      <c r="G926" s="105"/>
      <c r="H926" s="85"/>
      <c r="I926" s="85"/>
      <c r="J926" s="85"/>
      <c r="K926" s="85"/>
      <c r="L926" s="85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07"/>
      <c r="C927" s="2"/>
      <c r="D927" s="2"/>
      <c r="E927" s="104"/>
      <c r="F927" s="106"/>
      <c r="G927" s="105"/>
      <c r="H927" s="85"/>
      <c r="I927" s="85"/>
      <c r="J927" s="85"/>
      <c r="K927" s="85"/>
      <c r="L927" s="85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07"/>
      <c r="C928" s="2"/>
      <c r="D928" s="2"/>
      <c r="E928" s="104"/>
      <c r="F928" s="106"/>
      <c r="G928" s="105"/>
      <c r="H928" s="85"/>
      <c r="I928" s="85"/>
      <c r="J928" s="85"/>
      <c r="K928" s="85"/>
      <c r="L928" s="85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07"/>
      <c r="C929" s="2"/>
      <c r="D929" s="2"/>
      <c r="E929" s="104"/>
      <c r="F929" s="106"/>
      <c r="G929" s="105"/>
      <c r="H929" s="85"/>
      <c r="I929" s="85"/>
      <c r="J929" s="85"/>
      <c r="K929" s="85"/>
      <c r="L929" s="85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07"/>
      <c r="C930" s="2"/>
      <c r="D930" s="2"/>
      <c r="E930" s="104"/>
      <c r="F930" s="106"/>
      <c r="G930" s="105"/>
      <c r="H930" s="85"/>
      <c r="I930" s="85"/>
      <c r="J930" s="85"/>
      <c r="K930" s="85"/>
      <c r="L930" s="85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07"/>
      <c r="C931" s="2"/>
      <c r="D931" s="2"/>
      <c r="E931" s="104"/>
      <c r="F931" s="106"/>
      <c r="G931" s="105"/>
      <c r="H931" s="85"/>
      <c r="I931" s="85"/>
      <c r="J931" s="85"/>
      <c r="K931" s="85"/>
      <c r="L931" s="85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07"/>
      <c r="C932" s="2"/>
      <c r="D932" s="2"/>
      <c r="E932" s="104"/>
      <c r="F932" s="106"/>
      <c r="G932" s="105"/>
      <c r="H932" s="85"/>
      <c r="I932" s="85"/>
      <c r="J932" s="85"/>
      <c r="K932" s="85"/>
      <c r="L932" s="85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07"/>
      <c r="C933" s="2"/>
      <c r="D933" s="2"/>
      <c r="E933" s="104"/>
      <c r="F933" s="106"/>
      <c r="G933" s="105"/>
      <c r="H933" s="85"/>
      <c r="I933" s="85"/>
      <c r="J933" s="85"/>
      <c r="K933" s="85"/>
      <c r="L933" s="85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07"/>
      <c r="C934" s="2"/>
      <c r="D934" s="2"/>
      <c r="E934" s="104"/>
      <c r="F934" s="106"/>
      <c r="G934" s="105"/>
      <c r="H934" s="85"/>
      <c r="I934" s="85"/>
      <c r="J934" s="85"/>
      <c r="K934" s="85"/>
      <c r="L934" s="85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07"/>
      <c r="C935" s="2"/>
      <c r="D935" s="2"/>
      <c r="E935" s="104"/>
      <c r="F935" s="106"/>
      <c r="G935" s="105"/>
      <c r="H935" s="85"/>
      <c r="I935" s="85"/>
      <c r="J935" s="85"/>
      <c r="K935" s="85"/>
      <c r="L935" s="85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07"/>
      <c r="C936" s="2"/>
      <c r="D936" s="2"/>
      <c r="E936" s="104"/>
      <c r="F936" s="106"/>
      <c r="G936" s="105"/>
      <c r="H936" s="85"/>
      <c r="I936" s="85"/>
      <c r="J936" s="85"/>
      <c r="K936" s="85"/>
      <c r="L936" s="85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07"/>
      <c r="C937" s="2"/>
      <c r="D937" s="2"/>
      <c r="E937" s="104"/>
      <c r="F937" s="106"/>
      <c r="G937" s="105"/>
      <c r="H937" s="85"/>
      <c r="I937" s="85"/>
      <c r="J937" s="85"/>
      <c r="K937" s="85"/>
      <c r="L937" s="85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07"/>
      <c r="C938" s="2"/>
      <c r="D938" s="2"/>
      <c r="E938" s="104"/>
      <c r="F938" s="106"/>
      <c r="G938" s="105"/>
      <c r="H938" s="85"/>
      <c r="I938" s="85"/>
      <c r="J938" s="85"/>
      <c r="K938" s="85"/>
      <c r="L938" s="85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07"/>
      <c r="C939" s="2"/>
      <c r="D939" s="2"/>
      <c r="E939" s="104"/>
      <c r="F939" s="106"/>
      <c r="G939" s="105"/>
      <c r="H939" s="85"/>
      <c r="I939" s="85"/>
      <c r="J939" s="85"/>
      <c r="K939" s="85"/>
      <c r="L939" s="85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07"/>
      <c r="C940" s="2"/>
      <c r="D940" s="2"/>
      <c r="E940" s="104"/>
      <c r="F940" s="106"/>
      <c r="G940" s="105"/>
      <c r="H940" s="85"/>
      <c r="I940" s="85"/>
      <c r="J940" s="85"/>
      <c r="K940" s="85"/>
      <c r="L940" s="85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07"/>
      <c r="C941" s="2"/>
      <c r="D941" s="2"/>
      <c r="E941" s="104"/>
      <c r="F941" s="106"/>
      <c r="G941" s="105"/>
      <c r="H941" s="85"/>
      <c r="I941" s="85"/>
      <c r="J941" s="85"/>
      <c r="K941" s="85"/>
      <c r="L941" s="85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07"/>
      <c r="C942" s="2"/>
      <c r="D942" s="2"/>
      <c r="E942" s="104"/>
      <c r="F942" s="106"/>
      <c r="G942" s="105"/>
      <c r="H942" s="85"/>
      <c r="I942" s="85"/>
      <c r="J942" s="85"/>
      <c r="K942" s="85"/>
      <c r="L942" s="85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07"/>
      <c r="C943" s="2"/>
      <c r="D943" s="2"/>
      <c r="E943" s="104"/>
      <c r="F943" s="106"/>
      <c r="G943" s="105"/>
      <c r="H943" s="85"/>
      <c r="I943" s="85"/>
      <c r="J943" s="85"/>
      <c r="K943" s="85"/>
      <c r="L943" s="85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07"/>
      <c r="C944" s="2"/>
      <c r="D944" s="2"/>
      <c r="E944" s="104"/>
      <c r="F944" s="106"/>
      <c r="G944" s="105"/>
      <c r="H944" s="85"/>
      <c r="I944" s="85"/>
      <c r="J944" s="85"/>
      <c r="K944" s="85"/>
      <c r="L944" s="85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07"/>
      <c r="C945" s="2"/>
      <c r="D945" s="2"/>
      <c r="E945" s="104"/>
      <c r="F945" s="106"/>
      <c r="G945" s="105"/>
      <c r="H945" s="85"/>
      <c r="I945" s="85"/>
      <c r="J945" s="85"/>
      <c r="K945" s="85"/>
      <c r="L945" s="85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07"/>
      <c r="C946" s="2"/>
      <c r="D946" s="2"/>
      <c r="E946" s="104"/>
      <c r="F946" s="106"/>
      <c r="G946" s="105"/>
      <c r="H946" s="85"/>
      <c r="I946" s="85"/>
      <c r="J946" s="85"/>
      <c r="K946" s="85"/>
      <c r="L946" s="85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07"/>
      <c r="C947" s="2"/>
      <c r="D947" s="2"/>
      <c r="E947" s="104"/>
      <c r="F947" s="106"/>
      <c r="G947" s="105"/>
      <c r="H947" s="85"/>
      <c r="I947" s="85"/>
      <c r="J947" s="85"/>
      <c r="K947" s="85"/>
      <c r="L947" s="85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07"/>
      <c r="C948" s="2"/>
      <c r="D948" s="2"/>
      <c r="E948" s="104"/>
      <c r="F948" s="106"/>
      <c r="G948" s="105"/>
      <c r="H948" s="85"/>
      <c r="I948" s="85"/>
      <c r="J948" s="85"/>
      <c r="K948" s="85"/>
      <c r="L948" s="85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07"/>
      <c r="C949" s="2"/>
      <c r="D949" s="2"/>
      <c r="E949" s="104"/>
      <c r="F949" s="106"/>
      <c r="G949" s="105"/>
      <c r="H949" s="85"/>
      <c r="I949" s="85"/>
      <c r="J949" s="85"/>
      <c r="K949" s="85"/>
      <c r="L949" s="85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07"/>
      <c r="C950" s="2"/>
      <c r="D950" s="2"/>
      <c r="E950" s="104"/>
      <c r="F950" s="106"/>
      <c r="G950" s="105"/>
      <c r="H950" s="85"/>
      <c r="I950" s="85"/>
      <c r="J950" s="85"/>
      <c r="K950" s="85"/>
      <c r="L950" s="85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07"/>
      <c r="C951" s="2"/>
      <c r="D951" s="2"/>
      <c r="E951" s="104"/>
      <c r="F951" s="106"/>
      <c r="G951" s="105"/>
      <c r="H951" s="85"/>
      <c r="I951" s="85"/>
      <c r="J951" s="85"/>
      <c r="K951" s="85"/>
      <c r="L951" s="85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07"/>
      <c r="C952" s="2"/>
      <c r="D952" s="2"/>
      <c r="E952" s="104"/>
      <c r="F952" s="106"/>
      <c r="G952" s="105"/>
      <c r="H952" s="85"/>
      <c r="I952" s="85"/>
      <c r="J952" s="85"/>
      <c r="K952" s="85"/>
      <c r="L952" s="85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07"/>
      <c r="C953" s="2"/>
      <c r="D953" s="2"/>
      <c r="E953" s="104"/>
      <c r="F953" s="106"/>
      <c r="G953" s="105"/>
      <c r="H953" s="85"/>
      <c r="I953" s="85"/>
      <c r="J953" s="85"/>
      <c r="K953" s="85"/>
      <c r="L953" s="85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07"/>
      <c r="C954" s="2"/>
      <c r="D954" s="2"/>
      <c r="E954" s="104"/>
      <c r="F954" s="106"/>
      <c r="G954" s="105"/>
      <c r="H954" s="85"/>
      <c r="I954" s="85"/>
      <c r="J954" s="85"/>
      <c r="K954" s="85"/>
      <c r="L954" s="85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07"/>
      <c r="C955" s="2"/>
      <c r="D955" s="2"/>
      <c r="E955" s="104"/>
      <c r="F955" s="106"/>
      <c r="G955" s="105"/>
      <c r="H955" s="85"/>
      <c r="I955" s="85"/>
      <c r="J955" s="85"/>
      <c r="K955" s="85"/>
      <c r="L955" s="85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07"/>
      <c r="C956" s="2"/>
      <c r="D956" s="2"/>
      <c r="E956" s="104"/>
      <c r="F956" s="106"/>
      <c r="G956" s="105"/>
      <c r="H956" s="85"/>
      <c r="I956" s="85"/>
      <c r="J956" s="85"/>
      <c r="K956" s="85"/>
      <c r="L956" s="85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07"/>
      <c r="C957" s="2"/>
      <c r="D957" s="2"/>
      <c r="E957" s="104"/>
      <c r="F957" s="106"/>
      <c r="G957" s="105"/>
      <c r="H957" s="85"/>
      <c r="I957" s="85"/>
      <c r="J957" s="85"/>
      <c r="K957" s="85"/>
      <c r="L957" s="85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07"/>
      <c r="C958" s="2"/>
      <c r="D958" s="2"/>
      <c r="E958" s="104"/>
      <c r="F958" s="106"/>
      <c r="G958" s="105"/>
      <c r="H958" s="85"/>
      <c r="I958" s="85"/>
      <c r="J958" s="85"/>
      <c r="K958" s="85"/>
      <c r="L958" s="85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07"/>
      <c r="C959" s="2"/>
      <c r="D959" s="2"/>
      <c r="E959" s="104"/>
      <c r="F959" s="106"/>
      <c r="G959" s="105"/>
      <c r="H959" s="85"/>
      <c r="I959" s="85"/>
      <c r="J959" s="85"/>
      <c r="K959" s="85"/>
      <c r="L959" s="85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07"/>
      <c r="C960" s="2"/>
      <c r="D960" s="2"/>
      <c r="E960" s="104"/>
      <c r="F960" s="106"/>
      <c r="G960" s="105"/>
      <c r="H960" s="85"/>
      <c r="I960" s="85"/>
      <c r="J960" s="85"/>
      <c r="K960" s="85"/>
      <c r="L960" s="85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07"/>
      <c r="C961" s="2"/>
      <c r="D961" s="2"/>
      <c r="E961" s="104"/>
      <c r="F961" s="106"/>
      <c r="G961" s="105"/>
      <c r="H961" s="85"/>
      <c r="I961" s="85"/>
      <c r="J961" s="85"/>
      <c r="K961" s="85"/>
      <c r="L961" s="85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07"/>
      <c r="C962" s="2"/>
      <c r="D962" s="2"/>
      <c r="E962" s="104"/>
      <c r="F962" s="106"/>
      <c r="G962" s="105"/>
      <c r="H962" s="85"/>
      <c r="I962" s="85"/>
      <c r="J962" s="85"/>
      <c r="K962" s="85"/>
      <c r="L962" s="85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07"/>
      <c r="C963" s="2"/>
      <c r="D963" s="2"/>
      <c r="E963" s="104"/>
      <c r="F963" s="106"/>
      <c r="G963" s="105"/>
      <c r="H963" s="85"/>
      <c r="I963" s="85"/>
      <c r="J963" s="85"/>
      <c r="K963" s="85"/>
      <c r="L963" s="85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07"/>
      <c r="C964" s="2"/>
      <c r="D964" s="2"/>
      <c r="E964" s="104"/>
      <c r="F964" s="106"/>
      <c r="G964" s="105"/>
      <c r="H964" s="85"/>
      <c r="I964" s="85"/>
      <c r="J964" s="85"/>
      <c r="K964" s="85"/>
      <c r="L964" s="85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07"/>
      <c r="C965" s="2"/>
      <c r="D965" s="2"/>
      <c r="E965" s="104"/>
      <c r="F965" s="106"/>
      <c r="G965" s="105"/>
      <c r="H965" s="85"/>
      <c r="I965" s="85"/>
      <c r="J965" s="85"/>
      <c r="K965" s="85"/>
      <c r="L965" s="85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07"/>
      <c r="C966" s="2"/>
      <c r="D966" s="2"/>
      <c r="E966" s="104"/>
      <c r="F966" s="106"/>
      <c r="G966" s="105"/>
      <c r="H966" s="85"/>
      <c r="I966" s="85"/>
      <c r="J966" s="85"/>
      <c r="K966" s="85"/>
      <c r="L966" s="85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07"/>
      <c r="C967" s="2"/>
      <c r="D967" s="2"/>
      <c r="E967" s="104"/>
      <c r="F967" s="106"/>
      <c r="G967" s="105"/>
      <c r="H967" s="85"/>
      <c r="I967" s="85"/>
      <c r="J967" s="85"/>
      <c r="K967" s="85"/>
      <c r="L967" s="85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07"/>
      <c r="C968" s="2"/>
      <c r="D968" s="2"/>
      <c r="E968" s="104"/>
      <c r="F968" s="106"/>
      <c r="G968" s="105"/>
      <c r="H968" s="85"/>
      <c r="I968" s="85"/>
      <c r="J968" s="85"/>
      <c r="K968" s="85"/>
      <c r="L968" s="85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07"/>
      <c r="C969" s="2"/>
      <c r="D969" s="2"/>
      <c r="E969" s="104"/>
      <c r="F969" s="106"/>
      <c r="G969" s="105"/>
      <c r="H969" s="85"/>
      <c r="I969" s="85"/>
      <c r="J969" s="85"/>
      <c r="K969" s="85"/>
      <c r="L969" s="85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07"/>
      <c r="C970" s="2"/>
      <c r="D970" s="2"/>
      <c r="E970" s="104"/>
      <c r="F970" s="106"/>
      <c r="G970" s="105"/>
      <c r="H970" s="85"/>
      <c r="I970" s="85"/>
      <c r="J970" s="85"/>
      <c r="K970" s="85"/>
      <c r="L970" s="85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07"/>
      <c r="C971" s="2"/>
      <c r="D971" s="2"/>
      <c r="E971" s="104"/>
      <c r="F971" s="106"/>
      <c r="G971" s="105"/>
      <c r="H971" s="85"/>
      <c r="I971" s="85"/>
      <c r="J971" s="85"/>
      <c r="K971" s="85"/>
      <c r="L971" s="85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07"/>
      <c r="C972" s="2"/>
      <c r="D972" s="2"/>
      <c r="E972" s="104"/>
      <c r="F972" s="106"/>
      <c r="G972" s="105"/>
      <c r="H972" s="85"/>
      <c r="I972" s="85"/>
      <c r="J972" s="85"/>
      <c r="K972" s="85"/>
      <c r="L972" s="85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07"/>
      <c r="C973" s="2"/>
      <c r="D973" s="2"/>
      <c r="E973" s="104"/>
      <c r="F973" s="106"/>
      <c r="G973" s="105"/>
      <c r="H973" s="85"/>
      <c r="I973" s="85"/>
      <c r="J973" s="85"/>
      <c r="K973" s="85"/>
      <c r="L973" s="85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07"/>
      <c r="C974" s="2"/>
      <c r="D974" s="2"/>
      <c r="E974" s="104"/>
      <c r="F974" s="106"/>
      <c r="G974" s="105"/>
      <c r="H974" s="85"/>
      <c r="I974" s="85"/>
      <c r="J974" s="85"/>
      <c r="K974" s="85"/>
      <c r="L974" s="85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07"/>
      <c r="C975" s="2"/>
      <c r="D975" s="2"/>
      <c r="E975" s="104"/>
      <c r="F975" s="106"/>
      <c r="G975" s="105"/>
      <c r="H975" s="85"/>
      <c r="I975" s="85"/>
      <c r="J975" s="85"/>
      <c r="K975" s="85"/>
      <c r="L975" s="85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07"/>
      <c r="C976" s="2"/>
      <c r="D976" s="2"/>
      <c r="E976" s="104"/>
      <c r="F976" s="106"/>
      <c r="G976" s="105"/>
      <c r="H976" s="85"/>
      <c r="I976" s="85"/>
      <c r="J976" s="85"/>
      <c r="K976" s="85"/>
      <c r="L976" s="85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07"/>
      <c r="C977" s="2"/>
      <c r="D977" s="2"/>
      <c r="E977" s="104"/>
      <c r="F977" s="106"/>
      <c r="G977" s="105"/>
      <c r="H977" s="85"/>
      <c r="I977" s="85"/>
      <c r="J977" s="85"/>
      <c r="K977" s="85"/>
      <c r="L977" s="85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07"/>
      <c r="C978" s="2"/>
      <c r="D978" s="2"/>
      <c r="E978" s="104"/>
      <c r="F978" s="106"/>
      <c r="G978" s="105"/>
      <c r="H978" s="85"/>
      <c r="I978" s="85"/>
      <c r="J978" s="85"/>
      <c r="K978" s="85"/>
      <c r="L978" s="85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07"/>
      <c r="C979" s="2"/>
      <c r="D979" s="2"/>
      <c r="E979" s="104"/>
      <c r="F979" s="106"/>
      <c r="G979" s="105"/>
      <c r="H979" s="85"/>
      <c r="I979" s="85"/>
      <c r="J979" s="85"/>
      <c r="K979" s="85"/>
      <c r="L979" s="85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07"/>
      <c r="C980" s="2"/>
      <c r="D980" s="2"/>
      <c r="E980" s="104"/>
      <c r="F980" s="106"/>
      <c r="G980" s="105"/>
      <c r="H980" s="85"/>
      <c r="I980" s="85"/>
      <c r="J980" s="85"/>
      <c r="K980" s="85"/>
      <c r="L980" s="85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07"/>
      <c r="C981" s="2"/>
      <c r="D981" s="2"/>
      <c r="E981" s="104"/>
      <c r="F981" s="106"/>
      <c r="G981" s="105"/>
      <c r="H981" s="85"/>
      <c r="I981" s="85"/>
      <c r="J981" s="85"/>
      <c r="K981" s="85"/>
      <c r="L981" s="85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07"/>
      <c r="C982" s="2"/>
      <c r="D982" s="2"/>
      <c r="E982" s="104"/>
      <c r="F982" s="106"/>
      <c r="G982" s="105"/>
      <c r="H982" s="85"/>
      <c r="I982" s="85"/>
      <c r="J982" s="85"/>
      <c r="K982" s="85"/>
      <c r="L982" s="85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07"/>
      <c r="C983" s="2"/>
      <c r="D983" s="2"/>
      <c r="E983" s="104"/>
      <c r="F983" s="106"/>
      <c r="G983" s="105"/>
      <c r="H983" s="85"/>
      <c r="I983" s="85"/>
      <c r="J983" s="85"/>
      <c r="K983" s="85"/>
      <c r="L983" s="85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07"/>
      <c r="C984" s="2"/>
      <c r="D984" s="2"/>
      <c r="E984" s="104"/>
      <c r="F984" s="106"/>
      <c r="G984" s="105"/>
      <c r="H984" s="85"/>
      <c r="I984" s="85"/>
      <c r="J984" s="85"/>
      <c r="K984" s="85"/>
      <c r="L984" s="85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07"/>
      <c r="C985" s="2"/>
      <c r="D985" s="2"/>
      <c r="E985" s="104"/>
      <c r="F985" s="106"/>
      <c r="G985" s="105"/>
      <c r="H985" s="85"/>
      <c r="I985" s="85"/>
      <c r="J985" s="85"/>
      <c r="K985" s="85"/>
      <c r="L985" s="85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07"/>
      <c r="C986" s="2"/>
      <c r="D986" s="2"/>
      <c r="E986" s="104"/>
      <c r="F986" s="106"/>
      <c r="G986" s="105"/>
      <c r="H986" s="85"/>
      <c r="I986" s="85"/>
      <c r="J986" s="85"/>
      <c r="K986" s="85"/>
      <c r="L986" s="85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07"/>
      <c r="C987" s="2"/>
      <c r="D987" s="2"/>
      <c r="E987" s="104"/>
      <c r="F987" s="106"/>
      <c r="G987" s="105"/>
      <c r="H987" s="85"/>
      <c r="I987" s="85"/>
      <c r="J987" s="85"/>
      <c r="K987" s="85"/>
      <c r="L987" s="85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07"/>
      <c r="C988" s="2"/>
      <c r="D988" s="2"/>
      <c r="E988" s="104"/>
      <c r="F988" s="106"/>
      <c r="G988" s="105"/>
      <c r="H988" s="85"/>
      <c r="I988" s="85"/>
      <c r="J988" s="85"/>
      <c r="K988" s="85"/>
      <c r="L988" s="85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07"/>
      <c r="C989" s="2"/>
      <c r="D989" s="2"/>
      <c r="E989" s="104"/>
      <c r="F989" s="106"/>
      <c r="G989" s="105"/>
      <c r="H989" s="85"/>
      <c r="I989" s="85"/>
      <c r="J989" s="85"/>
      <c r="K989" s="85"/>
      <c r="L989" s="85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07"/>
      <c r="C990" s="2"/>
      <c r="D990" s="2"/>
      <c r="E990" s="104"/>
      <c r="F990" s="106"/>
      <c r="G990" s="105"/>
      <c r="H990" s="85"/>
      <c r="I990" s="85"/>
      <c r="J990" s="85"/>
      <c r="K990" s="85"/>
      <c r="L990" s="85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07"/>
      <c r="C991" s="2"/>
      <c r="D991" s="2"/>
      <c r="E991" s="104"/>
      <c r="F991" s="106"/>
      <c r="G991" s="105"/>
      <c r="H991" s="85"/>
      <c r="I991" s="85"/>
      <c r="J991" s="85"/>
      <c r="K991" s="85"/>
      <c r="L991" s="85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07"/>
      <c r="C992" s="2"/>
      <c r="D992" s="2"/>
      <c r="E992" s="104"/>
      <c r="F992" s="106"/>
      <c r="G992" s="105"/>
      <c r="H992" s="85"/>
      <c r="I992" s="85"/>
      <c r="J992" s="85"/>
      <c r="K992" s="85"/>
      <c r="L992" s="85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07"/>
      <c r="C993" s="2"/>
      <c r="D993" s="2"/>
      <c r="E993" s="104"/>
      <c r="F993" s="106"/>
      <c r="G993" s="105"/>
      <c r="H993" s="85"/>
      <c r="I993" s="85"/>
      <c r="J993" s="85"/>
      <c r="K993" s="85"/>
      <c r="L993" s="85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07"/>
      <c r="C994" s="2"/>
      <c r="D994" s="2"/>
      <c r="E994" s="104"/>
      <c r="F994" s="106"/>
      <c r="G994" s="105"/>
      <c r="H994" s="85"/>
      <c r="I994" s="85"/>
      <c r="J994" s="85"/>
      <c r="K994" s="85"/>
      <c r="L994" s="85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07"/>
      <c r="C995" s="2"/>
      <c r="D995" s="2"/>
      <c r="E995" s="104"/>
      <c r="F995" s="106"/>
      <c r="G995" s="105"/>
      <c r="H995" s="85"/>
      <c r="I995" s="85"/>
      <c r="J995" s="85"/>
      <c r="K995" s="85"/>
      <c r="L995" s="85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07"/>
      <c r="C996" s="2"/>
      <c r="D996" s="2"/>
      <c r="E996" s="104"/>
      <c r="F996" s="106"/>
      <c r="G996" s="105"/>
      <c r="H996" s="85"/>
      <c r="I996" s="85"/>
      <c r="J996" s="85"/>
      <c r="K996" s="85"/>
      <c r="L996" s="85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07"/>
      <c r="C997" s="2"/>
      <c r="D997" s="2"/>
      <c r="E997" s="104"/>
      <c r="F997" s="106"/>
      <c r="G997" s="105"/>
      <c r="H997" s="85"/>
      <c r="I997" s="85"/>
      <c r="J997" s="85"/>
      <c r="K997" s="85"/>
      <c r="L997" s="85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07"/>
      <c r="C998" s="2"/>
      <c r="D998" s="2"/>
      <c r="E998" s="104"/>
      <c r="F998" s="106"/>
      <c r="G998" s="105"/>
      <c r="H998" s="85"/>
      <c r="I998" s="85"/>
      <c r="J998" s="85"/>
      <c r="K998" s="85"/>
      <c r="L998" s="85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07"/>
      <c r="C999" s="2"/>
      <c r="D999" s="2"/>
      <c r="E999" s="104"/>
      <c r="F999" s="106"/>
      <c r="G999" s="105"/>
      <c r="H999" s="85"/>
      <c r="I999" s="85"/>
      <c r="J999" s="85"/>
      <c r="K999" s="85"/>
      <c r="L999" s="85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07"/>
      <c r="C1000" s="2"/>
      <c r="D1000" s="2"/>
      <c r="E1000" s="104"/>
      <c r="F1000" s="106"/>
      <c r="G1000" s="105"/>
      <c r="H1000" s="85"/>
      <c r="I1000" s="85"/>
      <c r="J1000" s="85"/>
      <c r="K1000" s="85"/>
      <c r="L1000" s="85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51"/>
      <c r="E1001" s="152"/>
      <c r="F1001" s="153"/>
      <c r="I1001" s="154"/>
    </row>
  </sheetData>
  <mergeCells count="11">
    <mergeCell ref="A8:B8"/>
    <mergeCell ref="C8:D8"/>
    <mergeCell ref="E8:F8"/>
    <mergeCell ref="G8:H8"/>
    <mergeCell ref="A1:L1"/>
    <mergeCell ref="A2:L2"/>
    <mergeCell ref="B3:D3"/>
    <mergeCell ref="A7:B7"/>
    <mergeCell ref="C7:D7"/>
    <mergeCell ref="E7:F7"/>
    <mergeCell ref="G7:H7"/>
  </mergeCells>
  <dataValidations>
    <dataValidation type="custom" allowBlank="1" showDropDown="1" showInputMessage="1" showErrorMessage="1" prompt="Ikki marta bosing — kalendar ochiladi" sqref="B4 D4">
      <formula1>OR(NOT(ISERROR(DATEVALUE(B4))), AND(ISNUMBER(B4), LEFT(CELL("format", B4))="D"))</formula1>
    </dataValidation>
    <dataValidation type="list" allowBlank="1" sqref="B3">
      <formula1>'Ishchi kartasi'!$Z$1:$Z$301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392D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2" width="15.13"/>
    <col customWidth="1" min="3" max="3" width="8.88"/>
    <col customWidth="1" min="4" max="4" width="15.13"/>
    <col customWidth="1" min="5" max="5" width="19.75"/>
    <col customWidth="1" min="6" max="6" width="7.63"/>
    <col customWidth="1" min="7" max="7" width="20.13"/>
    <col customWidth="1" min="8" max="8" width="10.13"/>
    <col customWidth="1" min="9" max="9" width="17.63"/>
    <col customWidth="1" min="10" max="10" width="15.13"/>
    <col customWidth="1" min="11" max="11" width="37.63"/>
    <col hidden="1" min="25" max="26" width="12.63"/>
  </cols>
  <sheetData>
    <row r="1" ht="36.0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tr">
        <f>IFERROR(__xludf.DUMMYFUNCTION("IFERROR(REGEXEXTRACT($B$3&amp;"""",""^\d+""),TRIM($B$3&amp;""""))"),"395")</f>
        <v>395</v>
      </c>
      <c r="Z1" s="2" t="str">
        <f>IFERROR(__xludf.DUMMYFUNCTION("ARRAYFORMULA(LET(ids,UNIQUE(FILTER({Amallar!M2:M1000&amp;"""";Buyurtmalar!A2:A1000&amp;""""},{Amallar!M2:M1000&amp;"""";Buyurtmalar!A2:A1000&amp;""""}&lt;&gt;"""")),nm,MAP(ids,LAMBDA(i,IFERROR(INDEX(FILTER(Buyurtmalar!B2:B1000,Buyurtmalar!A2:A1000&amp;""""=i),1),""""))),SORT(ids&amp;I"&amp;"F(nm="""","""","" · ""&amp;nm),IFERROR(VALUE(ids),0),FALSE)))"),"410 · Murod aka")</f>
        <v>410 · Murod aka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>
        <f>IFERROR(__xludf.DUMMYFUNCTION("IFERROR(VALUE(INDEX(FILTER(Buyurtmalar!Q2:Q1000,Buyurtmalar!A2:A1000&amp;""""=$Y$1),1)&amp;""""),0)"),12103.0)</f>
        <v>12103</v>
      </c>
      <c r="Z2" s="2" t="str">
        <f>IFERROR(__xludf.DUMMYFUNCTION("""COMPUTED_VALUE"""),"409 · НИЛУФАР ОПА")</f>
        <v>409 · НИЛУФАР ОПА</v>
      </c>
    </row>
    <row r="3" ht="27.0" customHeight="1">
      <c r="A3" s="4" t="s">
        <v>7</v>
      </c>
      <c r="B3" s="5" t="s">
        <v>9</v>
      </c>
      <c r="C3" s="6"/>
      <c r="D3" s="7"/>
      <c r="E3" s="8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tr">
        <f>IFERROR(__xludf.DUMMYFUNCTION("IFERROR(INDEX(FILTER(Buyurtmalar!R2:R1000,Buyurtmalar!A2:A1000&amp;""""=$Y$1),1)&amp;"""","""")"),"USD")</f>
        <v>USD</v>
      </c>
      <c r="Z3" s="2" t="str">
        <f>IFERROR(__xludf.DUMMYFUNCTION("""COMPUTED_VALUE"""),"408 · BUNYOD")</f>
        <v>408 · BUNYOD</v>
      </c>
    </row>
    <row r="4" ht="19.5" customHeight="1">
      <c r="A4" s="4" t="s">
        <v>16</v>
      </c>
      <c r="B4" s="11" t="str">
        <f>IFERROR(__xludf.DUMMYFUNCTION("IFERROR(INDEX(FILTER(Buyurtmalar!B2:B1000,Buyurtmalar!A2:A1000&amp;""""=$Y$1),1),""— jadvalda yo'q"")"),"БЕКЗОД")</f>
        <v>БЕКЗОД</v>
      </c>
      <c r="C4" s="2"/>
      <c r="D4" s="12" t="s">
        <v>18</v>
      </c>
      <c r="E4" s="11" t="str">
        <f>IFERROR(__xludf.DUMMYFUNCTION("IFERROR(LET(s,INDEX(FILTER(Buyurtmalar!N2:N1000,Buyurtmalar!A2:A1000&amp;""""=$Y$1),1),h,INDEX(FILTER(Buyurtmalar!F2:F1000,Buyurtmalar!A2:A1000&amp;""""=$Y$1),1),IF(s="""",h,s)),""—"")"),"Готов")</f>
        <v>Готов</v>
      </c>
      <c r="F4" s="2"/>
      <c r="G4" s="12" t="s">
        <v>23</v>
      </c>
      <c r="H4" s="17">
        <f>SUMPRODUCT((Amallar!M2:M1000&amp;""=$Y$1)*(Amallar!F2:F1000="Kirim")*(Amallar!Q2:Q1000&lt;&gt;"Ha")*((Amallar!K2:K1000="avans")+(Amallar!K2:K1000="qoldiq"))*Amallar!G2:G1000)</f>
        <v>30975700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f>IFERROR(__xludf.DUMMYFUNCTION("IFERROR(INDEX(SORT(FILTER({Amallar!B2:B1000,Amallar!J2:J1000},Amallar!H2:H1000=""USD"",Amallar!J2:J1000&lt;&gt;""""),1,FALSE),1,2),IFERROR(GOOGLEFINANCE(""CURRENCY:USDUZS""),12000))"),11900.0)</f>
        <v>11900</v>
      </c>
      <c r="Z4" s="2" t="str">
        <f>IFERROR(__xludf.DUMMYFUNCTION("""COMPUTED_VALUE"""),"407 · Mohir aka")</f>
        <v>407 · Mohir aka</v>
      </c>
    </row>
    <row r="5" ht="19.5" customHeight="1">
      <c r="A5" s="4" t="s">
        <v>25</v>
      </c>
      <c r="B5" s="11" t="str">
        <f>IFERROR(__xludf.DUMMYFUNCTION("IFERROR(LET(v,INDEX(FILTER(Buyurtmalar!Q2:Q1000,Buyurtmalar!A2:A1000&amp;""""=$Y$1),1),c,INDEX(FILTER(Buyurtmalar!R2:R1000,Buyurtmalar!A2:A1000&amp;""""=$Y$1),1),IF(v="""",""—"",IF(c=""USD"",TEXT(v,""#,##0"")&amp;"" $"",TEXT(v,""#,##0"")&amp;"" so'm""))),""—"")"),"12,103 $")</f>
        <v>12,103 $</v>
      </c>
      <c r="C5" s="2"/>
      <c r="D5" s="12" t="s">
        <v>29</v>
      </c>
      <c r="E5" s="11" t="str">
        <f>IFERROR(__xludf.DUMMYFUNCTION("IFERROR(TEXT(INDEX(FILTER(Buyurtmalar!O2:O1000,Buyurtmalar!A2:A1000&amp;""""=$Y$1),1),""dd.mm.yyyy""),""—"")"),"12.10.2026")</f>
        <v>12.10.2026</v>
      </c>
      <c r="F5" s="2"/>
      <c r="G5" s="12" t="s">
        <v>31</v>
      </c>
      <c r="H5" s="26">
        <f>$Y$4</f>
        <v>11900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f>IF($Y$3="USD",$Y$2*$Y$4,$Y$2)</f>
        <v>144025700</v>
      </c>
      <c r="Z5" s="2" t="str">
        <f>IFERROR(__xludf.DUMMYFUNCTION("""COMPUTED_VALUE"""),"406 · НАЗИРА")</f>
        <v>406 · НАЗИРА</v>
      </c>
    </row>
    <row r="6" ht="19.5" customHeight="1">
      <c r="A6" s="4" t="s">
        <v>32</v>
      </c>
      <c r="B6" s="11" t="str">
        <f>IFERROR(__xludf.DUMMYFUNCTION("IFERROR(INDEX(FILTER(Buyurtmalar!S2:S1000,Buyurtmalar!A2:A1000&amp;""""=$Y$1),1),""—"")"),"ПОЛНЫЙ ДОМ (АКРИЛ)")</f>
        <v>ПОЛНЫЙ ДОМ (АКРИЛ)</v>
      </c>
      <c r="C6" s="2"/>
      <c r="D6" s="12" t="s">
        <v>33</v>
      </c>
      <c r="E6" s="11" t="str">
        <f>IFERROR(__xludf.DUMMYFUNCTION("IFERROR(INDEX(FILTER(Buyurtmalar!P2:P1000,Buyurtmalar!A2:A1000&amp;""""=$Y$1),1),""—"")"),"Самарканд дарвоза")</f>
        <v>Самарканд дарвоза</v>
      </c>
      <c r="F6" s="2"/>
      <c r="G6" s="29"/>
      <c r="H6" s="3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>
        <f>SUMPRODUCT((Amallar!M2:M1000&amp;""=$Y$1)*(Amallar!F2:F1000="Chiqim")*(Amallar!Q2:Q1000&lt;&gt;"Ha")*(Amallar!K2:K1000&lt;&gt;"otkazma")*(Amallar!K2:K1000&lt;&gt;"rahbarga")*(Amallar!K2:K1000&lt;&gt;"uy")*Amallar!G2:G1000)</f>
        <v>5584000</v>
      </c>
      <c r="Z6" s="2" t="str">
        <f>IFERROR(__xludf.DUMMYFUNCTION("""COMPUTED_VALUE"""),"405 · НАИМА ОПА")</f>
        <v>405 · НАИМА ОПА</v>
      </c>
    </row>
    <row r="7" ht="22.5" customHeight="1">
      <c r="A7" s="36" t="s">
        <v>45</v>
      </c>
      <c r="B7" s="22"/>
      <c r="C7" s="37" t="s">
        <v>46</v>
      </c>
      <c r="D7" s="22"/>
      <c r="E7" s="39" t="s">
        <v>47</v>
      </c>
      <c r="F7" s="22"/>
      <c r="G7" s="25" t="s">
        <v>48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f>$Y$5-$Y$6</f>
        <v>138441700</v>
      </c>
      <c r="Z7" s="2" t="str">
        <f>IFERROR(__xludf.DUMMYFUNCTION("""COMPUTED_VALUE"""),"404 · ФЕРУЗА ОПА")</f>
        <v>404 · ФЕРУЗА ОПА</v>
      </c>
    </row>
    <row r="8" ht="43.5" customHeight="1">
      <c r="A8" s="44" t="str">
        <f>TEXT($Y$5,"#,##0")&amp;" so'm"&amp;CHAR(10)&amp;TEXT(IF($Y$3="USD",$Y$2,IFERROR($Y$2/$Y$4,0)),"#,##0")&amp;" $"</f>
        <v>144,025,700 so'm
12,103 $</v>
      </c>
      <c r="B8" s="22"/>
      <c r="C8" s="46" t="str">
        <f>TEXT($Y$6,"#,##0")&amp;" so'm"&amp;CHAR(10)&amp;TEXT(IFERROR($Y$6/$Y$4,0),"#,##0")&amp;" $"</f>
        <v>5,584,000 so'm
469 $</v>
      </c>
      <c r="D8" s="22"/>
      <c r="E8" s="49" t="str">
        <f>IF($Y$7&lt;0,"−","")&amp;TEXT(ABS($Y$7),"#,##0")&amp;" so'm"&amp;CHAR(10)&amp;IF($Y$7&lt;0,"−","")&amp;TEXT(IFERROR(ABS($Y$7)/$Y$4,0),"#,##0")&amp;" $"</f>
        <v>138,441,700 so'm
11,634 $</v>
      </c>
      <c r="F8" s="22"/>
      <c r="G8" s="51">
        <f>IFERROR($Y$7/$Y$5,0)</f>
        <v>0.9612291417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tr">
        <f>IFERROR(__xludf.DUMMYFUNCTION("""COMPUTED_VALUE"""),"403 · Ezoza opa")</f>
        <v>403 · Ezoza opa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str">
        <f>IFERROR(__xludf.DUMMYFUNCTION("""COMPUTED_VALUE"""),"402 · GABIDEN AKA")</f>
        <v>402 · GABIDEN AKA</v>
      </c>
    </row>
    <row r="10" ht="22.5" customHeight="1">
      <c r="A10" s="31" t="s">
        <v>53</v>
      </c>
      <c r="B10" s="32"/>
      <c r="C10" s="32"/>
      <c r="D10" s="32"/>
      <c r="E10" s="31" t="s">
        <v>54</v>
      </c>
      <c r="F10" s="32"/>
      <c r="G10" s="32"/>
      <c r="H10" s="32"/>
      <c r="I10" s="32"/>
      <c r="J10" s="32"/>
      <c r="K10" s="32"/>
      <c r="L10" s="3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tr">
        <f>IFERROR(__xludf.DUMMYFUNCTION("""COMPUTED_VALUE"""),"401 · Aziza opa")</f>
        <v>401 · Aziza opa</v>
      </c>
    </row>
    <row r="11" ht="25.5" customHeight="1">
      <c r="A11" s="48" t="str">
        <f>IFERROR(__xludf.DUMMYFUNCTION("IFERROR(QUERY(FILTER({Amallar!L2:L1000,Amallar!G2:G1000},(Amallar!M2:M1000&amp;""""=$Y$1),Amallar!F2:F1000=""Chiqim"",Amallar!Q2:Q1000&lt;&gt;""Ha""),""select Col1, sum(Col2), count(Col2) group by Col1 order by sum(Col2) desc label Col1 'Turi', sum(Col2) 'Summa', c"&amp;"ount(Col2) 'Soni'"",0),""— xarajat yo'q"")"),"Turi")</f>
        <v>Turi</v>
      </c>
      <c r="B11" s="48" t="str">
        <f>IFERROR(__xludf.DUMMYFUNCTION("""COMPUTED_VALUE"""),"Summa")</f>
        <v>Summa</v>
      </c>
      <c r="C11" s="48" t="str">
        <f>IFERROR(__xludf.DUMMYFUNCTION("""COMPUTED_VALUE"""),"Soni")</f>
        <v>Soni</v>
      </c>
      <c r="D11" s="34"/>
      <c r="E11" s="33" t="s">
        <v>37</v>
      </c>
      <c r="F11" s="33" t="s">
        <v>41</v>
      </c>
      <c r="G11" s="33" t="s">
        <v>55</v>
      </c>
      <c r="H11" s="33" t="s">
        <v>42</v>
      </c>
      <c r="I11" s="33" t="s">
        <v>56</v>
      </c>
      <c r="J11" s="33" t="s">
        <v>38</v>
      </c>
      <c r="K11" s="33" t="s">
        <v>44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tr">
        <f>IFERROR(__xludf.DUMMYFUNCTION("""COMPUTED_VALUE"""),"400 · Гулмирапа")</f>
        <v>400 · Гулмирапа</v>
      </c>
    </row>
    <row r="12" ht="18.0" customHeight="1">
      <c r="A12" s="41" t="str">
        <f>IFERROR(__xludf.DUMMYFUNCTION("""COMPUTED_VALUE"""),"Xodimlar o'rtasida o'tkazma")</f>
        <v>Xodimlar o'rtasida o'tkazma</v>
      </c>
      <c r="B12" s="47">
        <f>IFERROR(__xludf.DUMMYFUNCTION("""COMPUTED_VALUE"""),3.09757E7)</f>
        <v>30975700</v>
      </c>
      <c r="C12" s="41">
        <f>IFERROR(__xludf.DUMMYFUNCTION("""COMPUTED_VALUE"""),1.0)</f>
        <v>1</v>
      </c>
      <c r="D12" s="2"/>
      <c r="E12" s="38">
        <f>IFERROR(__xludf.DUMMYFUNCTION("IFERROR(SORT(FILTER({Amallar!B2:B1000,Amallar!C2:C1000,Amallar!E2:E1000,Amallar!F2:F1000,Amallar!L2:L1000,Amallar!G2:G1000,Amallar!N2:N1000},(Amallar!M2:M1000&amp;""""=$Y$1),Amallar!Q2:Q1000&lt;&gt;""Ha""),1,FALSE,2,FALSE),""— bu ID bo'yicha yozuv yo'q"")"),46319.0)</f>
        <v>46319</v>
      </c>
      <c r="F12" s="42">
        <f>IFERROR(__xludf.DUMMYFUNCTION("""COMPUTED_VALUE"""),0.6444444444444445)</f>
        <v>0.6444444444</v>
      </c>
      <c r="G12" s="41" t="str">
        <f>IFERROR(__xludf.DUMMYFUNCTION("""COMPUTED_VALUE"""),"Umid Yusupov")</f>
        <v>Umid Yusupov</v>
      </c>
      <c r="H12" s="41" t="str">
        <f>IFERROR(__xludf.DUMMYFUNCTION("""COMPUTED_VALUE"""),"Chiqim")</f>
        <v>Chiqim</v>
      </c>
      <c r="I12" s="41" t="str">
        <f>IFERROR(__xludf.DUMMYFUNCTION("""COMPUTED_VALUE"""),"Xodimlar o'rtasida o'tkazma")</f>
        <v>Xodimlar o'rtasida o'tkazma</v>
      </c>
      <c r="J12" s="56">
        <f>IFERROR(__xludf.DUMMYFUNCTION("""COMPUTED_VALUE"""),3.09757E7)</f>
        <v>30975700</v>
      </c>
      <c r="K12" s="41" t="str">
        <f>IFERROR(__xludf.DUMMYFUNCTION("""COMPUTED_VALUE"""),"Rahbarga topshirdi: 395 · БЕКЗОД (#408)")</f>
        <v>Rahbarga topshirdi: 395 · БЕКЗОД (#408)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tr">
        <f>IFERROR(__xludf.DUMMYFUNCTION("""COMPUTED_VALUE"""),"399 · АЛИЖОН АКА")</f>
        <v>399 · АЛИЖОН АКА</v>
      </c>
    </row>
    <row r="13" ht="18.0" customHeight="1">
      <c r="A13" s="41" t="str">
        <f>IFERROR(__xludf.DUMMYFUNCTION("""COMPUTED_VALUE"""),"Заказ материал")</f>
        <v>Заказ материал</v>
      </c>
      <c r="B13" s="47">
        <f>IFERROR(__xludf.DUMMYFUNCTION("""COMPUTED_VALUE"""),2250000.0)</f>
        <v>2250000</v>
      </c>
      <c r="C13" s="41">
        <f>IFERROR(__xludf.DUMMYFUNCTION("""COMPUTED_VALUE"""),1.0)</f>
        <v>1</v>
      </c>
      <c r="D13" s="2"/>
      <c r="E13" s="38">
        <f>IFERROR(__xludf.DUMMYFUNCTION("""COMPUTED_VALUE"""),46319.0)</f>
        <v>46319</v>
      </c>
      <c r="F13" s="42">
        <f>IFERROR(__xludf.DUMMYFUNCTION("""COMPUTED_VALUE"""),0.6444444444444445)</f>
        <v>0.6444444444</v>
      </c>
      <c r="G13" s="41" t="str">
        <f>IFERROR(__xludf.DUMMYFUNCTION("""COMPUTED_VALUE"""),"МирМуxаммад Файзуллаев")</f>
        <v>МирМуxаммад Файзуллаев</v>
      </c>
      <c r="H13" s="41" t="str">
        <f>IFERROR(__xludf.DUMMYFUNCTION("""COMPUTED_VALUE"""),"Kirim")</f>
        <v>Kirim</v>
      </c>
      <c r="I13" s="41" t="str">
        <f>IFERROR(__xludf.DUMMYFUNCTION("""COMPUTED_VALUE"""),"Xodimlar o'rtasida o'tkazma")</f>
        <v>Xodimlar o'rtasida o'tkazma</v>
      </c>
      <c r="J13" s="56">
        <f>IFERROR(__xludf.DUMMYFUNCTION("""COMPUTED_VALUE"""),3.09757E7)</f>
        <v>30975700</v>
      </c>
      <c r="K13" s="41" t="str">
        <f>IFERROR(__xludf.DUMMYFUNCTION("""COMPUTED_VALUE"""),"#418: Rahbarga topshirdi: 395 · БЕКЗОД (#408)")</f>
        <v>#418: Rahbarga topshirdi: 395 · БЕКЗОД (#408)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tr">
        <f>IFERROR(__xludf.DUMMYFUNCTION("""COMPUTED_VALUE"""),"398 · СОХИБА")</f>
        <v>398 · СОХИБА</v>
      </c>
    </row>
    <row r="14" ht="18.0" customHeight="1">
      <c r="A14" s="41" t="str">
        <f>IFERROR(__xludf.DUMMYFUNCTION("""COMPUTED_VALUE"""),"Furnitura")</f>
        <v>Furnitura</v>
      </c>
      <c r="B14" s="47">
        <f>IFERROR(__xludf.DUMMYFUNCTION("""COMPUTED_VALUE"""),1630000.0)</f>
        <v>1630000</v>
      </c>
      <c r="C14" s="41">
        <f>IFERROR(__xludf.DUMMYFUNCTION("""COMPUTED_VALUE"""),2.0)</f>
        <v>2</v>
      </c>
      <c r="D14" s="2"/>
      <c r="E14" s="38">
        <f>IFERROR(__xludf.DUMMYFUNCTION("""COMPUTED_VALUE"""),46318.0)</f>
        <v>46318</v>
      </c>
      <c r="F14" s="42">
        <f>IFERROR(__xludf.DUMMYFUNCTION("""COMPUTED_VALUE"""),0.7430555555555556)</f>
        <v>0.7430555556</v>
      </c>
      <c r="G14" s="41" t="str">
        <f>IFERROR(__xludf.DUMMYFUNCTION("""COMPUTED_VALUE"""),"Umid Yusupov")</f>
        <v>Umid Yusupov</v>
      </c>
      <c r="H14" s="41" t="str">
        <f>IFERROR(__xludf.DUMMYFUNCTION("""COMPUTED_VALUE"""),"Kirim")</f>
        <v>Kirim</v>
      </c>
      <c r="I14" s="41" t="str">
        <f>IFERROR(__xludf.DUMMYFUNCTION("""COMPUTED_VALUE"""),"Qoldiq to'lov (bitgan zakaz)")</f>
        <v>Qoldiq to'lov (bitgan zakaz)</v>
      </c>
      <c r="J14" s="56">
        <f>IFERROR(__xludf.DUMMYFUNCTION("""COMPUTED_VALUE"""),3.09757E7)</f>
        <v>30975700</v>
      </c>
      <c r="K14" s="41" t="str">
        <f>IFERROR(__xludf.DUMMYFUNCTION("""COMPUTED_VALUE"""),"Pul oldim (mijozdan qoldiq)")</f>
        <v>Pul oldim (mijozdan qoldiq)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tr">
        <f>IFERROR(__xludf.DUMMYFUNCTION("""COMPUTED_VALUE"""),"397 · XAMID AKA")</f>
        <v>397 · XAMID AKA</v>
      </c>
    </row>
    <row r="15" ht="18.0" customHeight="1">
      <c r="A15" s="41" t="str">
        <f>IFERROR(__xludf.DUMMYFUNCTION("""COMPUTED_VALUE"""),"Ovqat")</f>
        <v>Ovqat</v>
      </c>
      <c r="B15" s="47">
        <f>IFERROR(__xludf.DUMMYFUNCTION("""COMPUTED_VALUE"""),1140000.0)</f>
        <v>1140000</v>
      </c>
      <c r="C15" s="41">
        <f>IFERROR(__xludf.DUMMYFUNCTION("""COMPUTED_VALUE"""),7.0)</f>
        <v>7</v>
      </c>
      <c r="D15" s="2"/>
      <c r="E15" s="38">
        <f>IFERROR(__xludf.DUMMYFUNCTION("""COMPUTED_VALUE"""),46314.0)</f>
        <v>46314</v>
      </c>
      <c r="F15" s="42">
        <f>IFERROR(__xludf.DUMMYFUNCTION("""COMPUTED_VALUE"""),0.9076388888888889)</f>
        <v>0.9076388889</v>
      </c>
      <c r="G15" s="41" t="str">
        <f>IFERROR(__xludf.DUMMYFUNCTION("""COMPUTED_VALUE"""),"°°•• Gafurov Islom ••°°")</f>
        <v>°°•• Gafurov Islom ••°°</v>
      </c>
      <c r="H15" s="41" t="str">
        <f>IFERROR(__xludf.DUMMYFUNCTION("""COMPUTED_VALUE"""),"Chiqim")</f>
        <v>Chiqim</v>
      </c>
      <c r="I15" s="41" t="str">
        <f>IFERROR(__xludf.DUMMYFUNCTION("""COMPUTED_VALUE"""),"Usluga (xizmatlar)")</f>
        <v>Usluga (xizmatlar)</v>
      </c>
      <c r="J15" s="56">
        <f>IFERROR(__xludf.DUMMYFUNCTION("""COMPUTED_VALUE"""),212000.0)</f>
        <v>212000</v>
      </c>
      <c r="K15" s="41" t="str">
        <f>IFERROR(__xludf.DUMMYFUNCTION("""COMPUTED_VALUE"""),"Кромка ровер")</f>
        <v>Кромка ровер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 t="str">
        <f>IFERROR(__xludf.DUMMYFUNCTION("""COMPUTED_VALUE"""),"396 · Mohir aka")</f>
        <v>396 · Mohir aka</v>
      </c>
    </row>
    <row r="16" ht="18.0" customHeight="1">
      <c r="A16" s="41" t="str">
        <f>IFERROR(__xludf.DUMMYFUNCTION("""COMPUTED_VALUE"""),"Usluga (xizmatlar)")</f>
        <v>Usluga (xizmatlar)</v>
      </c>
      <c r="B16" s="47">
        <f>IFERROR(__xludf.DUMMYFUNCTION("""COMPUTED_VALUE"""),504000.0)</f>
        <v>504000</v>
      </c>
      <c r="C16" s="41">
        <f>IFERROR(__xludf.DUMMYFUNCTION("""COMPUTED_VALUE"""),3.0)</f>
        <v>3</v>
      </c>
      <c r="D16" s="2"/>
      <c r="E16" s="38">
        <f>IFERROR(__xludf.DUMMYFUNCTION("""COMPUTED_VALUE"""),46314.0)</f>
        <v>46314</v>
      </c>
      <c r="F16" s="42">
        <f>IFERROR(__xludf.DUMMYFUNCTION("""COMPUTED_VALUE"""),0.7847222222222222)</f>
        <v>0.7847222222</v>
      </c>
      <c r="G16" s="41" t="str">
        <f>IFERROR(__xludf.DUMMYFUNCTION("""COMPUTED_VALUE"""),"°°•• Gafurov Islom ••°°")</f>
        <v>°°•• Gafurov Islom ••°°</v>
      </c>
      <c r="H16" s="41" t="str">
        <f>IFERROR(__xludf.DUMMYFUNCTION("""COMPUTED_VALUE"""),"Chiqim")</f>
        <v>Chiqim</v>
      </c>
      <c r="I16" s="41" t="str">
        <f>IFERROR(__xludf.DUMMYFUNCTION("""COMPUTED_VALUE"""),"Furnitura")</f>
        <v>Furnitura</v>
      </c>
      <c r="J16" s="56">
        <f>IFERROR(__xludf.DUMMYFUNCTION("""COMPUTED_VALUE"""),886000.0)</f>
        <v>886000</v>
      </c>
      <c r="K16" s="41" t="str">
        <f>IFERROR(__xludf.DUMMYFUNCTION("""COMPUTED_VALUE"""),"Ойна подсветка")</f>
        <v>Ойна подсветка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 t="str">
        <f>IFERROR(__xludf.DUMMYFUNCTION("""COMPUTED_VALUE"""),"395 · БЕКЗОД")</f>
        <v>395 · БЕКЗОД</v>
      </c>
    </row>
    <row r="17" ht="18.0" customHeight="1">
      <c r="A17" s="41" t="str">
        <f>IFERROR(__xludf.DUMMYFUNCTION("""COMPUTED_VALUE"""),"Mashina / dostavka")</f>
        <v>Mashina / dostavka</v>
      </c>
      <c r="B17" s="47">
        <f>IFERROR(__xludf.DUMMYFUNCTION("""COMPUTED_VALUE"""),60000.0)</f>
        <v>60000</v>
      </c>
      <c r="C17" s="41">
        <f>IFERROR(__xludf.DUMMYFUNCTION("""COMPUTED_VALUE"""),2.0)</f>
        <v>2</v>
      </c>
      <c r="D17" s="2"/>
      <c r="E17" s="38">
        <f>IFERROR(__xludf.DUMMYFUNCTION("""COMPUTED_VALUE"""),46312.0)</f>
        <v>46312</v>
      </c>
      <c r="F17" s="42">
        <f>IFERROR(__xludf.DUMMYFUNCTION("""COMPUTED_VALUE"""),0.8909722222222223)</f>
        <v>0.8909722222</v>
      </c>
      <c r="G17" s="41" t="str">
        <f>IFERROR(__xludf.DUMMYFUNCTION("""COMPUTED_VALUE"""),"Umid Yusupov")</f>
        <v>Umid Yusupov</v>
      </c>
      <c r="H17" s="41" t="str">
        <f>IFERROR(__xludf.DUMMYFUNCTION("""COMPUTED_VALUE"""),"Chiqim")</f>
        <v>Chiqim</v>
      </c>
      <c r="I17" s="41" t="str">
        <f>IFERROR(__xludf.DUMMYFUNCTION("""COMPUTED_VALUE"""),"Ovqat")</f>
        <v>Ovqat</v>
      </c>
      <c r="J17" s="56">
        <f>IFERROR(__xludf.DUMMYFUNCTION("""COMPUTED_VALUE"""),100000.0)</f>
        <v>100000</v>
      </c>
      <c r="K17" s="41" t="str">
        <f>IFERROR(__xludf.DUMMYFUNCTION("""COMPUTED_VALUE"""),"Ужин сув 2 киши")</f>
        <v>Ужин сув 2 киши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tr">
        <f>IFERROR(__xludf.DUMMYFUNCTION("""COMPUTED_VALUE"""),"394 · Alisher aka")</f>
        <v>394 · Alisher aka</v>
      </c>
    </row>
    <row r="18" ht="18.0" customHeight="1">
      <c r="A18" s="41"/>
      <c r="B18" s="47"/>
      <c r="C18" s="41"/>
      <c r="D18" s="2"/>
      <c r="E18" s="38">
        <f>IFERROR(__xludf.DUMMYFUNCTION("""COMPUTED_VALUE"""),46312.0)</f>
        <v>46312</v>
      </c>
      <c r="F18" s="42">
        <f>IFERROR(__xludf.DUMMYFUNCTION("""COMPUTED_VALUE"""),0.6958333333333333)</f>
        <v>0.6958333333</v>
      </c>
      <c r="G18" s="41" t="str">
        <f>IFERROR(__xludf.DUMMYFUNCTION("""COMPUTED_VALUE"""),"МирМуxаммад Файзуллаев")</f>
        <v>МирМуxаммад Файзуллаев</v>
      </c>
      <c r="H18" s="41" t="str">
        <f>IFERROR(__xludf.DUMMYFUNCTION("""COMPUTED_VALUE"""),"Chiqim")</f>
        <v>Chiqim</v>
      </c>
      <c r="I18" s="41" t="str">
        <f>IFERROR(__xludf.DUMMYFUNCTION("""COMPUTED_VALUE"""),"Furnitura")</f>
        <v>Furnitura</v>
      </c>
      <c r="J18" s="56">
        <f>IFERROR(__xludf.DUMMYFUNCTION("""COMPUTED_VALUE"""),744000.0)</f>
        <v>744000</v>
      </c>
      <c r="K18" s="41" t="str">
        <f>IFERROR(__xludf.DUMMYFUNCTION("""COMPUTED_VALUE"""),"begzod 395 karkaz krovat")</f>
        <v>begzod 395 karkaz krovat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tr">
        <f>IFERROR(__xludf.DUMMYFUNCTION("""COMPUTED_VALUE"""),"393 · ХУСНИДДИН")</f>
        <v>393 · ХУСНИДДИН</v>
      </c>
    </row>
    <row r="19" ht="18.0" customHeight="1">
      <c r="A19" s="41"/>
      <c r="B19" s="47"/>
      <c r="C19" s="41"/>
      <c r="D19" s="2"/>
      <c r="E19" s="38">
        <f>IFERROR(__xludf.DUMMYFUNCTION("""COMPUTED_VALUE"""),46311.0)</f>
        <v>46311</v>
      </c>
      <c r="F19" s="42">
        <f>IFERROR(__xludf.DUMMYFUNCTION("""COMPUTED_VALUE"""),0.6138888888888889)</f>
        <v>0.6138888889</v>
      </c>
      <c r="G19" s="41" t="str">
        <f>IFERROR(__xludf.DUMMYFUNCTION("""COMPUTED_VALUE"""),"Umid Yusupov")</f>
        <v>Umid Yusupov</v>
      </c>
      <c r="H19" s="41" t="str">
        <f>IFERROR(__xludf.DUMMYFUNCTION("""COMPUTED_VALUE"""),"Chiqim")</f>
        <v>Chiqim</v>
      </c>
      <c r="I19" s="41" t="str">
        <f>IFERROR(__xludf.DUMMYFUNCTION("""COMPUTED_VALUE"""),"Mashina / dostavka")</f>
        <v>Mashina / dostavka</v>
      </c>
      <c r="J19" s="56">
        <f>IFERROR(__xludf.DUMMYFUNCTION("""COMPUTED_VALUE"""),40000.0)</f>
        <v>40000</v>
      </c>
      <c r="K19" s="41" t="str">
        <f>IFERROR(__xludf.DUMMYFUNCTION("""COMPUTED_VALUE"""),"Элбек ака уйга бориш")</f>
        <v>Элбек ака уйга бориш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 t="str">
        <f>IFERROR(__xludf.DUMMYFUNCTION("""COMPUTED_VALUE"""),"392 · МАРХАБО")</f>
        <v>392 · МАРХАБО</v>
      </c>
    </row>
    <row r="20" ht="18.0" customHeight="1">
      <c r="A20" s="41"/>
      <c r="B20" s="47"/>
      <c r="C20" s="41"/>
      <c r="D20" s="2"/>
      <c r="E20" s="38">
        <f>IFERROR(__xludf.DUMMYFUNCTION("""COMPUTED_VALUE"""),46310.0)</f>
        <v>46310</v>
      </c>
      <c r="F20" s="42">
        <f>IFERROR(__xludf.DUMMYFUNCTION("""COMPUTED_VALUE"""),0.8819444444444444)</f>
        <v>0.8819444444</v>
      </c>
      <c r="G20" s="41" t="str">
        <f>IFERROR(__xludf.DUMMYFUNCTION("""COMPUTED_VALUE"""),"Umid Yusupov")</f>
        <v>Umid Yusupov</v>
      </c>
      <c r="H20" s="41" t="str">
        <f>IFERROR(__xludf.DUMMYFUNCTION("""COMPUTED_VALUE"""),"Chiqim")</f>
        <v>Chiqim</v>
      </c>
      <c r="I20" s="41" t="str">
        <f>IFERROR(__xludf.DUMMYFUNCTION("""COMPUTED_VALUE"""),"Ovqat")</f>
        <v>Ovqat</v>
      </c>
      <c r="J20" s="56">
        <f>IFERROR(__xludf.DUMMYFUNCTION("""COMPUTED_VALUE"""),240000.0)</f>
        <v>240000</v>
      </c>
      <c r="K20" s="41" t="str">
        <f>IFERROR(__xludf.DUMMYFUNCTION("""COMPUTED_VALUE"""),"Ужин 6 киши")</f>
        <v>Ужин 6 киши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tr">
        <f>IFERROR(__xludf.DUMMYFUNCTION("""COMPUTED_VALUE"""),"391 · АКБАР АКА")</f>
        <v>391 · АКБАР АКА</v>
      </c>
    </row>
    <row r="21" ht="18.0" customHeight="1">
      <c r="A21" s="41"/>
      <c r="B21" s="47"/>
      <c r="C21" s="41"/>
      <c r="D21" s="2"/>
      <c r="E21" s="38">
        <f>IFERROR(__xludf.DUMMYFUNCTION("""COMPUTED_VALUE"""),46310.0)</f>
        <v>46310</v>
      </c>
      <c r="F21" s="42">
        <f>IFERROR(__xludf.DUMMYFUNCTION("""COMPUTED_VALUE"""),0.6715277777777777)</f>
        <v>0.6715277778</v>
      </c>
      <c r="G21" s="41" t="str">
        <f>IFERROR(__xludf.DUMMYFUNCTION("""COMPUTED_VALUE"""),"Umid Yusupov")</f>
        <v>Umid Yusupov</v>
      </c>
      <c r="H21" s="41" t="str">
        <f>IFERROR(__xludf.DUMMYFUNCTION("""COMPUTED_VALUE"""),"Chiqim")</f>
        <v>Chiqim</v>
      </c>
      <c r="I21" s="41" t="str">
        <f>IFERROR(__xludf.DUMMYFUNCTION("""COMPUTED_VALUE"""),"Ovqat")</f>
        <v>Ovqat</v>
      </c>
      <c r="J21" s="56">
        <f>IFERROR(__xludf.DUMMYFUNCTION("""COMPUTED_VALUE"""),80000.0)</f>
        <v>80000</v>
      </c>
      <c r="K21" s="41" t="str">
        <f>IFERROR(__xludf.DUMMYFUNCTION("""COMPUTED_VALUE"""),"Обед Улугбек ака Жамшид ака")</f>
        <v>Обед Улугбек ака Жамшид ака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 t="str">
        <f>IFERROR(__xludf.DUMMYFUNCTION("""COMPUTED_VALUE"""),"390 · ДИЛШОД")</f>
        <v>390 · ДИЛШОД</v>
      </c>
    </row>
    <row r="22" ht="18.0" customHeight="1">
      <c r="A22" s="41"/>
      <c r="B22" s="47"/>
      <c r="C22" s="41"/>
      <c r="D22" s="2"/>
      <c r="E22" s="38">
        <f>IFERROR(__xludf.DUMMYFUNCTION("""COMPUTED_VALUE"""),46310.0)</f>
        <v>46310</v>
      </c>
      <c r="F22" s="42">
        <f>IFERROR(__xludf.DUMMYFUNCTION("""COMPUTED_VALUE"""),0.5708333333333333)</f>
        <v>0.5708333333</v>
      </c>
      <c r="G22" s="41" t="str">
        <f>IFERROR(__xludf.DUMMYFUNCTION("""COMPUTED_VALUE"""),"Umid Yusupov")</f>
        <v>Umid Yusupov</v>
      </c>
      <c r="H22" s="41" t="str">
        <f>IFERROR(__xludf.DUMMYFUNCTION("""COMPUTED_VALUE"""),"Chiqim")</f>
        <v>Chiqim</v>
      </c>
      <c r="I22" s="41" t="str">
        <f>IFERROR(__xludf.DUMMYFUNCTION("""COMPUTED_VALUE"""),"Ovqat")</f>
        <v>Ovqat</v>
      </c>
      <c r="J22" s="56">
        <f>IFERROR(__xludf.DUMMYFUNCTION("""COMPUTED_VALUE"""),200000.0)</f>
        <v>200000</v>
      </c>
      <c r="K22" s="41" t="str">
        <f>IFERROR(__xludf.DUMMYFUNCTION("""COMPUTED_VALUE"""),"Обед 5 киши")</f>
        <v>Обед 5 киши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 t="str">
        <f>IFERROR(__xludf.DUMMYFUNCTION("""COMPUTED_VALUE"""),"389 · НОДИР")</f>
        <v>389 · НОДИР</v>
      </c>
    </row>
    <row r="23" ht="18.0" customHeight="1">
      <c r="A23" s="41"/>
      <c r="B23" s="47"/>
      <c r="C23" s="41"/>
      <c r="D23" s="2"/>
      <c r="E23" s="38">
        <f>IFERROR(__xludf.DUMMYFUNCTION("""COMPUTED_VALUE"""),46310.0)</f>
        <v>46310</v>
      </c>
      <c r="F23" s="42">
        <f>IFERROR(__xludf.DUMMYFUNCTION("""COMPUTED_VALUE"""),0.5388888888888889)</f>
        <v>0.5388888889</v>
      </c>
      <c r="G23" s="41" t="str">
        <f>IFERROR(__xludf.DUMMYFUNCTION("""COMPUTED_VALUE"""),"°°•• Gafurov Islom ••°°")</f>
        <v>°°•• Gafurov Islom ••°°</v>
      </c>
      <c r="H23" s="41" t="str">
        <f>IFERROR(__xludf.DUMMYFUNCTION("""COMPUTED_VALUE"""),"Chiqim")</f>
        <v>Chiqim</v>
      </c>
      <c r="I23" s="41" t="str">
        <f>IFERROR(__xludf.DUMMYFUNCTION("""COMPUTED_VALUE"""),"Usluga (xizmatlar)")</f>
        <v>Usluga (xizmatlar)</v>
      </c>
      <c r="J23" s="56">
        <f>IFERROR(__xludf.DUMMYFUNCTION("""COMPUTED_VALUE"""),242000.0)</f>
        <v>242000</v>
      </c>
      <c r="K23" s="41" t="str">
        <f>IFERROR(__xludf.DUMMYFUNCTION("""COMPUTED_VALUE"""),"Ровер кромка ручка жойи")</f>
        <v>Ровер кромка ручка жойи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 t="str">
        <f>IFERROR(__xludf.DUMMYFUNCTION("""COMPUTED_VALUE"""),"388 · КОМИЛ")</f>
        <v>388 · КОМИЛ</v>
      </c>
    </row>
    <row r="24" ht="18.0" customHeight="1">
      <c r="A24" s="41"/>
      <c r="B24" s="47"/>
      <c r="C24" s="41"/>
      <c r="D24" s="2"/>
      <c r="E24" s="38">
        <f>IFERROR(__xludf.DUMMYFUNCTION("""COMPUTED_VALUE"""),46309.0)</f>
        <v>46309</v>
      </c>
      <c r="F24" s="42">
        <f>IFERROR(__xludf.DUMMYFUNCTION("""COMPUTED_VALUE"""),0.9729166666666667)</f>
        <v>0.9729166667</v>
      </c>
      <c r="G24" s="41" t="str">
        <f>IFERROR(__xludf.DUMMYFUNCTION("""COMPUTED_VALUE"""),"Umid Yusupov")</f>
        <v>Umid Yusupov</v>
      </c>
      <c r="H24" s="41" t="str">
        <f>IFERROR(__xludf.DUMMYFUNCTION("""COMPUTED_VALUE"""),"Chiqim")</f>
        <v>Chiqim</v>
      </c>
      <c r="I24" s="41" t="str">
        <f>IFERROR(__xludf.DUMMYFUNCTION("""COMPUTED_VALUE"""),"Mashina / dostavka")</f>
        <v>Mashina / dostavka</v>
      </c>
      <c r="J24" s="56">
        <f>IFERROR(__xludf.DUMMYFUNCTION("""COMPUTED_VALUE"""),20000.0)</f>
        <v>20000</v>
      </c>
      <c r="K24" s="41" t="str">
        <f>IFERROR(__xludf.DUMMYFUNCTION("""COMPUTED_VALUE"""),"Элбек ака уйга бориш")</f>
        <v>Элбек ака уйга бориш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tr">
        <f>IFERROR(__xludf.DUMMYFUNCTION("""COMPUTED_VALUE"""),"387 · ШАХНОЗА")</f>
        <v>387 · ШАХНОЗА</v>
      </c>
    </row>
    <row r="25" ht="18.0" customHeight="1">
      <c r="A25" s="41"/>
      <c r="B25" s="47"/>
      <c r="C25" s="41"/>
      <c r="D25" s="2"/>
      <c r="E25" s="38">
        <f>IFERROR(__xludf.DUMMYFUNCTION("""COMPUTED_VALUE"""),46309.0)</f>
        <v>46309</v>
      </c>
      <c r="F25" s="42">
        <f>IFERROR(__xludf.DUMMYFUNCTION("""COMPUTED_VALUE"""),0.8847222222222222)</f>
        <v>0.8847222222</v>
      </c>
      <c r="G25" s="41" t="str">
        <f>IFERROR(__xludf.DUMMYFUNCTION("""COMPUTED_VALUE"""),"Umid Yusupov")</f>
        <v>Umid Yusupov</v>
      </c>
      <c r="H25" s="41" t="str">
        <f>IFERROR(__xludf.DUMMYFUNCTION("""COMPUTED_VALUE"""),"Chiqim")</f>
        <v>Chiqim</v>
      </c>
      <c r="I25" s="41" t="str">
        <f>IFERROR(__xludf.DUMMYFUNCTION("""COMPUTED_VALUE"""),"Ovqat")</f>
        <v>Ovqat</v>
      </c>
      <c r="J25" s="56">
        <f>IFERROR(__xludf.DUMMYFUNCTION("""COMPUTED_VALUE"""),200000.0)</f>
        <v>200000</v>
      </c>
      <c r="K25" s="41" t="str">
        <f>IFERROR(__xludf.DUMMYFUNCTION("""COMPUTED_VALUE"""),"Ужин 5 киши")</f>
        <v>Ужин 5 киши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tr">
        <f>IFERROR(__xludf.DUMMYFUNCTION("""COMPUTED_VALUE"""),"386 · Nigora")</f>
        <v>386 · Nigora</v>
      </c>
    </row>
    <row r="26" ht="18.0" customHeight="1">
      <c r="A26" s="41"/>
      <c r="B26" s="47"/>
      <c r="C26" s="41"/>
      <c r="D26" s="2"/>
      <c r="E26" s="38">
        <f>IFERROR(__xludf.DUMMYFUNCTION("""COMPUTED_VALUE"""),46309.0)</f>
        <v>46309</v>
      </c>
      <c r="F26" s="42">
        <f>IFERROR(__xludf.DUMMYFUNCTION("""COMPUTED_VALUE"""),0.7229166666666667)</f>
        <v>0.7229166667</v>
      </c>
      <c r="G26" s="41" t="str">
        <f>IFERROR(__xludf.DUMMYFUNCTION("""COMPUTED_VALUE"""),"МирМуxаммад Файзуллаев")</f>
        <v>МирМуxаммад Файзуллаев</v>
      </c>
      <c r="H26" s="41" t="str">
        <f>IFERROR(__xludf.DUMMYFUNCTION("""COMPUTED_VALUE"""),"Chiqim")</f>
        <v>Chiqim</v>
      </c>
      <c r="I26" s="41" t="str">
        <f>IFERROR(__xludf.DUMMYFUNCTION("""COMPUTED_VALUE"""),"Usluga (xizmatlar)")</f>
        <v>Usluga (xizmatlar)</v>
      </c>
      <c r="J26" s="56">
        <f>IFERROR(__xludf.DUMMYFUNCTION("""COMPUTED_VALUE"""),50000.0)</f>
        <v>50000</v>
      </c>
      <c r="K26" s="41" t="str">
        <f>IFERROR(__xludf.DUMMYFUNCTION("""COMPUTED_VALUE"""),"ming")</f>
        <v>ming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 t="str">
        <f>IFERROR(__xludf.DUMMYFUNCTION("""COMPUTED_VALUE"""),"385 · САИДИСЛОМ")</f>
        <v>385 · САИДИСЛОМ</v>
      </c>
    </row>
    <row r="27" ht="18.0" customHeight="1">
      <c r="A27" s="41"/>
      <c r="B27" s="47"/>
      <c r="C27" s="41"/>
      <c r="D27" s="2"/>
      <c r="E27" s="38">
        <f>IFERROR(__xludf.DUMMYFUNCTION("""COMPUTED_VALUE"""),46309.0)</f>
        <v>46309</v>
      </c>
      <c r="F27" s="42">
        <f>IFERROR(__xludf.DUMMYFUNCTION("""COMPUTED_VALUE"""),0.5708333333333333)</f>
        <v>0.5708333333</v>
      </c>
      <c r="G27" s="41" t="str">
        <f>IFERROR(__xludf.DUMMYFUNCTION("""COMPUTED_VALUE"""),"Umid Yusupov")</f>
        <v>Umid Yusupov</v>
      </c>
      <c r="H27" s="41" t="str">
        <f>IFERROR(__xludf.DUMMYFUNCTION("""COMPUTED_VALUE"""),"Chiqim")</f>
        <v>Chiqim</v>
      </c>
      <c r="I27" s="41" t="str">
        <f>IFERROR(__xludf.DUMMYFUNCTION("""COMPUTED_VALUE"""),"Ovqat")</f>
        <v>Ovqat</v>
      </c>
      <c r="J27" s="56">
        <f>IFERROR(__xludf.DUMMYFUNCTION("""COMPUTED_VALUE"""),240000.0)</f>
        <v>240000</v>
      </c>
      <c r="K27" s="41" t="str">
        <f>IFERROR(__xludf.DUMMYFUNCTION("""COMPUTED_VALUE"""),"Обед 6 киши")</f>
        <v>Обед 6 киши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tr">
        <f>IFERROR(__xludf.DUMMYFUNCTION("""COMPUTED_VALUE"""),"384 · Mohir aka")</f>
        <v>384 · Mohir aka</v>
      </c>
    </row>
    <row r="28" ht="18.0" customHeight="1">
      <c r="A28" s="41"/>
      <c r="B28" s="47"/>
      <c r="C28" s="41"/>
      <c r="D28" s="2"/>
      <c r="E28" s="38">
        <f>IFERROR(__xludf.DUMMYFUNCTION("""COMPUTED_VALUE"""),46307.0)</f>
        <v>46307</v>
      </c>
      <c r="F28" s="42">
        <f>IFERROR(__xludf.DUMMYFUNCTION("""COMPUTED_VALUE"""),0.75625)</f>
        <v>0.75625</v>
      </c>
      <c r="G28" s="41" t="str">
        <f>IFERROR(__xludf.DUMMYFUNCTION("""COMPUTED_VALUE"""),"МирМуxаммад Файзуллаев")</f>
        <v>МирМуxаммад Файзуллаев</v>
      </c>
      <c r="H28" s="41" t="str">
        <f>IFERROR(__xludf.DUMMYFUNCTION("""COMPUTED_VALUE"""),"Chiqim")</f>
        <v>Chiqim</v>
      </c>
      <c r="I28" s="41" t="str">
        <f>IFERROR(__xludf.DUMMYFUNCTION("""COMPUTED_VALUE"""),"Заказ материал")</f>
        <v>Заказ материал</v>
      </c>
      <c r="J28" s="56">
        <f>IFERROR(__xludf.DUMMYFUNCTION("""COMPUTED_VALUE"""),2250000.0)</f>
        <v>2250000</v>
      </c>
      <c r="K28" s="41" t="str">
        <f>IFERROR(__xludf.DUMMYFUNCTION("""COMPUTED_VALUE"""),"zakaz material id begzod 395 list qora")</f>
        <v>zakaz material id begzod 395 list qora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tr">
        <f>IFERROR(__xludf.DUMMYFUNCTION("""COMPUTED_VALUE"""),"383 · Хуршид")</f>
        <v>383 · Хуршид</v>
      </c>
    </row>
    <row r="29" ht="18.0" customHeight="1">
      <c r="A29" s="41"/>
      <c r="B29" s="47"/>
      <c r="C29" s="41"/>
      <c r="D29" s="2"/>
      <c r="E29" s="38">
        <f>IFERROR(__xludf.DUMMYFUNCTION("""COMPUTED_VALUE"""),46307.0)</f>
        <v>46307</v>
      </c>
      <c r="F29" s="42">
        <f>IFERROR(__xludf.DUMMYFUNCTION("""COMPUTED_VALUE"""),0.6145833333333334)</f>
        <v>0.6145833333</v>
      </c>
      <c r="G29" s="41" t="str">
        <f>IFERROR(__xludf.DUMMYFUNCTION("""COMPUTED_VALUE"""),"Umid Yusupov")</f>
        <v>Umid Yusupov</v>
      </c>
      <c r="H29" s="41" t="str">
        <f>IFERROR(__xludf.DUMMYFUNCTION("""COMPUTED_VALUE"""),"Chiqim")</f>
        <v>Chiqim</v>
      </c>
      <c r="I29" s="41" t="str">
        <f>IFERROR(__xludf.DUMMYFUNCTION("""COMPUTED_VALUE"""),"Ovqat")</f>
        <v>Ovqat</v>
      </c>
      <c r="J29" s="56">
        <f>IFERROR(__xludf.DUMMYFUNCTION("""COMPUTED_VALUE"""),80000.0)</f>
        <v>80000</v>
      </c>
      <c r="K29" s="41" t="str">
        <f>IFERROR(__xludf.DUMMYFUNCTION("""COMPUTED_VALUE"""),"Обед 2 киши Элер ака Жалол")</f>
        <v>Обед 2 киши Элер ака Жалол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tr">
        <f>IFERROR(__xludf.DUMMYFUNCTION("""COMPUTED_VALUE"""),"382 · УМИД АКА")</f>
        <v>382 · УМИД АКА</v>
      </c>
    </row>
    <row r="30" ht="18.0" customHeight="1">
      <c r="A30" s="41"/>
      <c r="B30" s="47"/>
      <c r="C30" s="41"/>
      <c r="D30" s="2"/>
      <c r="E30" s="38"/>
      <c r="F30" s="42"/>
      <c r="G30" s="41"/>
      <c r="H30" s="41"/>
      <c r="I30" s="41"/>
      <c r="J30" s="56"/>
      <c r="K30" s="4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tr">
        <f>IFERROR(__xludf.DUMMYFUNCTION("""COMPUTED_VALUE"""),"381 · Shaxzoda")</f>
        <v>381 · Shaxzoda</v>
      </c>
    </row>
    <row r="31" ht="18.0" customHeight="1">
      <c r="A31" s="41"/>
      <c r="B31" s="47"/>
      <c r="C31" s="41"/>
      <c r="D31" s="2"/>
      <c r="E31" s="38"/>
      <c r="F31" s="42"/>
      <c r="G31" s="41"/>
      <c r="H31" s="41"/>
      <c r="I31" s="41"/>
      <c r="J31" s="56"/>
      <c r="K31" s="4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tr">
        <f>IFERROR(__xludf.DUMMYFUNCTION("""COMPUTED_VALUE"""),"380 · Aziz aka")</f>
        <v>380 · Aziz aka</v>
      </c>
    </row>
    <row r="32" ht="18.0" customHeight="1">
      <c r="A32" s="41"/>
      <c r="B32" s="47"/>
      <c r="C32" s="41"/>
      <c r="D32" s="2"/>
      <c r="E32" s="38"/>
      <c r="F32" s="42"/>
      <c r="G32" s="41"/>
      <c r="H32" s="41"/>
      <c r="I32" s="41"/>
      <c r="J32" s="56"/>
      <c r="K32" s="4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tr">
        <f>IFERROR(__xludf.DUMMYFUNCTION("""COMPUTED_VALUE"""),"379 · Oybek aka")</f>
        <v>379 · Oybek aka</v>
      </c>
    </row>
    <row r="33" ht="18.0" customHeight="1">
      <c r="A33" s="41"/>
      <c r="B33" s="47"/>
      <c r="C33" s="41"/>
      <c r="D33" s="2"/>
      <c r="E33" s="38"/>
      <c r="F33" s="42"/>
      <c r="G33" s="41"/>
      <c r="H33" s="41"/>
      <c r="I33" s="41"/>
      <c r="J33" s="56"/>
      <c r="K33" s="4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 t="str">
        <f>IFERROR(__xludf.DUMMYFUNCTION("""COMPUTED_VALUE"""),"378 · Akbar")</f>
        <v>378 · Akbar</v>
      </c>
    </row>
    <row r="34" ht="18.0" customHeight="1">
      <c r="A34" s="41"/>
      <c r="B34" s="47"/>
      <c r="C34" s="41"/>
      <c r="D34" s="2"/>
      <c r="E34" s="38"/>
      <c r="F34" s="42"/>
      <c r="G34" s="41"/>
      <c r="H34" s="41"/>
      <c r="I34" s="41"/>
      <c r="J34" s="56"/>
      <c r="K34" s="4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tr">
        <f>IFERROR(__xludf.DUMMYFUNCTION("""COMPUTED_VALUE"""),"377 · Mohir aka")</f>
        <v>377 · Mohir aka</v>
      </c>
    </row>
    <row r="35" ht="18.0" customHeight="1">
      <c r="A35" s="41"/>
      <c r="B35" s="47"/>
      <c r="C35" s="41"/>
      <c r="D35" s="2"/>
      <c r="E35" s="38"/>
      <c r="F35" s="42"/>
      <c r="G35" s="41"/>
      <c r="H35" s="41"/>
      <c r="I35" s="41"/>
      <c r="J35" s="56"/>
      <c r="K35" s="4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 t="str">
        <f>IFERROR(__xludf.DUMMYFUNCTION("""COMPUTED_VALUE"""),"376 · НОСИР АКА")</f>
        <v>376 · НОСИР АКА</v>
      </c>
    </row>
    <row r="36" ht="18.0" customHeight="1">
      <c r="A36" s="41"/>
      <c r="B36" s="47"/>
      <c r="C36" s="41"/>
      <c r="D36" s="2"/>
      <c r="E36" s="38"/>
      <c r="F36" s="42"/>
      <c r="G36" s="41"/>
      <c r="H36" s="41"/>
      <c r="I36" s="41"/>
      <c r="J36" s="56"/>
      <c r="K36" s="4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 t="str">
        <f>IFERROR(__xludf.DUMMYFUNCTION("""COMPUTED_VALUE"""),"375 · Nuriddin aka")</f>
        <v>375 · Nuriddin aka</v>
      </c>
    </row>
    <row r="37" ht="18.0" customHeight="1">
      <c r="A37" s="41"/>
      <c r="B37" s="47"/>
      <c r="C37" s="41"/>
      <c r="D37" s="2"/>
      <c r="E37" s="38"/>
      <c r="F37" s="42"/>
      <c r="G37" s="41"/>
      <c r="H37" s="41"/>
      <c r="I37" s="41"/>
      <c r="J37" s="56"/>
      <c r="K37" s="4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str">
        <f>IFERROR(__xludf.DUMMYFUNCTION("""COMPUTED_VALUE"""),"374 · НАЗИРА ОПА")</f>
        <v>374 · НАЗИРА ОПА</v>
      </c>
    </row>
    <row r="38" ht="18.0" customHeight="1">
      <c r="A38" s="41"/>
      <c r="B38" s="47"/>
      <c r="C38" s="41"/>
      <c r="D38" s="2"/>
      <c r="E38" s="38"/>
      <c r="F38" s="42"/>
      <c r="G38" s="41"/>
      <c r="H38" s="41"/>
      <c r="I38" s="41"/>
      <c r="J38" s="56"/>
      <c r="K38" s="4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str">
        <f>IFERROR(__xludf.DUMMYFUNCTION("""COMPUTED_VALUE"""),"371 · Usmon aka")</f>
        <v>371 · Usmon aka</v>
      </c>
    </row>
    <row r="39" ht="18.0" customHeight="1">
      <c r="A39" s="41"/>
      <c r="B39" s="47"/>
      <c r="C39" s="41"/>
      <c r="D39" s="2"/>
      <c r="E39" s="38"/>
      <c r="F39" s="42"/>
      <c r="G39" s="41"/>
      <c r="H39" s="41"/>
      <c r="I39" s="41"/>
      <c r="J39" s="56"/>
      <c r="K39" s="4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 t="str">
        <f>IFERROR(__xludf.DUMMYFUNCTION("""COMPUTED_VALUE"""),"370 · УЛУГБЕК")</f>
        <v>370 · УЛУГБЕК</v>
      </c>
    </row>
    <row r="40" ht="18.0" customHeight="1">
      <c r="A40" s="41"/>
      <c r="B40" s="47"/>
      <c r="C40" s="41"/>
      <c r="D40" s="2"/>
      <c r="E40" s="38"/>
      <c r="F40" s="42"/>
      <c r="G40" s="41"/>
      <c r="H40" s="41"/>
      <c r="I40" s="41"/>
      <c r="J40" s="56"/>
      <c r="K40" s="4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 t="str">
        <f>IFERROR(__xludf.DUMMYFUNCTION("""COMPUTED_VALUE"""),"369 · Muhtorhon")</f>
        <v>369 · Muhtorhon</v>
      </c>
    </row>
    <row r="41" ht="18.0" customHeight="1">
      <c r="A41" s="41"/>
      <c r="B41" s="47"/>
      <c r="C41" s="41"/>
      <c r="D41" s="2"/>
      <c r="E41" s="38"/>
      <c r="F41" s="42"/>
      <c r="G41" s="41"/>
      <c r="H41" s="41"/>
      <c r="I41" s="41"/>
      <c r="J41" s="56"/>
      <c r="K41" s="4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 t="str">
        <f>IFERROR(__xludf.DUMMYFUNCTION("""COMPUTED_VALUE"""),"368 · Dilbar")</f>
        <v>368 · Dilbar</v>
      </c>
    </row>
    <row r="42" ht="18.0" customHeight="1">
      <c r="A42" s="41"/>
      <c r="B42" s="47"/>
      <c r="C42" s="41"/>
      <c r="D42" s="2"/>
      <c r="E42" s="38"/>
      <c r="F42" s="42"/>
      <c r="G42" s="41"/>
      <c r="H42" s="41"/>
      <c r="I42" s="41"/>
      <c r="J42" s="56"/>
      <c r="K42" s="4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 t="str">
        <f>IFERROR(__xludf.DUMMYFUNCTION("""COMPUTED_VALUE"""),"367 · МАРХАБО")</f>
        <v>367 · МАРХАБО</v>
      </c>
    </row>
    <row r="43" ht="18.0" customHeight="1">
      <c r="A43" s="41"/>
      <c r="B43" s="47"/>
      <c r="C43" s="41"/>
      <c r="D43" s="2"/>
      <c r="E43" s="38"/>
      <c r="F43" s="42"/>
      <c r="G43" s="41"/>
      <c r="H43" s="41"/>
      <c r="I43" s="41"/>
      <c r="J43" s="56"/>
      <c r="K43" s="4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 t="str">
        <f>IFERROR(__xludf.DUMMYFUNCTION("""COMPUTED_VALUE"""),"366 · Munisa")</f>
        <v>366 · Munisa</v>
      </c>
    </row>
    <row r="44" ht="18.0" customHeight="1">
      <c r="A44" s="41"/>
      <c r="B44" s="47"/>
      <c r="C44" s="41"/>
      <c r="D44" s="2"/>
      <c r="E44" s="38"/>
      <c r="F44" s="42"/>
      <c r="G44" s="41"/>
      <c r="H44" s="41"/>
      <c r="I44" s="41"/>
      <c r="J44" s="56"/>
      <c r="K44" s="4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41"/>
      <c r="B45" s="47"/>
      <c r="C45" s="41"/>
      <c r="D45" s="2"/>
      <c r="E45" s="38"/>
      <c r="F45" s="42"/>
      <c r="G45" s="41"/>
      <c r="H45" s="41"/>
      <c r="I45" s="41"/>
      <c r="J45" s="56"/>
      <c r="K45" s="4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41"/>
      <c r="B46" s="47"/>
      <c r="C46" s="41"/>
      <c r="D46" s="2"/>
      <c r="E46" s="38"/>
      <c r="F46" s="42"/>
      <c r="G46" s="41"/>
      <c r="H46" s="41"/>
      <c r="I46" s="41"/>
      <c r="J46" s="56"/>
      <c r="K46" s="4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41"/>
      <c r="B47" s="47"/>
      <c r="C47" s="41"/>
      <c r="D47" s="2"/>
      <c r="E47" s="38"/>
      <c r="F47" s="42"/>
      <c r="G47" s="41"/>
      <c r="H47" s="41"/>
      <c r="I47" s="41"/>
      <c r="J47" s="56"/>
      <c r="K47" s="4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41"/>
      <c r="B48" s="47"/>
      <c r="C48" s="41"/>
      <c r="D48" s="2"/>
      <c r="E48" s="38"/>
      <c r="F48" s="42"/>
      <c r="G48" s="41"/>
      <c r="H48" s="41"/>
      <c r="I48" s="41"/>
      <c r="J48" s="56"/>
      <c r="K48" s="4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41"/>
      <c r="B49" s="47"/>
      <c r="C49" s="41"/>
      <c r="D49" s="2"/>
      <c r="E49" s="38"/>
      <c r="F49" s="42"/>
      <c r="G49" s="41"/>
      <c r="H49" s="41"/>
      <c r="I49" s="41"/>
      <c r="J49" s="56"/>
      <c r="K49" s="4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41"/>
      <c r="B50" s="47"/>
      <c r="C50" s="41"/>
      <c r="D50" s="2"/>
      <c r="E50" s="38"/>
      <c r="F50" s="42"/>
      <c r="G50" s="41"/>
      <c r="H50" s="41"/>
      <c r="I50" s="41"/>
      <c r="J50" s="56"/>
      <c r="K50" s="4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41"/>
      <c r="B51" s="47"/>
      <c r="C51" s="41"/>
      <c r="D51" s="2"/>
      <c r="E51" s="38"/>
      <c r="F51" s="42"/>
      <c r="G51" s="41"/>
      <c r="H51" s="41"/>
      <c r="I51" s="41"/>
      <c r="J51" s="56"/>
      <c r="K51" s="4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41"/>
      <c r="B52" s="47"/>
      <c r="C52" s="41"/>
      <c r="D52" s="2"/>
      <c r="E52" s="38"/>
      <c r="F52" s="42"/>
      <c r="G52" s="41"/>
      <c r="H52" s="41"/>
      <c r="I52" s="41"/>
      <c r="J52" s="56"/>
      <c r="K52" s="4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41"/>
      <c r="B53" s="47"/>
      <c r="C53" s="41"/>
      <c r="D53" s="2"/>
      <c r="E53" s="38"/>
      <c r="F53" s="42"/>
      <c r="G53" s="41"/>
      <c r="H53" s="41"/>
      <c r="I53" s="41"/>
      <c r="J53" s="56"/>
      <c r="K53" s="4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41"/>
      <c r="B54" s="47"/>
      <c r="C54" s="41"/>
      <c r="D54" s="2"/>
      <c r="E54" s="38"/>
      <c r="F54" s="42"/>
      <c r="G54" s="41"/>
      <c r="H54" s="41"/>
      <c r="I54" s="41"/>
      <c r="J54" s="56"/>
      <c r="K54" s="4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41"/>
      <c r="B55" s="47"/>
      <c r="C55" s="41"/>
      <c r="D55" s="2"/>
      <c r="E55" s="38"/>
      <c r="F55" s="42"/>
      <c r="G55" s="41"/>
      <c r="H55" s="41"/>
      <c r="I55" s="41"/>
      <c r="J55" s="56"/>
      <c r="K55" s="4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41"/>
      <c r="B56" s="47"/>
      <c r="C56" s="41"/>
      <c r="D56" s="2"/>
      <c r="E56" s="38"/>
      <c r="F56" s="42"/>
      <c r="G56" s="41"/>
      <c r="H56" s="41"/>
      <c r="I56" s="41"/>
      <c r="J56" s="56"/>
      <c r="K56" s="4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41"/>
      <c r="B57" s="47"/>
      <c r="C57" s="41"/>
      <c r="D57" s="2"/>
      <c r="E57" s="38"/>
      <c r="F57" s="42"/>
      <c r="G57" s="41"/>
      <c r="H57" s="41"/>
      <c r="I57" s="41"/>
      <c r="J57" s="56"/>
      <c r="K57" s="4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41"/>
      <c r="B58" s="47"/>
      <c r="C58" s="41"/>
      <c r="D58" s="2"/>
      <c r="E58" s="38"/>
      <c r="F58" s="42"/>
      <c r="G58" s="41"/>
      <c r="H58" s="41"/>
      <c r="I58" s="41"/>
      <c r="J58" s="56"/>
      <c r="K58" s="4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41"/>
      <c r="B59" s="47"/>
      <c r="C59" s="41"/>
      <c r="D59" s="2"/>
      <c r="E59" s="38"/>
      <c r="F59" s="42"/>
      <c r="G59" s="41"/>
      <c r="H59" s="41"/>
      <c r="I59" s="41"/>
      <c r="J59" s="56"/>
      <c r="K59" s="4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41"/>
      <c r="B60" s="47"/>
      <c r="C60" s="41"/>
      <c r="D60" s="2"/>
      <c r="E60" s="38"/>
      <c r="F60" s="42"/>
      <c r="G60" s="41"/>
      <c r="H60" s="41"/>
      <c r="I60" s="41"/>
      <c r="J60" s="56"/>
      <c r="K60" s="4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41"/>
      <c r="B61" s="47"/>
      <c r="C61" s="41"/>
      <c r="D61" s="2"/>
      <c r="E61" s="38"/>
      <c r="F61" s="42"/>
      <c r="G61" s="41"/>
      <c r="H61" s="41"/>
      <c r="I61" s="41"/>
      <c r="J61" s="56"/>
      <c r="K61" s="4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41"/>
      <c r="B62" s="47"/>
      <c r="C62" s="41"/>
      <c r="D62" s="2"/>
      <c r="E62" s="38"/>
      <c r="F62" s="42"/>
      <c r="G62" s="41"/>
      <c r="H62" s="41"/>
      <c r="I62" s="41"/>
      <c r="J62" s="56"/>
      <c r="K62" s="4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41"/>
      <c r="B63" s="47"/>
      <c r="C63" s="41"/>
      <c r="D63" s="2"/>
      <c r="E63" s="38"/>
      <c r="F63" s="42"/>
      <c r="G63" s="41"/>
      <c r="H63" s="41"/>
      <c r="I63" s="41"/>
      <c r="J63" s="56"/>
      <c r="K63" s="4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41"/>
      <c r="B64" s="47"/>
      <c r="C64" s="41"/>
      <c r="D64" s="2"/>
      <c r="E64" s="38"/>
      <c r="F64" s="42"/>
      <c r="G64" s="41"/>
      <c r="H64" s="41"/>
      <c r="I64" s="41"/>
      <c r="J64" s="56"/>
      <c r="K64" s="4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41"/>
      <c r="B65" s="47"/>
      <c r="C65" s="41"/>
      <c r="D65" s="2"/>
      <c r="E65" s="38"/>
      <c r="F65" s="42"/>
      <c r="G65" s="41"/>
      <c r="H65" s="41"/>
      <c r="I65" s="41"/>
      <c r="J65" s="56"/>
      <c r="K65" s="4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41"/>
      <c r="B66" s="47"/>
      <c r="C66" s="41"/>
      <c r="D66" s="2"/>
      <c r="E66" s="38"/>
      <c r="F66" s="42"/>
      <c r="G66" s="41"/>
      <c r="H66" s="41"/>
      <c r="I66" s="41"/>
      <c r="J66" s="56"/>
      <c r="K66" s="4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41"/>
      <c r="B67" s="47"/>
      <c r="C67" s="41"/>
      <c r="D67" s="2"/>
      <c r="E67" s="38"/>
      <c r="F67" s="42"/>
      <c r="G67" s="41"/>
      <c r="H67" s="41"/>
      <c r="I67" s="41"/>
      <c r="J67" s="56"/>
      <c r="K67" s="4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41"/>
      <c r="B68" s="47"/>
      <c r="C68" s="41"/>
      <c r="D68" s="2"/>
      <c r="E68" s="38"/>
      <c r="F68" s="42"/>
      <c r="G68" s="41"/>
      <c r="H68" s="41"/>
      <c r="I68" s="41"/>
      <c r="J68" s="56"/>
      <c r="K68" s="4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41"/>
      <c r="B69" s="47"/>
      <c r="C69" s="41"/>
      <c r="D69" s="2"/>
      <c r="E69" s="38"/>
      <c r="F69" s="42"/>
      <c r="G69" s="41"/>
      <c r="H69" s="41"/>
      <c r="I69" s="41"/>
      <c r="J69" s="56"/>
      <c r="K69" s="4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41"/>
      <c r="B70" s="47"/>
      <c r="C70" s="41"/>
      <c r="D70" s="2"/>
      <c r="E70" s="38"/>
      <c r="F70" s="42"/>
      <c r="G70" s="41"/>
      <c r="H70" s="41"/>
      <c r="I70" s="41"/>
      <c r="J70" s="56"/>
      <c r="K70" s="4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41"/>
      <c r="B71" s="47"/>
      <c r="C71" s="41"/>
      <c r="D71" s="2"/>
      <c r="E71" s="38"/>
      <c r="F71" s="42"/>
      <c r="G71" s="41"/>
      <c r="H71" s="41"/>
      <c r="I71" s="41"/>
      <c r="J71" s="56"/>
      <c r="K71" s="4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41"/>
      <c r="B72" s="47"/>
      <c r="C72" s="41"/>
      <c r="D72" s="2"/>
      <c r="E72" s="38"/>
      <c r="F72" s="42"/>
      <c r="G72" s="41"/>
      <c r="H72" s="41"/>
      <c r="I72" s="41"/>
      <c r="J72" s="56"/>
      <c r="K72" s="4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41"/>
      <c r="B73" s="47"/>
      <c r="C73" s="41"/>
      <c r="D73" s="2"/>
      <c r="E73" s="38"/>
      <c r="F73" s="42"/>
      <c r="G73" s="41"/>
      <c r="H73" s="41"/>
      <c r="I73" s="41"/>
      <c r="J73" s="56"/>
      <c r="K73" s="4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41"/>
      <c r="B74" s="47"/>
      <c r="C74" s="41"/>
      <c r="D74" s="2"/>
      <c r="E74" s="38"/>
      <c r="F74" s="42"/>
      <c r="G74" s="41"/>
      <c r="H74" s="41"/>
      <c r="I74" s="41"/>
      <c r="J74" s="56"/>
      <c r="K74" s="4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41"/>
      <c r="B75" s="47"/>
      <c r="C75" s="41"/>
      <c r="D75" s="2"/>
      <c r="E75" s="38"/>
      <c r="F75" s="42"/>
      <c r="G75" s="41"/>
      <c r="H75" s="41"/>
      <c r="I75" s="41"/>
      <c r="J75" s="56"/>
      <c r="K75" s="4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1"/>
      <c r="B76" s="47"/>
      <c r="C76" s="41"/>
      <c r="D76" s="2"/>
      <c r="E76" s="38"/>
      <c r="F76" s="42"/>
      <c r="G76" s="41"/>
      <c r="H76" s="41"/>
      <c r="I76" s="41"/>
      <c r="J76" s="56"/>
      <c r="K76" s="4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41"/>
      <c r="B77" s="47"/>
      <c r="C77" s="41"/>
      <c r="D77" s="2"/>
      <c r="E77" s="38"/>
      <c r="F77" s="42"/>
      <c r="G77" s="41"/>
      <c r="H77" s="41"/>
      <c r="I77" s="41"/>
      <c r="J77" s="56"/>
      <c r="K77" s="4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41"/>
      <c r="B78" s="47"/>
      <c r="C78" s="41"/>
      <c r="D78" s="2"/>
      <c r="E78" s="38"/>
      <c r="F78" s="42"/>
      <c r="G78" s="41"/>
      <c r="H78" s="41"/>
      <c r="I78" s="41"/>
      <c r="J78" s="56"/>
      <c r="K78" s="4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41"/>
      <c r="B79" s="47"/>
      <c r="C79" s="41"/>
      <c r="D79" s="2"/>
      <c r="E79" s="38"/>
      <c r="F79" s="42"/>
      <c r="G79" s="41"/>
      <c r="H79" s="41"/>
      <c r="I79" s="41"/>
      <c r="J79" s="56"/>
      <c r="K79" s="4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41"/>
      <c r="B80" s="47"/>
      <c r="C80" s="41"/>
      <c r="D80" s="2"/>
      <c r="E80" s="38"/>
      <c r="F80" s="42"/>
      <c r="G80" s="41"/>
      <c r="H80" s="41"/>
      <c r="I80" s="41"/>
      <c r="J80" s="56"/>
      <c r="K80" s="4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41"/>
      <c r="B81" s="47"/>
      <c r="C81" s="41"/>
      <c r="D81" s="2"/>
      <c r="E81" s="38"/>
      <c r="F81" s="42"/>
      <c r="G81" s="41"/>
      <c r="H81" s="41"/>
      <c r="I81" s="41"/>
      <c r="J81" s="56"/>
      <c r="K81" s="4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41"/>
      <c r="B82" s="47"/>
      <c r="C82" s="41"/>
      <c r="D82" s="2"/>
      <c r="E82" s="38"/>
      <c r="F82" s="42"/>
      <c r="G82" s="41"/>
      <c r="H82" s="41"/>
      <c r="I82" s="41"/>
      <c r="J82" s="56"/>
      <c r="K82" s="4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41"/>
      <c r="B83" s="47"/>
      <c r="C83" s="41"/>
      <c r="D83" s="2"/>
      <c r="E83" s="38"/>
      <c r="F83" s="42"/>
      <c r="G83" s="41"/>
      <c r="H83" s="41"/>
      <c r="I83" s="41"/>
      <c r="J83" s="56"/>
      <c r="K83" s="4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41"/>
      <c r="B84" s="47"/>
      <c r="C84" s="41"/>
      <c r="D84" s="2"/>
      <c r="E84" s="38"/>
      <c r="F84" s="42"/>
      <c r="G84" s="41"/>
      <c r="H84" s="41"/>
      <c r="I84" s="41"/>
      <c r="J84" s="56"/>
      <c r="K84" s="4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41"/>
      <c r="B85" s="47"/>
      <c r="C85" s="41"/>
      <c r="D85" s="2"/>
      <c r="E85" s="38"/>
      <c r="F85" s="42"/>
      <c r="G85" s="41"/>
      <c r="H85" s="41"/>
      <c r="I85" s="41"/>
      <c r="J85" s="56"/>
      <c r="K85" s="4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41"/>
      <c r="B86" s="47"/>
      <c r="C86" s="41"/>
      <c r="D86" s="2"/>
      <c r="E86" s="38"/>
      <c r="F86" s="42"/>
      <c r="G86" s="41"/>
      <c r="H86" s="41"/>
      <c r="I86" s="41"/>
      <c r="J86" s="56"/>
      <c r="K86" s="4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41"/>
      <c r="B87" s="47"/>
      <c r="C87" s="41"/>
      <c r="D87" s="2"/>
      <c r="E87" s="38"/>
      <c r="F87" s="42"/>
      <c r="G87" s="41"/>
      <c r="H87" s="41"/>
      <c r="I87" s="41"/>
      <c r="J87" s="56"/>
      <c r="K87" s="4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41"/>
      <c r="B88" s="47"/>
      <c r="C88" s="41"/>
      <c r="D88" s="2"/>
      <c r="E88" s="38"/>
      <c r="F88" s="42"/>
      <c r="G88" s="41"/>
      <c r="H88" s="41"/>
      <c r="I88" s="41"/>
      <c r="J88" s="56"/>
      <c r="K88" s="4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41"/>
      <c r="B89" s="47"/>
      <c r="C89" s="41"/>
      <c r="D89" s="2"/>
      <c r="E89" s="38"/>
      <c r="F89" s="42"/>
      <c r="G89" s="41"/>
      <c r="H89" s="41"/>
      <c r="I89" s="41"/>
      <c r="J89" s="56"/>
      <c r="K89" s="4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41"/>
      <c r="B90" s="47"/>
      <c r="C90" s="41"/>
      <c r="D90" s="2"/>
      <c r="E90" s="38"/>
      <c r="F90" s="42"/>
      <c r="G90" s="41"/>
      <c r="H90" s="41"/>
      <c r="I90" s="41"/>
      <c r="J90" s="56"/>
      <c r="K90" s="4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41"/>
      <c r="B91" s="47"/>
      <c r="C91" s="41"/>
      <c r="D91" s="2"/>
      <c r="E91" s="38"/>
      <c r="F91" s="42"/>
      <c r="G91" s="41"/>
      <c r="H91" s="41"/>
      <c r="I91" s="41"/>
      <c r="J91" s="56"/>
      <c r="K91" s="4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41"/>
      <c r="B92" s="47"/>
      <c r="C92" s="41"/>
      <c r="D92" s="2"/>
      <c r="E92" s="38"/>
      <c r="F92" s="42"/>
      <c r="G92" s="41"/>
      <c r="H92" s="41"/>
      <c r="I92" s="41"/>
      <c r="J92" s="56"/>
      <c r="K92" s="4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41"/>
      <c r="B93" s="47"/>
      <c r="C93" s="41"/>
      <c r="D93" s="2"/>
      <c r="E93" s="38"/>
      <c r="F93" s="42"/>
      <c r="G93" s="41"/>
      <c r="H93" s="41"/>
      <c r="I93" s="41"/>
      <c r="J93" s="56"/>
      <c r="K93" s="4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41"/>
      <c r="B94" s="47"/>
      <c r="C94" s="41"/>
      <c r="D94" s="2"/>
      <c r="E94" s="38"/>
      <c r="F94" s="42"/>
      <c r="G94" s="41"/>
      <c r="H94" s="41"/>
      <c r="I94" s="41"/>
      <c r="J94" s="56"/>
      <c r="K94" s="4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41"/>
      <c r="B95" s="47"/>
      <c r="C95" s="41"/>
      <c r="D95" s="2"/>
      <c r="E95" s="38"/>
      <c r="F95" s="42"/>
      <c r="G95" s="41"/>
      <c r="H95" s="41"/>
      <c r="I95" s="41"/>
      <c r="J95" s="56"/>
      <c r="K95" s="4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41"/>
      <c r="B96" s="47"/>
      <c r="C96" s="41"/>
      <c r="D96" s="2"/>
      <c r="E96" s="38"/>
      <c r="F96" s="42"/>
      <c r="G96" s="41"/>
      <c r="H96" s="41"/>
      <c r="I96" s="41"/>
      <c r="J96" s="56"/>
      <c r="K96" s="4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41"/>
      <c r="B97" s="47"/>
      <c r="C97" s="41"/>
      <c r="D97" s="2"/>
      <c r="E97" s="38"/>
      <c r="F97" s="42"/>
      <c r="G97" s="41"/>
      <c r="H97" s="41"/>
      <c r="I97" s="41"/>
      <c r="J97" s="56"/>
      <c r="K97" s="4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41"/>
      <c r="B98" s="47"/>
      <c r="C98" s="41"/>
      <c r="D98" s="2"/>
      <c r="E98" s="38"/>
      <c r="F98" s="42"/>
      <c r="G98" s="41"/>
      <c r="H98" s="41"/>
      <c r="I98" s="41"/>
      <c r="J98" s="56"/>
      <c r="K98" s="4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41"/>
      <c r="B99" s="47"/>
      <c r="C99" s="41"/>
      <c r="D99" s="2"/>
      <c r="E99" s="38"/>
      <c r="F99" s="42"/>
      <c r="G99" s="41"/>
      <c r="H99" s="41"/>
      <c r="I99" s="41"/>
      <c r="J99" s="56"/>
      <c r="K99" s="4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41"/>
      <c r="B100" s="47"/>
      <c r="C100" s="41"/>
      <c r="D100" s="2"/>
      <c r="E100" s="38"/>
      <c r="F100" s="42"/>
      <c r="G100" s="41"/>
      <c r="H100" s="41"/>
      <c r="I100" s="41"/>
      <c r="J100" s="56"/>
      <c r="K100" s="4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41"/>
      <c r="B101" s="47"/>
      <c r="C101" s="41"/>
      <c r="D101" s="2"/>
      <c r="E101" s="38"/>
      <c r="F101" s="42"/>
      <c r="G101" s="41"/>
      <c r="H101" s="41"/>
      <c r="I101" s="41"/>
      <c r="J101" s="56"/>
      <c r="K101" s="4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41"/>
      <c r="B102" s="47"/>
      <c r="C102" s="41"/>
      <c r="D102" s="2"/>
      <c r="E102" s="38"/>
      <c r="F102" s="42"/>
      <c r="G102" s="41"/>
      <c r="H102" s="41"/>
      <c r="I102" s="41"/>
      <c r="J102" s="56"/>
      <c r="K102" s="4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41"/>
      <c r="B103" s="47"/>
      <c r="C103" s="41"/>
      <c r="D103" s="2"/>
      <c r="E103" s="38"/>
      <c r="F103" s="42"/>
      <c r="G103" s="41"/>
      <c r="H103" s="41"/>
      <c r="I103" s="41"/>
      <c r="J103" s="56"/>
      <c r="K103" s="4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41"/>
      <c r="B104" s="47"/>
      <c r="C104" s="41"/>
      <c r="D104" s="2"/>
      <c r="E104" s="38"/>
      <c r="F104" s="42"/>
      <c r="G104" s="41"/>
      <c r="H104" s="41"/>
      <c r="I104" s="41"/>
      <c r="J104" s="56"/>
      <c r="K104" s="4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41"/>
      <c r="B105" s="47"/>
      <c r="C105" s="41"/>
      <c r="D105" s="2"/>
      <c r="E105" s="38"/>
      <c r="F105" s="42"/>
      <c r="G105" s="41"/>
      <c r="H105" s="41"/>
      <c r="I105" s="41"/>
      <c r="J105" s="56"/>
      <c r="K105" s="4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41"/>
      <c r="B106" s="47"/>
      <c r="C106" s="41"/>
      <c r="D106" s="2"/>
      <c r="E106" s="38"/>
      <c r="F106" s="42"/>
      <c r="G106" s="41"/>
      <c r="H106" s="41"/>
      <c r="I106" s="41"/>
      <c r="J106" s="56"/>
      <c r="K106" s="4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41"/>
      <c r="B107" s="47"/>
      <c r="C107" s="41"/>
      <c r="D107" s="2"/>
      <c r="E107" s="38"/>
      <c r="F107" s="42"/>
      <c r="G107" s="41"/>
      <c r="H107" s="41"/>
      <c r="I107" s="41"/>
      <c r="J107" s="56"/>
      <c r="K107" s="4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41"/>
      <c r="B108" s="47"/>
      <c r="C108" s="41"/>
      <c r="D108" s="2"/>
      <c r="E108" s="38"/>
      <c r="F108" s="42"/>
      <c r="G108" s="41"/>
      <c r="H108" s="41"/>
      <c r="I108" s="41"/>
      <c r="J108" s="56"/>
      <c r="K108" s="4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41"/>
      <c r="B109" s="47"/>
      <c r="C109" s="41"/>
      <c r="D109" s="2"/>
      <c r="E109" s="38"/>
      <c r="F109" s="42"/>
      <c r="G109" s="41"/>
      <c r="H109" s="41"/>
      <c r="I109" s="41"/>
      <c r="J109" s="56"/>
      <c r="K109" s="4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41"/>
      <c r="B110" s="47"/>
      <c r="C110" s="41"/>
      <c r="D110" s="2"/>
      <c r="E110" s="38"/>
      <c r="F110" s="42"/>
      <c r="G110" s="41"/>
      <c r="H110" s="41"/>
      <c r="I110" s="41"/>
      <c r="J110" s="56"/>
      <c r="K110" s="4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41"/>
      <c r="B111" s="47"/>
      <c r="C111" s="41"/>
      <c r="D111" s="2"/>
      <c r="E111" s="38"/>
      <c r="F111" s="42"/>
      <c r="G111" s="41"/>
      <c r="H111" s="41"/>
      <c r="I111" s="41"/>
      <c r="J111" s="56"/>
      <c r="K111" s="4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41"/>
      <c r="B112" s="47"/>
      <c r="C112" s="41"/>
      <c r="D112" s="2"/>
      <c r="E112" s="38"/>
      <c r="F112" s="42"/>
      <c r="G112" s="41"/>
      <c r="H112" s="41"/>
      <c r="I112" s="41"/>
      <c r="J112" s="56"/>
      <c r="K112" s="4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41"/>
      <c r="B113" s="47"/>
      <c r="C113" s="41"/>
      <c r="D113" s="2"/>
      <c r="E113" s="38"/>
      <c r="F113" s="42"/>
      <c r="G113" s="41"/>
      <c r="H113" s="41"/>
      <c r="I113" s="41"/>
      <c r="J113" s="56"/>
      <c r="K113" s="4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41"/>
      <c r="B114" s="47"/>
      <c r="C114" s="41"/>
      <c r="D114" s="2"/>
      <c r="E114" s="38"/>
      <c r="F114" s="42"/>
      <c r="G114" s="41"/>
      <c r="H114" s="41"/>
      <c r="I114" s="41"/>
      <c r="J114" s="56"/>
      <c r="K114" s="4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41"/>
      <c r="B115" s="47"/>
      <c r="C115" s="41"/>
      <c r="D115" s="2"/>
      <c r="E115" s="38"/>
      <c r="F115" s="42"/>
      <c r="G115" s="41"/>
      <c r="H115" s="41"/>
      <c r="I115" s="41"/>
      <c r="J115" s="56"/>
      <c r="K115" s="4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41"/>
      <c r="B116" s="47"/>
      <c r="C116" s="41"/>
      <c r="D116" s="2"/>
      <c r="E116" s="38"/>
      <c r="F116" s="42"/>
      <c r="G116" s="41"/>
      <c r="H116" s="41"/>
      <c r="I116" s="41"/>
      <c r="J116" s="56"/>
      <c r="K116" s="4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41"/>
      <c r="B117" s="47"/>
      <c r="C117" s="41"/>
      <c r="D117" s="2"/>
      <c r="E117" s="38"/>
      <c r="F117" s="42"/>
      <c r="G117" s="41"/>
      <c r="H117" s="41"/>
      <c r="I117" s="41"/>
      <c r="J117" s="56"/>
      <c r="K117" s="4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41"/>
      <c r="B118" s="47"/>
      <c r="C118" s="41"/>
      <c r="D118" s="2"/>
      <c r="E118" s="38"/>
      <c r="F118" s="42"/>
      <c r="G118" s="41"/>
      <c r="H118" s="41"/>
      <c r="I118" s="41"/>
      <c r="J118" s="56"/>
      <c r="K118" s="4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41"/>
      <c r="B119" s="47"/>
      <c r="C119" s="41"/>
      <c r="D119" s="2"/>
      <c r="E119" s="38"/>
      <c r="F119" s="42"/>
      <c r="G119" s="41"/>
      <c r="H119" s="41"/>
      <c r="I119" s="41"/>
      <c r="J119" s="56"/>
      <c r="K119" s="4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41"/>
      <c r="B120" s="47"/>
      <c r="C120" s="41"/>
      <c r="D120" s="2"/>
      <c r="E120" s="38"/>
      <c r="F120" s="42"/>
      <c r="G120" s="41"/>
      <c r="H120" s="41"/>
      <c r="I120" s="41"/>
      <c r="J120" s="56"/>
      <c r="K120" s="4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41"/>
      <c r="B121" s="47"/>
      <c r="C121" s="41"/>
      <c r="D121" s="2"/>
      <c r="E121" s="38"/>
      <c r="F121" s="42"/>
      <c r="G121" s="41"/>
      <c r="H121" s="41"/>
      <c r="I121" s="41"/>
      <c r="J121" s="56"/>
      <c r="K121" s="4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41"/>
      <c r="B122" s="47"/>
      <c r="C122" s="41"/>
      <c r="D122" s="2"/>
      <c r="E122" s="38"/>
      <c r="F122" s="42"/>
      <c r="G122" s="41"/>
      <c r="H122" s="41"/>
      <c r="I122" s="41"/>
      <c r="J122" s="56"/>
      <c r="K122" s="4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41"/>
      <c r="B123" s="47"/>
      <c r="C123" s="41"/>
      <c r="D123" s="2"/>
      <c r="E123" s="38"/>
      <c r="F123" s="42"/>
      <c r="G123" s="41"/>
      <c r="H123" s="41"/>
      <c r="I123" s="41"/>
      <c r="J123" s="56"/>
      <c r="K123" s="4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41"/>
      <c r="B124" s="47"/>
      <c r="C124" s="41"/>
      <c r="D124" s="2"/>
      <c r="E124" s="38"/>
      <c r="F124" s="42"/>
      <c r="G124" s="41"/>
      <c r="H124" s="41"/>
      <c r="I124" s="41"/>
      <c r="J124" s="56"/>
      <c r="K124" s="4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41"/>
      <c r="B125" s="47"/>
      <c r="C125" s="41"/>
      <c r="D125" s="2"/>
      <c r="E125" s="38"/>
      <c r="F125" s="42"/>
      <c r="G125" s="41"/>
      <c r="H125" s="41"/>
      <c r="I125" s="41"/>
      <c r="J125" s="56"/>
      <c r="K125" s="4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41"/>
      <c r="B126" s="47"/>
      <c r="C126" s="41"/>
      <c r="D126" s="2"/>
      <c r="E126" s="38"/>
      <c r="F126" s="42"/>
      <c r="G126" s="41"/>
      <c r="H126" s="41"/>
      <c r="I126" s="41"/>
      <c r="J126" s="56"/>
      <c r="K126" s="4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41"/>
      <c r="B127" s="47"/>
      <c r="C127" s="41"/>
      <c r="D127" s="2"/>
      <c r="E127" s="38"/>
      <c r="F127" s="42"/>
      <c r="G127" s="41"/>
      <c r="H127" s="41"/>
      <c r="I127" s="41"/>
      <c r="J127" s="56"/>
      <c r="K127" s="4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41"/>
      <c r="B128" s="47"/>
      <c r="C128" s="41"/>
      <c r="D128" s="2"/>
      <c r="E128" s="38"/>
      <c r="F128" s="42"/>
      <c r="G128" s="41"/>
      <c r="H128" s="41"/>
      <c r="I128" s="41"/>
      <c r="J128" s="56"/>
      <c r="K128" s="4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41"/>
      <c r="B129" s="47"/>
      <c r="C129" s="41"/>
      <c r="D129" s="2"/>
      <c r="E129" s="38"/>
      <c r="F129" s="42"/>
      <c r="G129" s="41"/>
      <c r="H129" s="41"/>
      <c r="I129" s="41"/>
      <c r="J129" s="56"/>
      <c r="K129" s="4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41"/>
      <c r="B130" s="47"/>
      <c r="C130" s="41"/>
      <c r="D130" s="2"/>
      <c r="E130" s="38"/>
      <c r="F130" s="42"/>
      <c r="G130" s="41"/>
      <c r="H130" s="41"/>
      <c r="I130" s="41"/>
      <c r="J130" s="56"/>
      <c r="K130" s="4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41"/>
      <c r="B131" s="47"/>
      <c r="C131" s="41"/>
      <c r="D131" s="2"/>
      <c r="E131" s="38"/>
      <c r="F131" s="42"/>
      <c r="G131" s="41"/>
      <c r="H131" s="41"/>
      <c r="I131" s="41"/>
      <c r="J131" s="56"/>
      <c r="K131" s="4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41"/>
      <c r="B132" s="47"/>
      <c r="C132" s="41"/>
      <c r="D132" s="2"/>
      <c r="E132" s="38"/>
      <c r="F132" s="42"/>
      <c r="G132" s="41"/>
      <c r="H132" s="41"/>
      <c r="I132" s="41"/>
      <c r="J132" s="56"/>
      <c r="K132" s="4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41"/>
      <c r="B133" s="47"/>
      <c r="C133" s="41"/>
      <c r="D133" s="2"/>
      <c r="E133" s="38"/>
      <c r="F133" s="42"/>
      <c r="G133" s="41"/>
      <c r="H133" s="41"/>
      <c r="I133" s="41"/>
      <c r="J133" s="56"/>
      <c r="K133" s="4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41"/>
      <c r="B134" s="47"/>
      <c r="C134" s="41"/>
      <c r="D134" s="2"/>
      <c r="E134" s="38"/>
      <c r="F134" s="42"/>
      <c r="G134" s="41"/>
      <c r="H134" s="41"/>
      <c r="I134" s="41"/>
      <c r="J134" s="56"/>
      <c r="K134" s="4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41"/>
      <c r="B135" s="47"/>
      <c r="C135" s="41"/>
      <c r="D135" s="2"/>
      <c r="E135" s="38"/>
      <c r="F135" s="42"/>
      <c r="G135" s="41"/>
      <c r="H135" s="41"/>
      <c r="I135" s="41"/>
      <c r="J135" s="56"/>
      <c r="K135" s="4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41"/>
      <c r="B136" s="47"/>
      <c r="C136" s="41"/>
      <c r="D136" s="2"/>
      <c r="E136" s="38"/>
      <c r="F136" s="42"/>
      <c r="G136" s="41"/>
      <c r="H136" s="41"/>
      <c r="I136" s="41"/>
      <c r="J136" s="56"/>
      <c r="K136" s="4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41"/>
      <c r="B137" s="47"/>
      <c r="C137" s="41"/>
      <c r="D137" s="2"/>
      <c r="E137" s="38"/>
      <c r="F137" s="42"/>
      <c r="G137" s="41"/>
      <c r="H137" s="41"/>
      <c r="I137" s="41"/>
      <c r="J137" s="56"/>
      <c r="K137" s="4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41"/>
      <c r="B138" s="47"/>
      <c r="C138" s="41"/>
      <c r="D138" s="2"/>
      <c r="E138" s="38"/>
      <c r="F138" s="42"/>
      <c r="G138" s="41"/>
      <c r="H138" s="41"/>
      <c r="I138" s="41"/>
      <c r="J138" s="56"/>
      <c r="K138" s="4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41"/>
      <c r="B139" s="47"/>
      <c r="C139" s="41"/>
      <c r="D139" s="2"/>
      <c r="E139" s="38"/>
      <c r="F139" s="42"/>
      <c r="G139" s="41"/>
      <c r="H139" s="41"/>
      <c r="I139" s="41"/>
      <c r="J139" s="56"/>
      <c r="K139" s="4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41"/>
      <c r="B140" s="47"/>
      <c r="C140" s="41"/>
      <c r="D140" s="2"/>
      <c r="E140" s="38"/>
      <c r="F140" s="42"/>
      <c r="G140" s="41"/>
      <c r="H140" s="41"/>
      <c r="I140" s="41"/>
      <c r="J140" s="56"/>
      <c r="K140" s="4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41"/>
      <c r="B141" s="47"/>
      <c r="C141" s="41"/>
      <c r="D141" s="2"/>
      <c r="E141" s="38"/>
      <c r="F141" s="42"/>
      <c r="G141" s="41"/>
      <c r="H141" s="41"/>
      <c r="I141" s="41"/>
      <c r="J141" s="56"/>
      <c r="K141" s="4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41"/>
      <c r="B142" s="47"/>
      <c r="C142" s="41"/>
      <c r="D142" s="2"/>
      <c r="E142" s="38"/>
      <c r="F142" s="42"/>
      <c r="G142" s="41"/>
      <c r="H142" s="41"/>
      <c r="I142" s="41"/>
      <c r="J142" s="56"/>
      <c r="K142" s="4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41"/>
      <c r="B143" s="47"/>
      <c r="C143" s="41"/>
      <c r="D143" s="2"/>
      <c r="E143" s="38"/>
      <c r="F143" s="42"/>
      <c r="G143" s="41"/>
      <c r="H143" s="41"/>
      <c r="I143" s="41"/>
      <c r="J143" s="56"/>
      <c r="K143" s="4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41"/>
      <c r="B144" s="47"/>
      <c r="C144" s="41"/>
      <c r="D144" s="2"/>
      <c r="E144" s="38"/>
      <c r="F144" s="42"/>
      <c r="G144" s="41"/>
      <c r="H144" s="41"/>
      <c r="I144" s="41"/>
      <c r="J144" s="56"/>
      <c r="K144" s="4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41"/>
      <c r="B145" s="47"/>
      <c r="C145" s="41"/>
      <c r="D145" s="2"/>
      <c r="E145" s="38"/>
      <c r="F145" s="42"/>
      <c r="G145" s="41"/>
      <c r="H145" s="41"/>
      <c r="I145" s="41"/>
      <c r="J145" s="56"/>
      <c r="K145" s="4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41"/>
      <c r="B146" s="47"/>
      <c r="C146" s="41"/>
      <c r="D146" s="2"/>
      <c r="E146" s="38"/>
      <c r="F146" s="42"/>
      <c r="G146" s="41"/>
      <c r="H146" s="41"/>
      <c r="I146" s="41"/>
      <c r="J146" s="56"/>
      <c r="K146" s="4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41"/>
      <c r="B147" s="47"/>
      <c r="C147" s="41"/>
      <c r="D147" s="2"/>
      <c r="E147" s="38"/>
      <c r="F147" s="42"/>
      <c r="G147" s="41"/>
      <c r="H147" s="41"/>
      <c r="I147" s="41"/>
      <c r="J147" s="56"/>
      <c r="K147" s="4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41"/>
      <c r="B148" s="47"/>
      <c r="C148" s="41"/>
      <c r="D148" s="2"/>
      <c r="E148" s="38"/>
      <c r="F148" s="42"/>
      <c r="G148" s="41"/>
      <c r="H148" s="41"/>
      <c r="I148" s="41"/>
      <c r="J148" s="56"/>
      <c r="K148" s="4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41"/>
      <c r="B149" s="47"/>
      <c r="C149" s="41"/>
      <c r="D149" s="2"/>
      <c r="E149" s="38"/>
      <c r="F149" s="42"/>
      <c r="G149" s="41"/>
      <c r="H149" s="41"/>
      <c r="I149" s="41"/>
      <c r="J149" s="56"/>
      <c r="K149" s="4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41"/>
      <c r="B150" s="47"/>
      <c r="C150" s="41"/>
      <c r="D150" s="2"/>
      <c r="E150" s="38"/>
      <c r="F150" s="42"/>
      <c r="G150" s="41"/>
      <c r="H150" s="41"/>
      <c r="I150" s="41"/>
      <c r="J150" s="56"/>
      <c r="K150" s="4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41"/>
      <c r="B151" s="47"/>
      <c r="C151" s="41"/>
      <c r="D151" s="2"/>
      <c r="E151" s="38"/>
      <c r="F151" s="42"/>
      <c r="G151" s="41"/>
      <c r="H151" s="41"/>
      <c r="I151" s="41"/>
      <c r="J151" s="56"/>
      <c r="K151" s="4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41"/>
      <c r="B152" s="47"/>
      <c r="C152" s="41"/>
      <c r="D152" s="2"/>
      <c r="E152" s="38"/>
      <c r="F152" s="42"/>
      <c r="G152" s="41"/>
      <c r="H152" s="41"/>
      <c r="I152" s="41"/>
      <c r="J152" s="56"/>
      <c r="K152" s="4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41"/>
      <c r="B153" s="47"/>
      <c r="C153" s="41"/>
      <c r="D153" s="2"/>
      <c r="E153" s="38"/>
      <c r="F153" s="42"/>
      <c r="G153" s="41"/>
      <c r="H153" s="41"/>
      <c r="I153" s="41"/>
      <c r="J153" s="56"/>
      <c r="K153" s="4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41"/>
      <c r="B154" s="47"/>
      <c r="C154" s="41"/>
      <c r="D154" s="2"/>
      <c r="E154" s="38"/>
      <c r="F154" s="42"/>
      <c r="G154" s="41"/>
      <c r="H154" s="41"/>
      <c r="I154" s="41"/>
      <c r="J154" s="56"/>
      <c r="K154" s="4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41"/>
      <c r="B155" s="47"/>
      <c r="C155" s="41"/>
      <c r="D155" s="2"/>
      <c r="E155" s="38"/>
      <c r="F155" s="42"/>
      <c r="G155" s="41"/>
      <c r="H155" s="41"/>
      <c r="I155" s="41"/>
      <c r="J155" s="56"/>
      <c r="K155" s="4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41"/>
      <c r="B156" s="47"/>
      <c r="C156" s="41"/>
      <c r="D156" s="2"/>
      <c r="E156" s="38"/>
      <c r="F156" s="42"/>
      <c r="G156" s="41"/>
      <c r="H156" s="41"/>
      <c r="I156" s="41"/>
      <c r="J156" s="56"/>
      <c r="K156" s="4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41"/>
      <c r="B157" s="47"/>
      <c r="C157" s="41"/>
      <c r="D157" s="2"/>
      <c r="E157" s="38"/>
      <c r="F157" s="42"/>
      <c r="G157" s="41"/>
      <c r="H157" s="41"/>
      <c r="I157" s="41"/>
      <c r="J157" s="56"/>
      <c r="K157" s="4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41"/>
      <c r="B158" s="47"/>
      <c r="C158" s="41"/>
      <c r="D158" s="2"/>
      <c r="E158" s="38"/>
      <c r="F158" s="42"/>
      <c r="G158" s="41"/>
      <c r="H158" s="41"/>
      <c r="I158" s="41"/>
      <c r="J158" s="56"/>
      <c r="K158" s="4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41"/>
      <c r="B159" s="47"/>
      <c r="C159" s="41"/>
      <c r="D159" s="2"/>
      <c r="E159" s="38"/>
      <c r="F159" s="42"/>
      <c r="G159" s="41"/>
      <c r="H159" s="41"/>
      <c r="I159" s="41"/>
      <c r="J159" s="56"/>
      <c r="K159" s="4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41"/>
      <c r="B160" s="47"/>
      <c r="C160" s="41"/>
      <c r="D160" s="2"/>
      <c r="E160" s="38"/>
      <c r="F160" s="42"/>
      <c r="G160" s="41"/>
      <c r="H160" s="41"/>
      <c r="I160" s="41"/>
      <c r="J160" s="56"/>
      <c r="K160" s="4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41"/>
      <c r="B161" s="47"/>
      <c r="C161" s="41"/>
      <c r="D161" s="2"/>
      <c r="E161" s="38"/>
      <c r="F161" s="42"/>
      <c r="G161" s="41"/>
      <c r="H161" s="41"/>
      <c r="I161" s="41"/>
      <c r="J161" s="56"/>
      <c r="K161" s="4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41"/>
      <c r="B162" s="47"/>
      <c r="C162" s="41"/>
      <c r="D162" s="2"/>
      <c r="E162" s="38"/>
      <c r="F162" s="42"/>
      <c r="G162" s="41"/>
      <c r="H162" s="41"/>
      <c r="I162" s="41"/>
      <c r="J162" s="56"/>
      <c r="K162" s="4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41"/>
      <c r="B163" s="47"/>
      <c r="C163" s="41"/>
      <c r="D163" s="2"/>
      <c r="E163" s="38"/>
      <c r="F163" s="42"/>
      <c r="G163" s="41"/>
      <c r="H163" s="41"/>
      <c r="I163" s="41"/>
      <c r="J163" s="56"/>
      <c r="K163" s="4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41"/>
      <c r="B164" s="47"/>
      <c r="C164" s="41"/>
      <c r="D164" s="2"/>
      <c r="E164" s="38"/>
      <c r="F164" s="42"/>
      <c r="G164" s="41"/>
      <c r="H164" s="41"/>
      <c r="I164" s="41"/>
      <c r="J164" s="56"/>
      <c r="K164" s="4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41"/>
      <c r="B165" s="47"/>
      <c r="C165" s="41"/>
      <c r="D165" s="2"/>
      <c r="E165" s="38"/>
      <c r="F165" s="42"/>
      <c r="G165" s="41"/>
      <c r="H165" s="41"/>
      <c r="I165" s="41"/>
      <c r="J165" s="56"/>
      <c r="K165" s="4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41"/>
      <c r="B166" s="47"/>
      <c r="C166" s="41"/>
      <c r="D166" s="2"/>
      <c r="E166" s="38"/>
      <c r="F166" s="42"/>
      <c r="G166" s="41"/>
      <c r="H166" s="41"/>
      <c r="I166" s="41"/>
      <c r="J166" s="56"/>
      <c r="K166" s="4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41"/>
      <c r="B167" s="47"/>
      <c r="C167" s="41"/>
      <c r="D167" s="2"/>
      <c r="E167" s="38"/>
      <c r="F167" s="42"/>
      <c r="G167" s="41"/>
      <c r="H167" s="41"/>
      <c r="I167" s="41"/>
      <c r="J167" s="56"/>
      <c r="K167" s="4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41"/>
      <c r="B168" s="47"/>
      <c r="C168" s="41"/>
      <c r="D168" s="2"/>
      <c r="E168" s="38"/>
      <c r="F168" s="42"/>
      <c r="G168" s="41"/>
      <c r="H168" s="41"/>
      <c r="I168" s="41"/>
      <c r="J168" s="56"/>
      <c r="K168" s="4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41"/>
      <c r="B169" s="47"/>
      <c r="C169" s="41"/>
      <c r="D169" s="2"/>
      <c r="E169" s="38"/>
      <c r="F169" s="42"/>
      <c r="G169" s="41"/>
      <c r="H169" s="41"/>
      <c r="I169" s="41"/>
      <c r="J169" s="56"/>
      <c r="K169" s="4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41"/>
      <c r="B170" s="47"/>
      <c r="C170" s="41"/>
      <c r="D170" s="2"/>
      <c r="E170" s="38"/>
      <c r="F170" s="42"/>
      <c r="G170" s="41"/>
      <c r="H170" s="41"/>
      <c r="I170" s="41"/>
      <c r="J170" s="56"/>
      <c r="K170" s="4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41"/>
      <c r="B171" s="47"/>
      <c r="C171" s="41"/>
      <c r="D171" s="2"/>
      <c r="E171" s="38"/>
      <c r="F171" s="42"/>
      <c r="G171" s="41"/>
      <c r="H171" s="41"/>
      <c r="I171" s="41"/>
      <c r="J171" s="56"/>
      <c r="K171" s="4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41"/>
      <c r="B172" s="47"/>
      <c r="C172" s="41"/>
      <c r="D172" s="2"/>
      <c r="E172" s="38"/>
      <c r="F172" s="42"/>
      <c r="G172" s="41"/>
      <c r="H172" s="41"/>
      <c r="I172" s="41"/>
      <c r="J172" s="56"/>
      <c r="K172" s="4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41"/>
      <c r="B173" s="47"/>
      <c r="C173" s="41"/>
      <c r="D173" s="2"/>
      <c r="E173" s="38"/>
      <c r="F173" s="42"/>
      <c r="G173" s="41"/>
      <c r="H173" s="41"/>
      <c r="I173" s="41"/>
      <c r="J173" s="56"/>
      <c r="K173" s="4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41"/>
      <c r="B174" s="47"/>
      <c r="C174" s="41"/>
      <c r="D174" s="2"/>
      <c r="E174" s="38"/>
      <c r="F174" s="42"/>
      <c r="G174" s="41"/>
      <c r="H174" s="41"/>
      <c r="I174" s="41"/>
      <c r="J174" s="56"/>
      <c r="K174" s="4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41"/>
      <c r="B175" s="47"/>
      <c r="C175" s="41"/>
      <c r="D175" s="2"/>
      <c r="E175" s="38"/>
      <c r="F175" s="42"/>
      <c r="G175" s="41"/>
      <c r="H175" s="41"/>
      <c r="I175" s="41"/>
      <c r="J175" s="56"/>
      <c r="K175" s="4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41"/>
      <c r="B176" s="47"/>
      <c r="C176" s="41"/>
      <c r="D176" s="2"/>
      <c r="E176" s="38"/>
      <c r="F176" s="42"/>
      <c r="G176" s="41"/>
      <c r="H176" s="41"/>
      <c r="I176" s="41"/>
      <c r="J176" s="56"/>
      <c r="K176" s="4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41"/>
      <c r="B177" s="47"/>
      <c r="C177" s="41"/>
      <c r="D177" s="2"/>
      <c r="E177" s="38"/>
      <c r="F177" s="42"/>
      <c r="G177" s="41"/>
      <c r="H177" s="41"/>
      <c r="I177" s="41"/>
      <c r="J177" s="56"/>
      <c r="K177" s="4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41"/>
      <c r="B178" s="47"/>
      <c r="C178" s="41"/>
      <c r="D178" s="2"/>
      <c r="E178" s="38"/>
      <c r="F178" s="42"/>
      <c r="G178" s="41"/>
      <c r="H178" s="41"/>
      <c r="I178" s="41"/>
      <c r="J178" s="56"/>
      <c r="K178" s="4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41"/>
      <c r="B179" s="47"/>
      <c r="C179" s="41"/>
      <c r="D179" s="2"/>
      <c r="E179" s="38"/>
      <c r="F179" s="42"/>
      <c r="G179" s="41"/>
      <c r="H179" s="41"/>
      <c r="I179" s="41"/>
      <c r="J179" s="56"/>
      <c r="K179" s="4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41"/>
      <c r="B180" s="47"/>
      <c r="C180" s="41"/>
      <c r="D180" s="2"/>
      <c r="E180" s="38"/>
      <c r="F180" s="42"/>
      <c r="G180" s="41"/>
      <c r="H180" s="41"/>
      <c r="I180" s="41"/>
      <c r="J180" s="56"/>
      <c r="K180" s="4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41"/>
      <c r="B181" s="47"/>
      <c r="C181" s="41"/>
      <c r="D181" s="2"/>
      <c r="E181" s="38"/>
      <c r="F181" s="42"/>
      <c r="G181" s="41"/>
      <c r="H181" s="41"/>
      <c r="I181" s="41"/>
      <c r="J181" s="56"/>
      <c r="K181" s="4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41"/>
      <c r="B182" s="47"/>
      <c r="C182" s="41"/>
      <c r="D182" s="2"/>
      <c r="E182" s="38"/>
      <c r="F182" s="42"/>
      <c r="G182" s="41"/>
      <c r="H182" s="41"/>
      <c r="I182" s="41"/>
      <c r="J182" s="56"/>
      <c r="K182" s="4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41"/>
      <c r="B183" s="47"/>
      <c r="C183" s="41"/>
      <c r="D183" s="2"/>
      <c r="E183" s="38"/>
      <c r="F183" s="42"/>
      <c r="G183" s="41"/>
      <c r="H183" s="41"/>
      <c r="I183" s="41"/>
      <c r="J183" s="56"/>
      <c r="K183" s="4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41"/>
      <c r="B184" s="47"/>
      <c r="C184" s="41"/>
      <c r="D184" s="2"/>
      <c r="E184" s="38"/>
      <c r="F184" s="42"/>
      <c r="G184" s="41"/>
      <c r="H184" s="41"/>
      <c r="I184" s="41"/>
      <c r="J184" s="56"/>
      <c r="K184" s="4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41"/>
      <c r="B185" s="47"/>
      <c r="C185" s="41"/>
      <c r="D185" s="2"/>
      <c r="E185" s="38"/>
      <c r="F185" s="42"/>
      <c r="G185" s="41"/>
      <c r="H185" s="41"/>
      <c r="I185" s="41"/>
      <c r="J185" s="56"/>
      <c r="K185" s="4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41"/>
      <c r="B186" s="47"/>
      <c r="C186" s="41"/>
      <c r="D186" s="2"/>
      <c r="E186" s="38"/>
      <c r="F186" s="42"/>
      <c r="G186" s="41"/>
      <c r="H186" s="41"/>
      <c r="I186" s="41"/>
      <c r="J186" s="56"/>
      <c r="K186" s="4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41"/>
      <c r="B187" s="47"/>
      <c r="C187" s="41"/>
      <c r="D187" s="2"/>
      <c r="E187" s="38"/>
      <c r="F187" s="42"/>
      <c r="G187" s="41"/>
      <c r="H187" s="41"/>
      <c r="I187" s="41"/>
      <c r="J187" s="56"/>
      <c r="K187" s="4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41"/>
      <c r="B188" s="47"/>
      <c r="C188" s="41"/>
      <c r="D188" s="2"/>
      <c r="E188" s="38"/>
      <c r="F188" s="42"/>
      <c r="G188" s="41"/>
      <c r="H188" s="41"/>
      <c r="I188" s="41"/>
      <c r="J188" s="56"/>
      <c r="K188" s="4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41"/>
      <c r="B189" s="47"/>
      <c r="C189" s="41"/>
      <c r="D189" s="2"/>
      <c r="E189" s="38"/>
      <c r="F189" s="42"/>
      <c r="G189" s="41"/>
      <c r="H189" s="41"/>
      <c r="I189" s="41"/>
      <c r="J189" s="56"/>
      <c r="K189" s="4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41"/>
      <c r="B190" s="47"/>
      <c r="C190" s="41"/>
      <c r="D190" s="2"/>
      <c r="E190" s="38"/>
      <c r="F190" s="42"/>
      <c r="G190" s="41"/>
      <c r="H190" s="41"/>
      <c r="I190" s="41"/>
      <c r="J190" s="56"/>
      <c r="K190" s="4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41"/>
      <c r="B191" s="47"/>
      <c r="C191" s="41"/>
      <c r="D191" s="2"/>
      <c r="E191" s="38"/>
      <c r="F191" s="42"/>
      <c r="G191" s="41"/>
      <c r="H191" s="41"/>
      <c r="I191" s="41"/>
      <c r="J191" s="56"/>
      <c r="K191" s="4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41"/>
      <c r="B192" s="47"/>
      <c r="C192" s="41"/>
      <c r="D192" s="2"/>
      <c r="E192" s="38"/>
      <c r="F192" s="42"/>
      <c r="G192" s="41"/>
      <c r="H192" s="41"/>
      <c r="I192" s="41"/>
      <c r="J192" s="56"/>
      <c r="K192" s="4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41"/>
      <c r="B193" s="47"/>
      <c r="C193" s="41"/>
      <c r="D193" s="2"/>
      <c r="E193" s="38"/>
      <c r="F193" s="42"/>
      <c r="G193" s="41"/>
      <c r="H193" s="41"/>
      <c r="I193" s="41"/>
      <c r="J193" s="56"/>
      <c r="K193" s="4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41"/>
      <c r="B194" s="47"/>
      <c r="C194" s="41"/>
      <c r="D194" s="2"/>
      <c r="E194" s="38"/>
      <c r="F194" s="42"/>
      <c r="G194" s="41"/>
      <c r="H194" s="41"/>
      <c r="I194" s="41"/>
      <c r="J194" s="56"/>
      <c r="K194" s="4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41"/>
      <c r="B195" s="47"/>
      <c r="C195" s="41"/>
      <c r="D195" s="2"/>
      <c r="E195" s="38"/>
      <c r="F195" s="42"/>
      <c r="G195" s="41"/>
      <c r="H195" s="41"/>
      <c r="I195" s="41"/>
      <c r="J195" s="56"/>
      <c r="K195" s="4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41"/>
      <c r="B196" s="47"/>
      <c r="C196" s="41"/>
      <c r="D196" s="2"/>
      <c r="E196" s="38"/>
      <c r="F196" s="42"/>
      <c r="G196" s="41"/>
      <c r="H196" s="41"/>
      <c r="I196" s="41"/>
      <c r="J196" s="56"/>
      <c r="K196" s="4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41"/>
      <c r="B197" s="47"/>
      <c r="C197" s="41"/>
      <c r="D197" s="2"/>
      <c r="E197" s="38"/>
      <c r="F197" s="42"/>
      <c r="G197" s="41"/>
      <c r="H197" s="41"/>
      <c r="I197" s="41"/>
      <c r="J197" s="56"/>
      <c r="K197" s="4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41"/>
      <c r="B198" s="47"/>
      <c r="C198" s="41"/>
      <c r="D198" s="2"/>
      <c r="E198" s="38"/>
      <c r="F198" s="42"/>
      <c r="G198" s="41"/>
      <c r="H198" s="41"/>
      <c r="I198" s="41"/>
      <c r="J198" s="56"/>
      <c r="K198" s="4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41"/>
      <c r="B199" s="47"/>
      <c r="C199" s="41"/>
      <c r="D199" s="2"/>
      <c r="E199" s="38"/>
      <c r="F199" s="42"/>
      <c r="G199" s="41"/>
      <c r="H199" s="41"/>
      <c r="I199" s="41"/>
      <c r="J199" s="56"/>
      <c r="K199" s="4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41"/>
      <c r="B200" s="47"/>
      <c r="C200" s="41"/>
      <c r="D200" s="2"/>
      <c r="E200" s="38"/>
      <c r="F200" s="42"/>
      <c r="G200" s="41"/>
      <c r="H200" s="41"/>
      <c r="I200" s="41"/>
      <c r="J200" s="56"/>
      <c r="K200" s="4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41"/>
      <c r="B201" s="47"/>
      <c r="C201" s="41"/>
      <c r="D201" s="2"/>
      <c r="E201" s="38"/>
      <c r="F201" s="42"/>
      <c r="G201" s="41"/>
      <c r="H201" s="41"/>
      <c r="I201" s="41"/>
      <c r="J201" s="56"/>
      <c r="K201" s="4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41"/>
      <c r="B202" s="47"/>
      <c r="C202" s="41"/>
      <c r="D202" s="2"/>
      <c r="E202" s="38"/>
      <c r="F202" s="42"/>
      <c r="G202" s="41"/>
      <c r="H202" s="41"/>
      <c r="I202" s="41"/>
      <c r="J202" s="56"/>
      <c r="K202" s="4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41"/>
      <c r="B203" s="47"/>
      <c r="C203" s="41"/>
      <c r="D203" s="2"/>
      <c r="E203" s="38"/>
      <c r="F203" s="42"/>
      <c r="G203" s="41"/>
      <c r="H203" s="41"/>
      <c r="I203" s="41"/>
      <c r="J203" s="56"/>
      <c r="K203" s="4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41"/>
      <c r="B204" s="47"/>
      <c r="C204" s="41"/>
      <c r="D204" s="2"/>
      <c r="E204" s="38"/>
      <c r="F204" s="42"/>
      <c r="G204" s="41"/>
      <c r="H204" s="41"/>
      <c r="I204" s="41"/>
      <c r="J204" s="56"/>
      <c r="K204" s="4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41"/>
      <c r="B205" s="47"/>
      <c r="C205" s="41"/>
      <c r="D205" s="2"/>
      <c r="E205" s="38"/>
      <c r="F205" s="42"/>
      <c r="G205" s="41"/>
      <c r="H205" s="41"/>
      <c r="I205" s="41"/>
      <c r="J205" s="56"/>
      <c r="K205" s="4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41"/>
      <c r="B206" s="47"/>
      <c r="C206" s="41"/>
      <c r="D206" s="2"/>
      <c r="E206" s="38"/>
      <c r="F206" s="42"/>
      <c r="G206" s="41"/>
      <c r="H206" s="41"/>
      <c r="I206" s="41"/>
      <c r="J206" s="56"/>
      <c r="K206" s="4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41"/>
      <c r="B207" s="47"/>
      <c r="C207" s="41"/>
      <c r="D207" s="2"/>
      <c r="E207" s="38"/>
      <c r="F207" s="42"/>
      <c r="G207" s="41"/>
      <c r="H207" s="41"/>
      <c r="I207" s="41"/>
      <c r="J207" s="56"/>
      <c r="K207" s="4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41"/>
      <c r="B208" s="47"/>
      <c r="C208" s="41"/>
      <c r="D208" s="2"/>
      <c r="E208" s="38"/>
      <c r="F208" s="42"/>
      <c r="G208" s="41"/>
      <c r="H208" s="41"/>
      <c r="I208" s="41"/>
      <c r="J208" s="56"/>
      <c r="K208" s="4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41"/>
      <c r="B209" s="47"/>
      <c r="C209" s="41"/>
      <c r="D209" s="2"/>
      <c r="E209" s="38"/>
      <c r="F209" s="42"/>
      <c r="G209" s="41"/>
      <c r="H209" s="41"/>
      <c r="I209" s="41"/>
      <c r="J209" s="56"/>
      <c r="K209" s="4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41"/>
      <c r="B210" s="47"/>
      <c r="C210" s="41"/>
      <c r="D210" s="2"/>
      <c r="E210" s="38"/>
      <c r="F210" s="42"/>
      <c r="G210" s="41"/>
      <c r="H210" s="41"/>
      <c r="I210" s="41"/>
      <c r="J210" s="56"/>
      <c r="K210" s="4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41"/>
      <c r="B211" s="47"/>
      <c r="C211" s="41"/>
      <c r="D211" s="2"/>
      <c r="E211" s="38"/>
      <c r="F211" s="42"/>
      <c r="G211" s="41"/>
      <c r="H211" s="41"/>
      <c r="I211" s="41"/>
      <c r="J211" s="56"/>
      <c r="K211" s="4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41"/>
      <c r="B212" s="47"/>
      <c r="C212" s="41"/>
      <c r="D212" s="2"/>
      <c r="E212" s="38"/>
      <c r="F212" s="42"/>
      <c r="G212" s="41"/>
      <c r="H212" s="41"/>
      <c r="I212" s="41"/>
      <c r="J212" s="56"/>
      <c r="K212" s="4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41"/>
      <c r="B213" s="47"/>
      <c r="C213" s="41"/>
      <c r="D213" s="2"/>
      <c r="E213" s="38"/>
      <c r="F213" s="42"/>
      <c r="G213" s="41"/>
      <c r="H213" s="41"/>
      <c r="I213" s="41"/>
      <c r="J213" s="56"/>
      <c r="K213" s="4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41"/>
      <c r="B214" s="47"/>
      <c r="C214" s="41"/>
      <c r="D214" s="2"/>
      <c r="E214" s="38"/>
      <c r="F214" s="42"/>
      <c r="G214" s="41"/>
      <c r="H214" s="41"/>
      <c r="I214" s="41"/>
      <c r="J214" s="56"/>
      <c r="K214" s="4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41"/>
      <c r="B215" s="47"/>
      <c r="C215" s="41"/>
      <c r="D215" s="2"/>
      <c r="E215" s="38"/>
      <c r="F215" s="42"/>
      <c r="G215" s="41"/>
      <c r="H215" s="41"/>
      <c r="I215" s="41"/>
      <c r="J215" s="56"/>
      <c r="K215" s="4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41"/>
      <c r="B216" s="47"/>
      <c r="C216" s="41"/>
      <c r="D216" s="2"/>
      <c r="E216" s="38"/>
      <c r="F216" s="42"/>
      <c r="G216" s="41"/>
      <c r="H216" s="41"/>
      <c r="I216" s="41"/>
      <c r="J216" s="56"/>
      <c r="K216" s="4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41"/>
      <c r="B217" s="47"/>
      <c r="C217" s="41"/>
      <c r="D217" s="2"/>
      <c r="E217" s="38"/>
      <c r="F217" s="42"/>
      <c r="G217" s="41"/>
      <c r="H217" s="41"/>
      <c r="I217" s="41"/>
      <c r="J217" s="56"/>
      <c r="K217" s="4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41"/>
      <c r="B218" s="47"/>
      <c r="C218" s="41"/>
      <c r="D218" s="2"/>
      <c r="E218" s="38"/>
      <c r="F218" s="42"/>
      <c r="G218" s="41"/>
      <c r="H218" s="41"/>
      <c r="I218" s="41"/>
      <c r="J218" s="56"/>
      <c r="K218" s="4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41"/>
      <c r="B219" s="47"/>
      <c r="C219" s="41"/>
      <c r="D219" s="2"/>
      <c r="E219" s="38"/>
      <c r="F219" s="42"/>
      <c r="G219" s="41"/>
      <c r="H219" s="41"/>
      <c r="I219" s="41"/>
      <c r="J219" s="56"/>
      <c r="K219" s="4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41"/>
      <c r="B220" s="47"/>
      <c r="C220" s="41"/>
      <c r="D220" s="2"/>
      <c r="E220" s="38"/>
      <c r="F220" s="42"/>
      <c r="G220" s="41"/>
      <c r="H220" s="41"/>
      <c r="I220" s="41"/>
      <c r="J220" s="56"/>
      <c r="K220" s="4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41"/>
      <c r="B221" s="47"/>
      <c r="C221" s="41"/>
      <c r="D221" s="2"/>
      <c r="E221" s="38"/>
      <c r="F221" s="42"/>
      <c r="G221" s="41"/>
      <c r="H221" s="41"/>
      <c r="I221" s="41"/>
      <c r="J221" s="56"/>
      <c r="K221" s="4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41"/>
      <c r="B222" s="47"/>
      <c r="C222" s="41"/>
      <c r="D222" s="2"/>
      <c r="E222" s="38"/>
      <c r="F222" s="42"/>
      <c r="G222" s="41"/>
      <c r="H222" s="41"/>
      <c r="I222" s="41"/>
      <c r="J222" s="56"/>
      <c r="K222" s="4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41"/>
      <c r="B223" s="47"/>
      <c r="C223" s="41"/>
      <c r="D223" s="2"/>
      <c r="E223" s="38"/>
      <c r="F223" s="42"/>
      <c r="G223" s="41"/>
      <c r="H223" s="41"/>
      <c r="I223" s="41"/>
      <c r="J223" s="56"/>
      <c r="K223" s="4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41"/>
      <c r="B224" s="47"/>
      <c r="C224" s="41"/>
      <c r="D224" s="2"/>
      <c r="E224" s="38"/>
      <c r="F224" s="42"/>
      <c r="G224" s="41"/>
      <c r="H224" s="41"/>
      <c r="I224" s="41"/>
      <c r="J224" s="56"/>
      <c r="K224" s="4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41"/>
      <c r="B225" s="47"/>
      <c r="C225" s="41"/>
      <c r="D225" s="2"/>
      <c r="E225" s="38"/>
      <c r="F225" s="42"/>
      <c r="G225" s="41"/>
      <c r="H225" s="41"/>
      <c r="I225" s="41"/>
      <c r="J225" s="56"/>
      <c r="K225" s="4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41"/>
      <c r="B226" s="47"/>
      <c r="C226" s="41"/>
      <c r="D226" s="2"/>
      <c r="E226" s="38"/>
      <c r="F226" s="42"/>
      <c r="G226" s="41"/>
      <c r="H226" s="41"/>
      <c r="I226" s="41"/>
      <c r="J226" s="56"/>
      <c r="K226" s="4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41"/>
      <c r="B227" s="47"/>
      <c r="C227" s="41"/>
      <c r="D227" s="2"/>
      <c r="E227" s="38"/>
      <c r="F227" s="42"/>
      <c r="G227" s="41"/>
      <c r="H227" s="41"/>
      <c r="I227" s="41"/>
      <c r="J227" s="56"/>
      <c r="K227" s="4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41"/>
      <c r="B228" s="47"/>
      <c r="C228" s="41"/>
      <c r="D228" s="2"/>
      <c r="E228" s="38"/>
      <c r="F228" s="42"/>
      <c r="G228" s="41"/>
      <c r="H228" s="41"/>
      <c r="I228" s="41"/>
      <c r="J228" s="56"/>
      <c r="K228" s="4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41"/>
      <c r="B229" s="47"/>
      <c r="C229" s="41"/>
      <c r="D229" s="2"/>
      <c r="E229" s="38"/>
      <c r="F229" s="42"/>
      <c r="G229" s="41"/>
      <c r="H229" s="41"/>
      <c r="I229" s="41"/>
      <c r="J229" s="56"/>
      <c r="K229" s="4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41"/>
      <c r="B230" s="47"/>
      <c r="C230" s="41"/>
      <c r="D230" s="2"/>
      <c r="E230" s="38"/>
      <c r="F230" s="42"/>
      <c r="G230" s="41"/>
      <c r="H230" s="41"/>
      <c r="I230" s="41"/>
      <c r="J230" s="56"/>
      <c r="K230" s="4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41"/>
      <c r="B231" s="47"/>
      <c r="C231" s="41"/>
      <c r="D231" s="2"/>
      <c r="E231" s="38"/>
      <c r="F231" s="42"/>
      <c r="G231" s="41"/>
      <c r="H231" s="41"/>
      <c r="I231" s="41"/>
      <c r="J231" s="56"/>
      <c r="K231" s="4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41"/>
      <c r="B232" s="47"/>
      <c r="C232" s="41"/>
      <c r="D232" s="2"/>
      <c r="E232" s="38"/>
      <c r="F232" s="42"/>
      <c r="G232" s="41"/>
      <c r="H232" s="41"/>
      <c r="I232" s="41"/>
      <c r="J232" s="56"/>
      <c r="K232" s="4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41"/>
      <c r="B233" s="47"/>
      <c r="C233" s="41"/>
      <c r="D233" s="2"/>
      <c r="E233" s="38"/>
      <c r="F233" s="42"/>
      <c r="G233" s="41"/>
      <c r="H233" s="41"/>
      <c r="I233" s="41"/>
      <c r="J233" s="56"/>
      <c r="K233" s="4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41"/>
      <c r="B234" s="47"/>
      <c r="C234" s="41"/>
      <c r="D234" s="2"/>
      <c r="E234" s="38"/>
      <c r="F234" s="42"/>
      <c r="G234" s="41"/>
      <c r="H234" s="41"/>
      <c r="I234" s="41"/>
      <c r="J234" s="56"/>
      <c r="K234" s="4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41"/>
      <c r="B235" s="47"/>
      <c r="C235" s="41"/>
      <c r="D235" s="2"/>
      <c r="E235" s="38"/>
      <c r="F235" s="42"/>
      <c r="G235" s="41"/>
      <c r="H235" s="41"/>
      <c r="I235" s="41"/>
      <c r="J235" s="56"/>
      <c r="K235" s="4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41"/>
      <c r="B236" s="47"/>
      <c r="C236" s="41"/>
      <c r="D236" s="2"/>
      <c r="E236" s="38"/>
      <c r="F236" s="42"/>
      <c r="G236" s="41"/>
      <c r="H236" s="41"/>
      <c r="I236" s="41"/>
      <c r="J236" s="56"/>
      <c r="K236" s="4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41"/>
      <c r="B237" s="47"/>
      <c r="C237" s="41"/>
      <c r="D237" s="2"/>
      <c r="E237" s="38"/>
      <c r="F237" s="42"/>
      <c r="G237" s="41"/>
      <c r="H237" s="41"/>
      <c r="I237" s="41"/>
      <c r="J237" s="56"/>
      <c r="K237" s="4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41"/>
      <c r="B238" s="47"/>
      <c r="C238" s="41"/>
      <c r="D238" s="2"/>
      <c r="E238" s="38"/>
      <c r="F238" s="42"/>
      <c r="G238" s="41"/>
      <c r="H238" s="41"/>
      <c r="I238" s="41"/>
      <c r="J238" s="56"/>
      <c r="K238" s="4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41"/>
      <c r="B239" s="47"/>
      <c r="C239" s="41"/>
      <c r="D239" s="2"/>
      <c r="E239" s="38"/>
      <c r="F239" s="42"/>
      <c r="G239" s="41"/>
      <c r="H239" s="41"/>
      <c r="I239" s="41"/>
      <c r="J239" s="56"/>
      <c r="K239" s="4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41"/>
      <c r="B240" s="47"/>
      <c r="C240" s="41"/>
      <c r="D240" s="2"/>
      <c r="E240" s="38"/>
      <c r="F240" s="42"/>
      <c r="G240" s="41"/>
      <c r="H240" s="41"/>
      <c r="I240" s="41"/>
      <c r="J240" s="56"/>
      <c r="K240" s="4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41"/>
      <c r="B241" s="47"/>
      <c r="C241" s="41"/>
      <c r="D241" s="2"/>
      <c r="E241" s="38"/>
      <c r="F241" s="42"/>
      <c r="G241" s="41"/>
      <c r="H241" s="41"/>
      <c r="I241" s="41"/>
      <c r="J241" s="56"/>
      <c r="K241" s="4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41"/>
      <c r="B242" s="47"/>
      <c r="C242" s="41"/>
      <c r="D242" s="2"/>
      <c r="E242" s="38"/>
      <c r="F242" s="42"/>
      <c r="G242" s="41"/>
      <c r="H242" s="41"/>
      <c r="I242" s="41"/>
      <c r="J242" s="56"/>
      <c r="K242" s="4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41"/>
      <c r="B243" s="47"/>
      <c r="C243" s="41"/>
      <c r="D243" s="2"/>
      <c r="E243" s="38"/>
      <c r="F243" s="42"/>
      <c r="G243" s="41"/>
      <c r="H243" s="41"/>
      <c r="I243" s="41"/>
      <c r="J243" s="56"/>
      <c r="K243" s="4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41"/>
      <c r="B244" s="47"/>
      <c r="C244" s="41"/>
      <c r="D244" s="2"/>
      <c r="E244" s="38"/>
      <c r="F244" s="42"/>
      <c r="G244" s="41"/>
      <c r="H244" s="41"/>
      <c r="I244" s="41"/>
      <c r="J244" s="56"/>
      <c r="K244" s="4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41"/>
      <c r="B245" s="47"/>
      <c r="C245" s="41"/>
      <c r="D245" s="2"/>
      <c r="E245" s="38"/>
      <c r="F245" s="42"/>
      <c r="G245" s="41"/>
      <c r="H245" s="41"/>
      <c r="I245" s="41"/>
      <c r="J245" s="56"/>
      <c r="K245" s="4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41"/>
      <c r="B246" s="47"/>
      <c r="C246" s="41"/>
      <c r="D246" s="2"/>
      <c r="E246" s="38"/>
      <c r="F246" s="42"/>
      <c r="G246" s="41"/>
      <c r="H246" s="41"/>
      <c r="I246" s="41"/>
      <c r="J246" s="56"/>
      <c r="K246" s="4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41"/>
      <c r="B247" s="47"/>
      <c r="C247" s="41"/>
      <c r="D247" s="2"/>
      <c r="E247" s="38"/>
      <c r="F247" s="42"/>
      <c r="G247" s="41"/>
      <c r="H247" s="41"/>
      <c r="I247" s="41"/>
      <c r="J247" s="56"/>
      <c r="K247" s="4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41"/>
      <c r="B248" s="47"/>
      <c r="C248" s="41"/>
      <c r="D248" s="2"/>
      <c r="E248" s="38"/>
      <c r="F248" s="42"/>
      <c r="G248" s="41"/>
      <c r="H248" s="41"/>
      <c r="I248" s="41"/>
      <c r="J248" s="56"/>
      <c r="K248" s="4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41"/>
      <c r="B249" s="47"/>
      <c r="C249" s="41"/>
      <c r="D249" s="2"/>
      <c r="E249" s="38"/>
      <c r="F249" s="42"/>
      <c r="G249" s="41"/>
      <c r="H249" s="41"/>
      <c r="I249" s="41"/>
      <c r="J249" s="56"/>
      <c r="K249" s="4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41"/>
      <c r="B250" s="47"/>
      <c r="C250" s="41"/>
      <c r="D250" s="2"/>
      <c r="E250" s="38"/>
      <c r="F250" s="42"/>
      <c r="G250" s="41"/>
      <c r="H250" s="41"/>
      <c r="I250" s="41"/>
      <c r="J250" s="56"/>
      <c r="K250" s="4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41"/>
      <c r="B251" s="47"/>
      <c r="C251" s="41"/>
      <c r="D251" s="2"/>
      <c r="E251" s="38"/>
      <c r="F251" s="42"/>
      <c r="G251" s="41"/>
      <c r="H251" s="41"/>
      <c r="I251" s="41"/>
      <c r="J251" s="56"/>
      <c r="K251" s="4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41"/>
      <c r="B252" s="47"/>
      <c r="C252" s="41"/>
      <c r="D252" s="2"/>
      <c r="E252" s="38"/>
      <c r="F252" s="42"/>
      <c r="G252" s="41"/>
      <c r="H252" s="41"/>
      <c r="I252" s="41"/>
      <c r="J252" s="56"/>
      <c r="K252" s="4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41"/>
      <c r="B253" s="47"/>
      <c r="C253" s="41"/>
      <c r="D253" s="2"/>
      <c r="E253" s="38"/>
      <c r="F253" s="42"/>
      <c r="G253" s="41"/>
      <c r="H253" s="41"/>
      <c r="I253" s="41"/>
      <c r="J253" s="56"/>
      <c r="K253" s="4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41"/>
      <c r="B254" s="47"/>
      <c r="C254" s="41"/>
      <c r="D254" s="2"/>
      <c r="E254" s="38"/>
      <c r="F254" s="42"/>
      <c r="G254" s="41"/>
      <c r="H254" s="41"/>
      <c r="I254" s="41"/>
      <c r="J254" s="56"/>
      <c r="K254" s="4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41"/>
      <c r="B255" s="47"/>
      <c r="C255" s="41"/>
      <c r="D255" s="2"/>
      <c r="E255" s="38"/>
      <c r="F255" s="42"/>
      <c r="G255" s="41"/>
      <c r="H255" s="41"/>
      <c r="I255" s="41"/>
      <c r="J255" s="56"/>
      <c r="K255" s="4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41"/>
      <c r="B256" s="47"/>
      <c r="C256" s="41"/>
      <c r="D256" s="2"/>
      <c r="E256" s="38"/>
      <c r="F256" s="42"/>
      <c r="G256" s="41"/>
      <c r="H256" s="41"/>
      <c r="I256" s="41"/>
      <c r="J256" s="56"/>
      <c r="K256" s="4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41"/>
      <c r="B257" s="47"/>
      <c r="C257" s="41"/>
      <c r="D257" s="2"/>
      <c r="E257" s="38"/>
      <c r="F257" s="42"/>
      <c r="G257" s="41"/>
      <c r="H257" s="41"/>
      <c r="I257" s="41"/>
      <c r="J257" s="56"/>
      <c r="K257" s="4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41"/>
      <c r="B258" s="47"/>
      <c r="C258" s="41"/>
      <c r="D258" s="2"/>
      <c r="E258" s="38"/>
      <c r="F258" s="42"/>
      <c r="G258" s="41"/>
      <c r="H258" s="41"/>
      <c r="I258" s="41"/>
      <c r="J258" s="56"/>
      <c r="K258" s="4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41"/>
      <c r="B259" s="47"/>
      <c r="C259" s="41"/>
      <c r="D259" s="2"/>
      <c r="E259" s="38"/>
      <c r="F259" s="42"/>
      <c r="G259" s="41"/>
      <c r="H259" s="41"/>
      <c r="I259" s="41"/>
      <c r="J259" s="56"/>
      <c r="K259" s="4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41"/>
      <c r="B260" s="47"/>
      <c r="C260" s="41"/>
      <c r="D260" s="2"/>
      <c r="E260" s="38"/>
      <c r="F260" s="42"/>
      <c r="G260" s="41"/>
      <c r="H260" s="41"/>
      <c r="I260" s="41"/>
      <c r="J260" s="56"/>
      <c r="K260" s="4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41"/>
      <c r="B261" s="47"/>
      <c r="C261" s="41"/>
      <c r="D261" s="2"/>
      <c r="E261" s="38"/>
      <c r="F261" s="42"/>
      <c r="G261" s="41"/>
      <c r="H261" s="41"/>
      <c r="I261" s="41"/>
      <c r="J261" s="56"/>
      <c r="K261" s="4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41"/>
      <c r="B262" s="47"/>
      <c r="C262" s="41"/>
      <c r="D262" s="2"/>
      <c r="E262" s="38"/>
      <c r="F262" s="42"/>
      <c r="G262" s="41"/>
      <c r="H262" s="41"/>
      <c r="I262" s="41"/>
      <c r="J262" s="56"/>
      <c r="K262" s="4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41"/>
      <c r="B263" s="47"/>
      <c r="C263" s="41"/>
      <c r="D263" s="2"/>
      <c r="E263" s="38"/>
      <c r="F263" s="42"/>
      <c r="G263" s="41"/>
      <c r="H263" s="41"/>
      <c r="I263" s="41"/>
      <c r="J263" s="56"/>
      <c r="K263" s="4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41"/>
      <c r="B264" s="47"/>
      <c r="C264" s="41"/>
      <c r="D264" s="2"/>
      <c r="E264" s="38"/>
      <c r="F264" s="42"/>
      <c r="G264" s="41"/>
      <c r="H264" s="41"/>
      <c r="I264" s="41"/>
      <c r="J264" s="56"/>
      <c r="K264" s="4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41"/>
      <c r="B265" s="47"/>
      <c r="C265" s="41"/>
      <c r="D265" s="2"/>
      <c r="E265" s="38"/>
      <c r="F265" s="42"/>
      <c r="G265" s="41"/>
      <c r="H265" s="41"/>
      <c r="I265" s="41"/>
      <c r="J265" s="56"/>
      <c r="K265" s="4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41"/>
      <c r="B266" s="47"/>
      <c r="C266" s="41"/>
      <c r="D266" s="2"/>
      <c r="E266" s="38"/>
      <c r="F266" s="42"/>
      <c r="G266" s="41"/>
      <c r="H266" s="41"/>
      <c r="I266" s="41"/>
      <c r="J266" s="56"/>
      <c r="K266" s="4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41"/>
      <c r="B267" s="47"/>
      <c r="C267" s="41"/>
      <c r="D267" s="2"/>
      <c r="E267" s="38"/>
      <c r="F267" s="42"/>
      <c r="G267" s="41"/>
      <c r="H267" s="41"/>
      <c r="I267" s="41"/>
      <c r="J267" s="56"/>
      <c r="K267" s="4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41"/>
      <c r="B268" s="47"/>
      <c r="C268" s="41"/>
      <c r="D268" s="2"/>
      <c r="E268" s="38"/>
      <c r="F268" s="42"/>
      <c r="G268" s="41"/>
      <c r="H268" s="41"/>
      <c r="I268" s="41"/>
      <c r="J268" s="56"/>
      <c r="K268" s="4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41"/>
      <c r="B269" s="47"/>
      <c r="C269" s="41"/>
      <c r="D269" s="2"/>
      <c r="E269" s="38"/>
      <c r="F269" s="42"/>
      <c r="G269" s="41"/>
      <c r="H269" s="41"/>
      <c r="I269" s="41"/>
      <c r="J269" s="56"/>
      <c r="K269" s="4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41"/>
      <c r="B270" s="47"/>
      <c r="C270" s="41"/>
      <c r="D270" s="2"/>
      <c r="E270" s="38"/>
      <c r="F270" s="42"/>
      <c r="G270" s="41"/>
      <c r="H270" s="41"/>
      <c r="I270" s="41"/>
      <c r="J270" s="56"/>
      <c r="K270" s="4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41"/>
      <c r="B271" s="47"/>
      <c r="C271" s="41"/>
      <c r="D271" s="2"/>
      <c r="E271" s="38"/>
      <c r="F271" s="42"/>
      <c r="G271" s="41"/>
      <c r="H271" s="41"/>
      <c r="I271" s="41"/>
      <c r="J271" s="56"/>
      <c r="K271" s="4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41"/>
      <c r="B272" s="47"/>
      <c r="C272" s="41"/>
      <c r="D272" s="2"/>
      <c r="E272" s="38"/>
      <c r="F272" s="42"/>
      <c r="G272" s="41"/>
      <c r="H272" s="41"/>
      <c r="I272" s="41"/>
      <c r="J272" s="56"/>
      <c r="K272" s="4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41"/>
      <c r="B273" s="47"/>
      <c r="C273" s="41"/>
      <c r="D273" s="2"/>
      <c r="E273" s="38"/>
      <c r="F273" s="42"/>
      <c r="G273" s="41"/>
      <c r="H273" s="41"/>
      <c r="I273" s="41"/>
      <c r="J273" s="56"/>
      <c r="K273" s="4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41"/>
      <c r="B274" s="47"/>
      <c r="C274" s="41"/>
      <c r="D274" s="2"/>
      <c r="E274" s="38"/>
      <c r="F274" s="42"/>
      <c r="G274" s="41"/>
      <c r="H274" s="41"/>
      <c r="I274" s="41"/>
      <c r="J274" s="56"/>
      <c r="K274" s="4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41"/>
      <c r="B275" s="47"/>
      <c r="C275" s="41"/>
      <c r="D275" s="2"/>
      <c r="E275" s="38"/>
      <c r="F275" s="42"/>
      <c r="G275" s="41"/>
      <c r="H275" s="41"/>
      <c r="I275" s="41"/>
      <c r="J275" s="56"/>
      <c r="K275" s="4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41"/>
      <c r="B276" s="47"/>
      <c r="C276" s="41"/>
      <c r="D276" s="2"/>
      <c r="E276" s="38"/>
      <c r="F276" s="42"/>
      <c r="G276" s="41"/>
      <c r="H276" s="41"/>
      <c r="I276" s="41"/>
      <c r="J276" s="56"/>
      <c r="K276" s="4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41"/>
      <c r="B277" s="47"/>
      <c r="C277" s="41"/>
      <c r="D277" s="2"/>
      <c r="E277" s="38"/>
      <c r="F277" s="42"/>
      <c r="G277" s="41"/>
      <c r="H277" s="41"/>
      <c r="I277" s="41"/>
      <c r="J277" s="56"/>
      <c r="K277" s="4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41"/>
      <c r="B278" s="47"/>
      <c r="C278" s="41"/>
      <c r="D278" s="2"/>
      <c r="E278" s="38"/>
      <c r="F278" s="42"/>
      <c r="G278" s="41"/>
      <c r="H278" s="41"/>
      <c r="I278" s="41"/>
      <c r="J278" s="56"/>
      <c r="K278" s="4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41"/>
      <c r="B279" s="47"/>
      <c r="C279" s="41"/>
      <c r="D279" s="2"/>
      <c r="E279" s="38"/>
      <c r="F279" s="42"/>
      <c r="G279" s="41"/>
      <c r="H279" s="41"/>
      <c r="I279" s="41"/>
      <c r="J279" s="56"/>
      <c r="K279" s="4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41"/>
      <c r="B280" s="47"/>
      <c r="C280" s="41"/>
      <c r="D280" s="2"/>
      <c r="E280" s="38"/>
      <c r="F280" s="42"/>
      <c r="G280" s="41"/>
      <c r="H280" s="41"/>
      <c r="I280" s="41"/>
      <c r="J280" s="56"/>
      <c r="K280" s="4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41"/>
      <c r="B281" s="47"/>
      <c r="C281" s="41"/>
      <c r="D281" s="2"/>
      <c r="E281" s="38"/>
      <c r="F281" s="42"/>
      <c r="G281" s="41"/>
      <c r="H281" s="41"/>
      <c r="I281" s="41"/>
      <c r="J281" s="56"/>
      <c r="K281" s="4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41"/>
      <c r="B282" s="47"/>
      <c r="C282" s="41"/>
      <c r="D282" s="2"/>
      <c r="E282" s="38"/>
      <c r="F282" s="42"/>
      <c r="G282" s="41"/>
      <c r="H282" s="41"/>
      <c r="I282" s="41"/>
      <c r="J282" s="56"/>
      <c r="K282" s="4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41"/>
      <c r="B283" s="47"/>
      <c r="C283" s="41"/>
      <c r="D283" s="2"/>
      <c r="E283" s="38"/>
      <c r="F283" s="42"/>
      <c r="G283" s="41"/>
      <c r="H283" s="41"/>
      <c r="I283" s="41"/>
      <c r="J283" s="56"/>
      <c r="K283" s="4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41"/>
      <c r="B284" s="47"/>
      <c r="C284" s="41"/>
      <c r="D284" s="2"/>
      <c r="E284" s="38"/>
      <c r="F284" s="42"/>
      <c r="G284" s="41"/>
      <c r="H284" s="41"/>
      <c r="I284" s="41"/>
      <c r="J284" s="56"/>
      <c r="K284" s="4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41"/>
      <c r="B285" s="47"/>
      <c r="C285" s="41"/>
      <c r="D285" s="2"/>
      <c r="E285" s="38"/>
      <c r="F285" s="42"/>
      <c r="G285" s="41"/>
      <c r="H285" s="41"/>
      <c r="I285" s="41"/>
      <c r="J285" s="56"/>
      <c r="K285" s="4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41"/>
      <c r="B286" s="47"/>
      <c r="C286" s="41"/>
      <c r="D286" s="2"/>
      <c r="E286" s="38"/>
      <c r="F286" s="42"/>
      <c r="G286" s="41"/>
      <c r="H286" s="41"/>
      <c r="I286" s="41"/>
      <c r="J286" s="56"/>
      <c r="K286" s="4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41"/>
      <c r="B287" s="47"/>
      <c r="C287" s="41"/>
      <c r="D287" s="2"/>
      <c r="E287" s="38"/>
      <c r="F287" s="42"/>
      <c r="G287" s="41"/>
      <c r="H287" s="41"/>
      <c r="I287" s="41"/>
      <c r="J287" s="56"/>
      <c r="K287" s="4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41"/>
      <c r="B288" s="47"/>
      <c r="C288" s="41"/>
      <c r="D288" s="2"/>
      <c r="E288" s="38"/>
      <c r="F288" s="42"/>
      <c r="G288" s="41"/>
      <c r="H288" s="41"/>
      <c r="I288" s="41"/>
      <c r="J288" s="56"/>
      <c r="K288" s="4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41"/>
      <c r="B289" s="47"/>
      <c r="C289" s="41"/>
      <c r="D289" s="2"/>
      <c r="E289" s="38"/>
      <c r="F289" s="42"/>
      <c r="G289" s="41"/>
      <c r="H289" s="41"/>
      <c r="I289" s="41"/>
      <c r="J289" s="56"/>
      <c r="K289" s="4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41"/>
      <c r="B290" s="47"/>
      <c r="C290" s="41"/>
      <c r="D290" s="2"/>
      <c r="E290" s="38"/>
      <c r="F290" s="42"/>
      <c r="G290" s="41"/>
      <c r="H290" s="41"/>
      <c r="I290" s="41"/>
      <c r="J290" s="56"/>
      <c r="K290" s="4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41"/>
      <c r="B291" s="47"/>
      <c r="C291" s="41"/>
      <c r="D291" s="2"/>
      <c r="E291" s="38"/>
      <c r="F291" s="42"/>
      <c r="G291" s="41"/>
      <c r="H291" s="41"/>
      <c r="I291" s="41"/>
      <c r="J291" s="56"/>
      <c r="K291" s="4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41"/>
      <c r="B292" s="47"/>
      <c r="C292" s="41"/>
      <c r="D292" s="2"/>
      <c r="E292" s="38"/>
      <c r="F292" s="42"/>
      <c r="G292" s="41"/>
      <c r="H292" s="41"/>
      <c r="I292" s="41"/>
      <c r="J292" s="56"/>
      <c r="K292" s="4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41"/>
      <c r="B293" s="47"/>
      <c r="C293" s="41"/>
      <c r="D293" s="2"/>
      <c r="E293" s="38"/>
      <c r="F293" s="42"/>
      <c r="G293" s="41"/>
      <c r="H293" s="41"/>
      <c r="I293" s="41"/>
      <c r="J293" s="56"/>
      <c r="K293" s="4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41"/>
      <c r="B294" s="47"/>
      <c r="C294" s="41"/>
      <c r="D294" s="2"/>
      <c r="E294" s="38"/>
      <c r="F294" s="42"/>
      <c r="G294" s="41"/>
      <c r="H294" s="41"/>
      <c r="I294" s="41"/>
      <c r="J294" s="56"/>
      <c r="K294" s="4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41"/>
      <c r="B295" s="47"/>
      <c r="C295" s="41"/>
      <c r="D295" s="2"/>
      <c r="E295" s="38"/>
      <c r="F295" s="42"/>
      <c r="G295" s="41"/>
      <c r="H295" s="41"/>
      <c r="I295" s="41"/>
      <c r="J295" s="56"/>
      <c r="K295" s="4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41"/>
      <c r="B296" s="47"/>
      <c r="C296" s="41"/>
      <c r="D296" s="2"/>
      <c r="E296" s="38"/>
      <c r="F296" s="42"/>
      <c r="G296" s="41"/>
      <c r="H296" s="41"/>
      <c r="I296" s="41"/>
      <c r="J296" s="56"/>
      <c r="K296" s="4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41"/>
      <c r="B297" s="47"/>
      <c r="C297" s="41"/>
      <c r="D297" s="2"/>
      <c r="E297" s="38"/>
      <c r="F297" s="42"/>
      <c r="G297" s="41"/>
      <c r="H297" s="41"/>
      <c r="I297" s="41"/>
      <c r="J297" s="56"/>
      <c r="K297" s="4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41"/>
      <c r="B298" s="47"/>
      <c r="C298" s="41"/>
      <c r="D298" s="2"/>
      <c r="E298" s="38"/>
      <c r="F298" s="42"/>
      <c r="G298" s="41"/>
      <c r="H298" s="41"/>
      <c r="I298" s="41"/>
      <c r="J298" s="56"/>
      <c r="K298" s="4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41"/>
      <c r="B299" s="47"/>
      <c r="C299" s="41"/>
      <c r="D299" s="2"/>
      <c r="E299" s="38"/>
      <c r="F299" s="42"/>
      <c r="G299" s="41"/>
      <c r="H299" s="41"/>
      <c r="I299" s="41"/>
      <c r="J299" s="56"/>
      <c r="K299" s="4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41"/>
      <c r="B300" s="47"/>
      <c r="C300" s="41"/>
      <c r="D300" s="2"/>
      <c r="E300" s="38"/>
      <c r="F300" s="42"/>
      <c r="G300" s="41"/>
      <c r="H300" s="41"/>
      <c r="I300" s="41"/>
      <c r="J300" s="56"/>
      <c r="K300" s="4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41"/>
      <c r="B301" s="47"/>
      <c r="C301" s="41"/>
      <c r="D301" s="2"/>
      <c r="E301" s="38"/>
      <c r="F301" s="42"/>
      <c r="G301" s="41"/>
      <c r="H301" s="41"/>
      <c r="I301" s="41"/>
      <c r="J301" s="56"/>
      <c r="K301" s="4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41"/>
      <c r="B302" s="47"/>
      <c r="C302" s="41"/>
      <c r="D302" s="2"/>
      <c r="E302" s="38"/>
      <c r="F302" s="42"/>
      <c r="G302" s="41"/>
      <c r="H302" s="41"/>
      <c r="I302" s="41"/>
      <c r="J302" s="56"/>
      <c r="K302" s="4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41"/>
      <c r="B303" s="47"/>
      <c r="C303" s="41"/>
      <c r="D303" s="2"/>
      <c r="E303" s="38"/>
      <c r="F303" s="42"/>
      <c r="G303" s="41"/>
      <c r="H303" s="41"/>
      <c r="I303" s="41"/>
      <c r="J303" s="56"/>
      <c r="K303" s="4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41"/>
      <c r="B304" s="47"/>
      <c r="C304" s="41"/>
      <c r="D304" s="2"/>
      <c r="E304" s="38"/>
      <c r="F304" s="42"/>
      <c r="G304" s="41"/>
      <c r="H304" s="41"/>
      <c r="I304" s="41"/>
      <c r="J304" s="56"/>
      <c r="K304" s="4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41"/>
      <c r="B305" s="47"/>
      <c r="C305" s="41"/>
      <c r="D305" s="2"/>
      <c r="E305" s="38"/>
      <c r="F305" s="42"/>
      <c r="G305" s="41"/>
      <c r="H305" s="41"/>
      <c r="I305" s="41"/>
      <c r="J305" s="56"/>
      <c r="K305" s="4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41"/>
      <c r="B306" s="47"/>
      <c r="C306" s="41"/>
      <c r="D306" s="2"/>
      <c r="E306" s="38"/>
      <c r="F306" s="42"/>
      <c r="G306" s="41"/>
      <c r="H306" s="41"/>
      <c r="I306" s="41"/>
      <c r="J306" s="56"/>
      <c r="K306" s="4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41"/>
      <c r="B307" s="47"/>
      <c r="C307" s="41"/>
      <c r="D307" s="2"/>
      <c r="E307" s="38"/>
      <c r="F307" s="42"/>
      <c r="G307" s="41"/>
      <c r="H307" s="41"/>
      <c r="I307" s="41"/>
      <c r="J307" s="56"/>
      <c r="K307" s="4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41"/>
      <c r="B308" s="47"/>
      <c r="C308" s="41"/>
      <c r="D308" s="2"/>
      <c r="E308" s="38"/>
      <c r="F308" s="42"/>
      <c r="G308" s="41"/>
      <c r="H308" s="41"/>
      <c r="I308" s="41"/>
      <c r="J308" s="56"/>
      <c r="K308" s="4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41"/>
      <c r="B309" s="47"/>
      <c r="C309" s="41"/>
      <c r="D309" s="2"/>
      <c r="E309" s="38"/>
      <c r="F309" s="42"/>
      <c r="G309" s="41"/>
      <c r="H309" s="41"/>
      <c r="I309" s="41"/>
      <c r="J309" s="56"/>
      <c r="K309" s="4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41"/>
      <c r="B310" s="47"/>
      <c r="C310" s="41"/>
      <c r="D310" s="2"/>
      <c r="E310" s="38"/>
      <c r="F310" s="42"/>
      <c r="G310" s="41"/>
      <c r="H310" s="41"/>
      <c r="I310" s="41"/>
      <c r="J310" s="56"/>
      <c r="K310" s="4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41"/>
      <c r="B311" s="47"/>
      <c r="C311" s="41"/>
      <c r="D311" s="2"/>
      <c r="E311" s="38"/>
      <c r="F311" s="42"/>
      <c r="G311" s="41"/>
      <c r="H311" s="41"/>
      <c r="I311" s="41"/>
      <c r="J311" s="56"/>
      <c r="K311" s="4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41"/>
      <c r="B312" s="47"/>
      <c r="C312" s="41"/>
      <c r="D312" s="2"/>
      <c r="E312" s="38"/>
      <c r="F312" s="42"/>
      <c r="G312" s="41"/>
      <c r="H312" s="41"/>
      <c r="I312" s="41"/>
      <c r="J312" s="56"/>
      <c r="K312" s="4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41"/>
      <c r="B313" s="47"/>
      <c r="C313" s="41"/>
      <c r="D313" s="2"/>
      <c r="E313" s="38"/>
      <c r="F313" s="42"/>
      <c r="G313" s="41"/>
      <c r="H313" s="41"/>
      <c r="I313" s="41"/>
      <c r="J313" s="56"/>
      <c r="K313" s="4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41"/>
      <c r="B314" s="47"/>
      <c r="C314" s="41"/>
      <c r="D314" s="2"/>
      <c r="E314" s="38"/>
      <c r="F314" s="42"/>
      <c r="G314" s="41"/>
      <c r="H314" s="41"/>
      <c r="I314" s="41"/>
      <c r="J314" s="56"/>
      <c r="K314" s="4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41"/>
      <c r="B315" s="47"/>
      <c r="C315" s="41"/>
      <c r="D315" s="2"/>
      <c r="E315" s="38"/>
      <c r="F315" s="42"/>
      <c r="G315" s="41"/>
      <c r="H315" s="41"/>
      <c r="I315" s="41"/>
      <c r="J315" s="56"/>
      <c r="K315" s="4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41"/>
      <c r="B316" s="47"/>
      <c r="C316" s="41"/>
      <c r="D316" s="2"/>
      <c r="E316" s="38"/>
      <c r="F316" s="42"/>
      <c r="G316" s="41"/>
      <c r="H316" s="41"/>
      <c r="I316" s="41"/>
      <c r="J316" s="56"/>
      <c r="K316" s="4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41"/>
      <c r="B317" s="47"/>
      <c r="C317" s="41"/>
      <c r="D317" s="2"/>
      <c r="E317" s="38"/>
      <c r="F317" s="42"/>
      <c r="G317" s="41"/>
      <c r="H317" s="41"/>
      <c r="I317" s="41"/>
      <c r="J317" s="56"/>
      <c r="K317" s="4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41"/>
      <c r="B318" s="47"/>
      <c r="C318" s="41"/>
      <c r="D318" s="2"/>
      <c r="E318" s="38"/>
      <c r="F318" s="42"/>
      <c r="G318" s="41"/>
      <c r="H318" s="41"/>
      <c r="I318" s="41"/>
      <c r="J318" s="56"/>
      <c r="K318" s="4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41"/>
      <c r="B319" s="47"/>
      <c r="C319" s="41"/>
      <c r="D319" s="2"/>
      <c r="E319" s="38"/>
      <c r="F319" s="42"/>
      <c r="G319" s="41"/>
      <c r="H319" s="41"/>
      <c r="I319" s="41"/>
      <c r="J319" s="56"/>
      <c r="K319" s="4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41"/>
      <c r="B320" s="47"/>
      <c r="C320" s="41"/>
      <c r="D320" s="2"/>
      <c r="E320" s="38"/>
      <c r="F320" s="42"/>
      <c r="G320" s="41"/>
      <c r="H320" s="41"/>
      <c r="I320" s="41"/>
      <c r="J320" s="56"/>
      <c r="K320" s="4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41"/>
      <c r="B321" s="47"/>
      <c r="C321" s="41"/>
      <c r="D321" s="2"/>
      <c r="E321" s="38"/>
      <c r="F321" s="42"/>
      <c r="G321" s="41"/>
      <c r="H321" s="41"/>
      <c r="I321" s="41"/>
      <c r="J321" s="56"/>
      <c r="K321" s="4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41"/>
      <c r="B322" s="47"/>
      <c r="C322" s="41"/>
      <c r="D322" s="2"/>
      <c r="E322" s="38"/>
      <c r="F322" s="42"/>
      <c r="G322" s="41"/>
      <c r="H322" s="41"/>
      <c r="I322" s="41"/>
      <c r="J322" s="56"/>
      <c r="K322" s="4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41"/>
      <c r="B323" s="47"/>
      <c r="C323" s="41"/>
      <c r="D323" s="2"/>
      <c r="E323" s="38"/>
      <c r="F323" s="42"/>
      <c r="G323" s="41"/>
      <c r="H323" s="41"/>
      <c r="I323" s="41"/>
      <c r="J323" s="56"/>
      <c r="K323" s="4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41"/>
      <c r="B324" s="47"/>
      <c r="C324" s="41"/>
      <c r="D324" s="2"/>
      <c r="E324" s="38"/>
      <c r="F324" s="42"/>
      <c r="G324" s="41"/>
      <c r="H324" s="41"/>
      <c r="I324" s="41"/>
      <c r="J324" s="56"/>
      <c r="K324" s="4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41"/>
      <c r="B325" s="47"/>
      <c r="C325" s="41"/>
      <c r="D325" s="2"/>
      <c r="E325" s="38"/>
      <c r="F325" s="42"/>
      <c r="G325" s="41"/>
      <c r="H325" s="41"/>
      <c r="I325" s="41"/>
      <c r="J325" s="56"/>
      <c r="K325" s="4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41"/>
      <c r="B326" s="47"/>
      <c r="C326" s="41"/>
      <c r="D326" s="2"/>
      <c r="E326" s="38"/>
      <c r="F326" s="42"/>
      <c r="G326" s="41"/>
      <c r="H326" s="41"/>
      <c r="I326" s="41"/>
      <c r="J326" s="56"/>
      <c r="K326" s="4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41"/>
      <c r="B327" s="47"/>
      <c r="C327" s="41"/>
      <c r="D327" s="2"/>
      <c r="E327" s="38"/>
      <c r="F327" s="42"/>
      <c r="G327" s="41"/>
      <c r="H327" s="41"/>
      <c r="I327" s="41"/>
      <c r="J327" s="56"/>
      <c r="K327" s="4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41"/>
      <c r="B328" s="47"/>
      <c r="C328" s="41"/>
      <c r="D328" s="2"/>
      <c r="E328" s="38"/>
      <c r="F328" s="42"/>
      <c r="G328" s="41"/>
      <c r="H328" s="41"/>
      <c r="I328" s="41"/>
      <c r="J328" s="56"/>
      <c r="K328" s="4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41"/>
      <c r="B329" s="47"/>
      <c r="C329" s="41"/>
      <c r="D329" s="2"/>
      <c r="E329" s="38"/>
      <c r="F329" s="42"/>
      <c r="G329" s="41"/>
      <c r="H329" s="41"/>
      <c r="I329" s="41"/>
      <c r="J329" s="56"/>
      <c r="K329" s="4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41"/>
      <c r="B330" s="47"/>
      <c r="C330" s="41"/>
      <c r="D330" s="2"/>
      <c r="E330" s="38"/>
      <c r="F330" s="42"/>
      <c r="G330" s="41"/>
      <c r="H330" s="41"/>
      <c r="I330" s="41"/>
      <c r="J330" s="56"/>
      <c r="K330" s="4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41"/>
      <c r="B331" s="47"/>
      <c r="C331" s="41"/>
      <c r="D331" s="2"/>
      <c r="E331" s="38"/>
      <c r="F331" s="42"/>
      <c r="G331" s="41"/>
      <c r="H331" s="41"/>
      <c r="I331" s="41"/>
      <c r="J331" s="56"/>
      <c r="K331" s="4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41"/>
      <c r="B332" s="47"/>
      <c r="C332" s="41"/>
      <c r="D332" s="2"/>
      <c r="E332" s="38"/>
      <c r="F332" s="42"/>
      <c r="G332" s="41"/>
      <c r="H332" s="41"/>
      <c r="I332" s="41"/>
      <c r="J332" s="56"/>
      <c r="K332" s="4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41"/>
      <c r="B333" s="47"/>
      <c r="C333" s="41"/>
      <c r="D333" s="2"/>
      <c r="E333" s="38"/>
      <c r="F333" s="42"/>
      <c r="G333" s="41"/>
      <c r="H333" s="41"/>
      <c r="I333" s="41"/>
      <c r="J333" s="56"/>
      <c r="K333" s="4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41"/>
      <c r="B334" s="47"/>
      <c r="C334" s="41"/>
      <c r="D334" s="2"/>
      <c r="E334" s="38"/>
      <c r="F334" s="42"/>
      <c r="G334" s="41"/>
      <c r="H334" s="41"/>
      <c r="I334" s="41"/>
      <c r="J334" s="56"/>
      <c r="K334" s="4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41"/>
      <c r="B335" s="47"/>
      <c r="C335" s="41"/>
      <c r="D335" s="2"/>
      <c r="E335" s="38"/>
      <c r="F335" s="42"/>
      <c r="G335" s="41"/>
      <c r="H335" s="41"/>
      <c r="I335" s="41"/>
      <c r="J335" s="56"/>
      <c r="K335" s="4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41"/>
      <c r="B336" s="47"/>
      <c r="C336" s="41"/>
      <c r="D336" s="2"/>
      <c r="E336" s="38"/>
      <c r="F336" s="42"/>
      <c r="G336" s="41"/>
      <c r="H336" s="41"/>
      <c r="I336" s="41"/>
      <c r="J336" s="56"/>
      <c r="K336" s="4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41"/>
      <c r="B337" s="47"/>
      <c r="C337" s="41"/>
      <c r="D337" s="2"/>
      <c r="E337" s="38"/>
      <c r="F337" s="42"/>
      <c r="G337" s="41"/>
      <c r="H337" s="41"/>
      <c r="I337" s="41"/>
      <c r="J337" s="56"/>
      <c r="K337" s="4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41"/>
      <c r="B338" s="47"/>
      <c r="C338" s="41"/>
      <c r="D338" s="2"/>
      <c r="E338" s="38"/>
      <c r="F338" s="42"/>
      <c r="G338" s="41"/>
      <c r="H338" s="41"/>
      <c r="I338" s="41"/>
      <c r="J338" s="56"/>
      <c r="K338" s="4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41"/>
      <c r="B339" s="47"/>
      <c r="C339" s="41"/>
      <c r="D339" s="2"/>
      <c r="E339" s="38"/>
      <c r="F339" s="42"/>
      <c r="G339" s="41"/>
      <c r="H339" s="41"/>
      <c r="I339" s="41"/>
      <c r="J339" s="56"/>
      <c r="K339" s="4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41"/>
      <c r="B340" s="47"/>
      <c r="C340" s="41"/>
      <c r="D340" s="2"/>
      <c r="E340" s="38"/>
      <c r="F340" s="42"/>
      <c r="G340" s="41"/>
      <c r="H340" s="41"/>
      <c r="I340" s="41"/>
      <c r="J340" s="56"/>
      <c r="K340" s="4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41"/>
      <c r="B341" s="47"/>
      <c r="C341" s="41"/>
      <c r="D341" s="2"/>
      <c r="E341" s="38"/>
      <c r="F341" s="42"/>
      <c r="G341" s="41"/>
      <c r="H341" s="41"/>
      <c r="I341" s="41"/>
      <c r="J341" s="56"/>
      <c r="K341" s="4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41"/>
      <c r="B342" s="47"/>
      <c r="C342" s="41"/>
      <c r="D342" s="2"/>
      <c r="E342" s="38"/>
      <c r="F342" s="42"/>
      <c r="G342" s="41"/>
      <c r="H342" s="41"/>
      <c r="I342" s="41"/>
      <c r="J342" s="56"/>
      <c r="K342" s="4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41"/>
      <c r="B343" s="47"/>
      <c r="C343" s="41"/>
      <c r="D343" s="2"/>
      <c r="E343" s="38"/>
      <c r="F343" s="42"/>
      <c r="G343" s="41"/>
      <c r="H343" s="41"/>
      <c r="I343" s="41"/>
      <c r="J343" s="56"/>
      <c r="K343" s="4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41"/>
      <c r="B344" s="47"/>
      <c r="C344" s="41"/>
      <c r="D344" s="2"/>
      <c r="E344" s="38"/>
      <c r="F344" s="42"/>
      <c r="G344" s="41"/>
      <c r="H344" s="41"/>
      <c r="I344" s="41"/>
      <c r="J344" s="56"/>
      <c r="K344" s="4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41"/>
      <c r="B345" s="47"/>
      <c r="C345" s="41"/>
      <c r="D345" s="2"/>
      <c r="E345" s="38"/>
      <c r="F345" s="42"/>
      <c r="G345" s="41"/>
      <c r="H345" s="41"/>
      <c r="I345" s="41"/>
      <c r="J345" s="56"/>
      <c r="K345" s="4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41"/>
      <c r="B346" s="47"/>
      <c r="C346" s="41"/>
      <c r="D346" s="2"/>
      <c r="E346" s="38"/>
      <c r="F346" s="42"/>
      <c r="G346" s="41"/>
      <c r="H346" s="41"/>
      <c r="I346" s="41"/>
      <c r="J346" s="56"/>
      <c r="K346" s="4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41"/>
      <c r="B347" s="47"/>
      <c r="C347" s="41"/>
      <c r="D347" s="2"/>
      <c r="E347" s="38"/>
      <c r="F347" s="42"/>
      <c r="G347" s="41"/>
      <c r="H347" s="41"/>
      <c r="I347" s="41"/>
      <c r="J347" s="56"/>
      <c r="K347" s="4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41"/>
      <c r="B348" s="47"/>
      <c r="C348" s="41"/>
      <c r="D348" s="2"/>
      <c r="E348" s="38"/>
      <c r="F348" s="42"/>
      <c r="G348" s="41"/>
      <c r="H348" s="41"/>
      <c r="I348" s="41"/>
      <c r="J348" s="56"/>
      <c r="K348" s="4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41"/>
      <c r="B349" s="47"/>
      <c r="C349" s="41"/>
      <c r="D349" s="2"/>
      <c r="E349" s="38"/>
      <c r="F349" s="42"/>
      <c r="G349" s="41"/>
      <c r="H349" s="41"/>
      <c r="I349" s="41"/>
      <c r="J349" s="56"/>
      <c r="K349" s="4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41"/>
      <c r="B350" s="47"/>
      <c r="C350" s="41"/>
      <c r="D350" s="2"/>
      <c r="E350" s="38"/>
      <c r="F350" s="42"/>
      <c r="G350" s="41"/>
      <c r="H350" s="41"/>
      <c r="I350" s="41"/>
      <c r="J350" s="56"/>
      <c r="K350" s="4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41"/>
      <c r="B351" s="47"/>
      <c r="C351" s="41"/>
      <c r="D351" s="2"/>
      <c r="E351" s="38"/>
      <c r="F351" s="42"/>
      <c r="G351" s="41"/>
      <c r="H351" s="41"/>
      <c r="I351" s="41"/>
      <c r="J351" s="56"/>
      <c r="K351" s="4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41"/>
      <c r="B352" s="47"/>
      <c r="C352" s="41"/>
      <c r="D352" s="2"/>
      <c r="E352" s="38"/>
      <c r="F352" s="42"/>
      <c r="G352" s="41"/>
      <c r="H352" s="41"/>
      <c r="I352" s="41"/>
      <c r="J352" s="56"/>
      <c r="K352" s="4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41"/>
      <c r="B353" s="47"/>
      <c r="C353" s="41"/>
      <c r="D353" s="2"/>
      <c r="E353" s="38"/>
      <c r="F353" s="42"/>
      <c r="G353" s="41"/>
      <c r="H353" s="41"/>
      <c r="I353" s="41"/>
      <c r="J353" s="56"/>
      <c r="K353" s="4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41"/>
      <c r="B354" s="47"/>
      <c r="C354" s="41"/>
      <c r="D354" s="2"/>
      <c r="E354" s="38"/>
      <c r="F354" s="42"/>
      <c r="G354" s="41"/>
      <c r="H354" s="41"/>
      <c r="I354" s="41"/>
      <c r="J354" s="56"/>
      <c r="K354" s="4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41"/>
      <c r="B355" s="47"/>
      <c r="C355" s="41"/>
      <c r="D355" s="2"/>
      <c r="E355" s="38"/>
      <c r="F355" s="42"/>
      <c r="G355" s="41"/>
      <c r="H355" s="41"/>
      <c r="I355" s="41"/>
      <c r="J355" s="56"/>
      <c r="K355" s="4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41"/>
      <c r="B356" s="47"/>
      <c r="C356" s="41"/>
      <c r="D356" s="2"/>
      <c r="E356" s="38"/>
      <c r="F356" s="42"/>
      <c r="G356" s="41"/>
      <c r="H356" s="41"/>
      <c r="I356" s="41"/>
      <c r="J356" s="56"/>
      <c r="K356" s="4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41"/>
      <c r="B357" s="47"/>
      <c r="C357" s="41"/>
      <c r="D357" s="2"/>
      <c r="E357" s="38"/>
      <c r="F357" s="42"/>
      <c r="G357" s="41"/>
      <c r="H357" s="41"/>
      <c r="I357" s="41"/>
      <c r="J357" s="56"/>
      <c r="K357" s="4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41"/>
      <c r="B358" s="47"/>
      <c r="C358" s="41"/>
      <c r="D358" s="2"/>
      <c r="E358" s="38"/>
      <c r="F358" s="42"/>
      <c r="G358" s="41"/>
      <c r="H358" s="41"/>
      <c r="I358" s="41"/>
      <c r="J358" s="56"/>
      <c r="K358" s="4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41"/>
      <c r="B359" s="47"/>
      <c r="C359" s="41"/>
      <c r="D359" s="2"/>
      <c r="E359" s="38"/>
      <c r="F359" s="42"/>
      <c r="G359" s="41"/>
      <c r="H359" s="41"/>
      <c r="I359" s="41"/>
      <c r="J359" s="56"/>
      <c r="K359" s="4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41"/>
      <c r="B360" s="47"/>
      <c r="C360" s="41"/>
      <c r="D360" s="2"/>
      <c r="E360" s="38"/>
      <c r="F360" s="42"/>
      <c r="G360" s="41"/>
      <c r="H360" s="41"/>
      <c r="I360" s="41"/>
      <c r="J360" s="56"/>
      <c r="K360" s="4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41"/>
      <c r="B361" s="47"/>
      <c r="C361" s="41"/>
      <c r="D361" s="2"/>
      <c r="E361" s="38"/>
      <c r="F361" s="42"/>
      <c r="G361" s="41"/>
      <c r="H361" s="41"/>
      <c r="I361" s="41"/>
      <c r="J361" s="56"/>
      <c r="K361" s="4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41"/>
      <c r="B362" s="47"/>
      <c r="C362" s="41"/>
      <c r="D362" s="2"/>
      <c r="E362" s="38"/>
      <c r="F362" s="42"/>
      <c r="G362" s="41"/>
      <c r="H362" s="41"/>
      <c r="I362" s="41"/>
      <c r="J362" s="56"/>
      <c r="K362" s="4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41"/>
      <c r="B363" s="47"/>
      <c r="C363" s="41"/>
      <c r="D363" s="2"/>
      <c r="E363" s="38"/>
      <c r="F363" s="42"/>
      <c r="G363" s="41"/>
      <c r="H363" s="41"/>
      <c r="I363" s="41"/>
      <c r="J363" s="56"/>
      <c r="K363" s="4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41"/>
      <c r="B364" s="47"/>
      <c r="C364" s="41"/>
      <c r="D364" s="2"/>
      <c r="E364" s="38"/>
      <c r="F364" s="42"/>
      <c r="G364" s="41"/>
      <c r="H364" s="41"/>
      <c r="I364" s="41"/>
      <c r="J364" s="56"/>
      <c r="K364" s="4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41"/>
      <c r="B365" s="47"/>
      <c r="C365" s="41"/>
      <c r="D365" s="2"/>
      <c r="E365" s="38"/>
      <c r="F365" s="42"/>
      <c r="G365" s="41"/>
      <c r="H365" s="41"/>
      <c r="I365" s="41"/>
      <c r="J365" s="56"/>
      <c r="K365" s="4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41"/>
      <c r="B366" s="47"/>
      <c r="C366" s="41"/>
      <c r="D366" s="2"/>
      <c r="E366" s="38"/>
      <c r="F366" s="42"/>
      <c r="G366" s="41"/>
      <c r="H366" s="41"/>
      <c r="I366" s="41"/>
      <c r="J366" s="56"/>
      <c r="K366" s="4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41"/>
      <c r="B367" s="47"/>
      <c r="C367" s="41"/>
      <c r="D367" s="2"/>
      <c r="E367" s="38"/>
      <c r="F367" s="42"/>
      <c r="G367" s="41"/>
      <c r="H367" s="41"/>
      <c r="I367" s="41"/>
      <c r="J367" s="56"/>
      <c r="K367" s="4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41"/>
      <c r="B368" s="47"/>
      <c r="C368" s="41"/>
      <c r="D368" s="2"/>
      <c r="E368" s="38"/>
      <c r="F368" s="42"/>
      <c r="G368" s="41"/>
      <c r="H368" s="41"/>
      <c r="I368" s="41"/>
      <c r="J368" s="56"/>
      <c r="K368" s="4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41"/>
      <c r="B369" s="47"/>
      <c r="C369" s="41"/>
      <c r="D369" s="2"/>
      <c r="E369" s="38"/>
      <c r="F369" s="42"/>
      <c r="G369" s="41"/>
      <c r="H369" s="41"/>
      <c r="I369" s="41"/>
      <c r="J369" s="56"/>
      <c r="K369" s="4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41"/>
      <c r="B370" s="47"/>
      <c r="C370" s="41"/>
      <c r="D370" s="2"/>
      <c r="E370" s="38"/>
      <c r="F370" s="42"/>
      <c r="G370" s="41"/>
      <c r="H370" s="41"/>
      <c r="I370" s="41"/>
      <c r="J370" s="56"/>
      <c r="K370" s="4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41"/>
      <c r="B371" s="47"/>
      <c r="C371" s="41"/>
      <c r="D371" s="2"/>
      <c r="E371" s="38"/>
      <c r="F371" s="42"/>
      <c r="G371" s="41"/>
      <c r="H371" s="41"/>
      <c r="I371" s="41"/>
      <c r="J371" s="56"/>
      <c r="K371" s="4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41"/>
      <c r="B372" s="47"/>
      <c r="C372" s="41"/>
      <c r="D372" s="2"/>
      <c r="E372" s="38"/>
      <c r="F372" s="42"/>
      <c r="G372" s="41"/>
      <c r="H372" s="41"/>
      <c r="I372" s="41"/>
      <c r="J372" s="56"/>
      <c r="K372" s="4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41"/>
      <c r="B373" s="47"/>
      <c r="C373" s="41"/>
      <c r="D373" s="2"/>
      <c r="E373" s="38"/>
      <c r="F373" s="42"/>
      <c r="G373" s="41"/>
      <c r="H373" s="41"/>
      <c r="I373" s="41"/>
      <c r="J373" s="56"/>
      <c r="K373" s="4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41"/>
      <c r="B374" s="47"/>
      <c r="C374" s="41"/>
      <c r="D374" s="2"/>
      <c r="E374" s="38"/>
      <c r="F374" s="42"/>
      <c r="G374" s="41"/>
      <c r="H374" s="41"/>
      <c r="I374" s="41"/>
      <c r="J374" s="56"/>
      <c r="K374" s="4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41"/>
      <c r="B375" s="47"/>
      <c r="C375" s="41"/>
      <c r="D375" s="2"/>
      <c r="E375" s="38"/>
      <c r="F375" s="42"/>
      <c r="G375" s="41"/>
      <c r="H375" s="41"/>
      <c r="I375" s="41"/>
      <c r="J375" s="56"/>
      <c r="K375" s="4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41"/>
      <c r="B376" s="47"/>
      <c r="C376" s="41"/>
      <c r="D376" s="2"/>
      <c r="E376" s="38"/>
      <c r="F376" s="42"/>
      <c r="G376" s="41"/>
      <c r="H376" s="41"/>
      <c r="I376" s="41"/>
      <c r="J376" s="56"/>
      <c r="K376" s="4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41"/>
      <c r="B377" s="47"/>
      <c r="C377" s="41"/>
      <c r="D377" s="2"/>
      <c r="E377" s="38"/>
      <c r="F377" s="42"/>
      <c r="G377" s="41"/>
      <c r="H377" s="41"/>
      <c r="I377" s="41"/>
      <c r="J377" s="56"/>
      <c r="K377" s="4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41"/>
      <c r="B378" s="47"/>
      <c r="C378" s="41"/>
      <c r="D378" s="2"/>
      <c r="E378" s="38"/>
      <c r="F378" s="42"/>
      <c r="G378" s="41"/>
      <c r="H378" s="41"/>
      <c r="I378" s="41"/>
      <c r="J378" s="56"/>
      <c r="K378" s="4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41"/>
      <c r="B379" s="47"/>
      <c r="C379" s="41"/>
      <c r="D379" s="2"/>
      <c r="E379" s="38"/>
      <c r="F379" s="42"/>
      <c r="G379" s="41"/>
      <c r="H379" s="41"/>
      <c r="I379" s="41"/>
      <c r="J379" s="56"/>
      <c r="K379" s="4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41"/>
      <c r="B380" s="47"/>
      <c r="C380" s="41"/>
      <c r="D380" s="2"/>
      <c r="E380" s="38"/>
      <c r="F380" s="42"/>
      <c r="G380" s="41"/>
      <c r="H380" s="41"/>
      <c r="I380" s="41"/>
      <c r="J380" s="56"/>
      <c r="K380" s="4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41"/>
      <c r="B381" s="47"/>
      <c r="C381" s="41"/>
      <c r="D381" s="2"/>
      <c r="E381" s="38"/>
      <c r="F381" s="42"/>
      <c r="G381" s="41"/>
      <c r="H381" s="41"/>
      <c r="I381" s="41"/>
      <c r="J381" s="56"/>
      <c r="K381" s="4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41"/>
      <c r="B382" s="47"/>
      <c r="C382" s="41"/>
      <c r="D382" s="2"/>
      <c r="E382" s="38"/>
      <c r="F382" s="42"/>
      <c r="G382" s="41"/>
      <c r="H382" s="41"/>
      <c r="I382" s="41"/>
      <c r="J382" s="56"/>
      <c r="K382" s="4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41"/>
      <c r="B383" s="47"/>
      <c r="C383" s="41"/>
      <c r="D383" s="2"/>
      <c r="E383" s="38"/>
      <c r="F383" s="42"/>
      <c r="G383" s="41"/>
      <c r="H383" s="41"/>
      <c r="I383" s="41"/>
      <c r="J383" s="56"/>
      <c r="K383" s="4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41"/>
      <c r="B384" s="47"/>
      <c r="C384" s="41"/>
      <c r="D384" s="2"/>
      <c r="E384" s="38"/>
      <c r="F384" s="42"/>
      <c r="G384" s="41"/>
      <c r="H384" s="41"/>
      <c r="I384" s="41"/>
      <c r="J384" s="56"/>
      <c r="K384" s="4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41"/>
      <c r="B385" s="47"/>
      <c r="C385" s="41"/>
      <c r="D385" s="2"/>
      <c r="E385" s="38"/>
      <c r="F385" s="42"/>
      <c r="G385" s="41"/>
      <c r="H385" s="41"/>
      <c r="I385" s="41"/>
      <c r="J385" s="56"/>
      <c r="K385" s="4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41"/>
      <c r="B386" s="47"/>
      <c r="C386" s="41"/>
      <c r="D386" s="2"/>
      <c r="E386" s="38"/>
      <c r="F386" s="42"/>
      <c r="G386" s="41"/>
      <c r="H386" s="41"/>
      <c r="I386" s="41"/>
      <c r="J386" s="56"/>
      <c r="K386" s="4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41"/>
      <c r="B387" s="47"/>
      <c r="C387" s="41"/>
      <c r="D387" s="2"/>
      <c r="E387" s="38"/>
      <c r="F387" s="42"/>
      <c r="G387" s="41"/>
      <c r="H387" s="41"/>
      <c r="I387" s="41"/>
      <c r="J387" s="56"/>
      <c r="K387" s="4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41"/>
      <c r="B388" s="47"/>
      <c r="C388" s="41"/>
      <c r="D388" s="2"/>
      <c r="E388" s="38"/>
      <c r="F388" s="42"/>
      <c r="G388" s="41"/>
      <c r="H388" s="41"/>
      <c r="I388" s="41"/>
      <c r="J388" s="56"/>
      <c r="K388" s="4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41"/>
      <c r="B389" s="47"/>
      <c r="C389" s="41"/>
      <c r="D389" s="2"/>
      <c r="E389" s="38"/>
      <c r="F389" s="42"/>
      <c r="G389" s="41"/>
      <c r="H389" s="41"/>
      <c r="I389" s="41"/>
      <c r="J389" s="56"/>
      <c r="K389" s="4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41"/>
      <c r="B390" s="47"/>
      <c r="C390" s="41"/>
      <c r="D390" s="2"/>
      <c r="E390" s="38"/>
      <c r="F390" s="42"/>
      <c r="G390" s="41"/>
      <c r="H390" s="41"/>
      <c r="I390" s="41"/>
      <c r="J390" s="56"/>
      <c r="K390" s="4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41"/>
      <c r="B391" s="47"/>
      <c r="C391" s="41"/>
      <c r="D391" s="2"/>
      <c r="E391" s="38"/>
      <c r="F391" s="42"/>
      <c r="G391" s="41"/>
      <c r="H391" s="41"/>
      <c r="I391" s="41"/>
      <c r="J391" s="56"/>
      <c r="K391" s="4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41"/>
      <c r="B392" s="47"/>
      <c r="C392" s="41"/>
      <c r="D392" s="2"/>
      <c r="E392" s="38"/>
      <c r="F392" s="42"/>
      <c r="G392" s="41"/>
      <c r="H392" s="41"/>
      <c r="I392" s="41"/>
      <c r="J392" s="56"/>
      <c r="K392" s="4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41"/>
      <c r="B393" s="47"/>
      <c r="C393" s="41"/>
      <c r="D393" s="2"/>
      <c r="E393" s="38"/>
      <c r="F393" s="42"/>
      <c r="G393" s="41"/>
      <c r="H393" s="41"/>
      <c r="I393" s="41"/>
      <c r="J393" s="56"/>
      <c r="K393" s="4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41"/>
      <c r="B394" s="47"/>
      <c r="C394" s="41"/>
      <c r="D394" s="2"/>
      <c r="E394" s="38"/>
      <c r="F394" s="42"/>
      <c r="G394" s="41"/>
      <c r="H394" s="41"/>
      <c r="I394" s="41"/>
      <c r="J394" s="56"/>
      <c r="K394" s="4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41"/>
      <c r="B395" s="47"/>
      <c r="C395" s="41"/>
      <c r="D395" s="2"/>
      <c r="E395" s="38"/>
      <c r="F395" s="42"/>
      <c r="G395" s="41"/>
      <c r="H395" s="41"/>
      <c r="I395" s="41"/>
      <c r="J395" s="56"/>
      <c r="K395" s="4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41"/>
      <c r="B396" s="47"/>
      <c r="C396" s="41"/>
      <c r="D396" s="2"/>
      <c r="E396" s="38"/>
      <c r="F396" s="42"/>
      <c r="G396" s="41"/>
      <c r="H396" s="41"/>
      <c r="I396" s="41"/>
      <c r="J396" s="56"/>
      <c r="K396" s="4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41"/>
      <c r="B397" s="47"/>
      <c r="C397" s="41"/>
      <c r="D397" s="2"/>
      <c r="E397" s="38"/>
      <c r="F397" s="42"/>
      <c r="G397" s="41"/>
      <c r="H397" s="41"/>
      <c r="I397" s="41"/>
      <c r="J397" s="56"/>
      <c r="K397" s="4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41"/>
      <c r="B398" s="47"/>
      <c r="C398" s="41"/>
      <c r="D398" s="2"/>
      <c r="E398" s="38"/>
      <c r="F398" s="42"/>
      <c r="G398" s="41"/>
      <c r="H398" s="41"/>
      <c r="I398" s="41"/>
      <c r="J398" s="56"/>
      <c r="K398" s="4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41"/>
      <c r="B399" s="47"/>
      <c r="C399" s="41"/>
      <c r="D399" s="2"/>
      <c r="E399" s="38"/>
      <c r="F399" s="42"/>
      <c r="G399" s="41"/>
      <c r="H399" s="41"/>
      <c r="I399" s="41"/>
      <c r="J399" s="56"/>
      <c r="K399" s="4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41"/>
      <c r="B400" s="47"/>
      <c r="C400" s="41"/>
      <c r="D400" s="2"/>
      <c r="E400" s="38"/>
      <c r="F400" s="42"/>
      <c r="G400" s="41"/>
      <c r="H400" s="41"/>
      <c r="I400" s="41"/>
      <c r="J400" s="56"/>
      <c r="K400" s="4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07"/>
      <c r="C401" s="2"/>
      <c r="D401" s="2"/>
      <c r="E401" s="104"/>
      <c r="F401" s="106"/>
      <c r="G401" s="2"/>
      <c r="H401" s="2"/>
      <c r="I401" s="2"/>
      <c r="J401" s="10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07"/>
      <c r="C402" s="2"/>
      <c r="D402" s="2"/>
      <c r="E402" s="104"/>
      <c r="F402" s="106"/>
      <c r="G402" s="2"/>
      <c r="H402" s="2"/>
      <c r="I402" s="2"/>
      <c r="J402" s="10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07"/>
      <c r="C403" s="2"/>
      <c r="D403" s="2"/>
      <c r="E403" s="104"/>
      <c r="F403" s="106"/>
      <c r="G403" s="2"/>
      <c r="H403" s="2"/>
      <c r="I403" s="2"/>
      <c r="J403" s="10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07"/>
      <c r="C404" s="2"/>
      <c r="D404" s="2"/>
      <c r="E404" s="104"/>
      <c r="F404" s="106"/>
      <c r="G404" s="2"/>
      <c r="H404" s="2"/>
      <c r="I404" s="2"/>
      <c r="J404" s="10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07"/>
      <c r="C405" s="2"/>
      <c r="D405" s="2"/>
      <c r="E405" s="104"/>
      <c r="F405" s="106"/>
      <c r="G405" s="2"/>
      <c r="H405" s="2"/>
      <c r="I405" s="2"/>
      <c r="J405" s="10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07"/>
      <c r="C406" s="2"/>
      <c r="D406" s="2"/>
      <c r="E406" s="104"/>
      <c r="F406" s="106"/>
      <c r="G406" s="2"/>
      <c r="H406" s="2"/>
      <c r="I406" s="2"/>
      <c r="J406" s="10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07"/>
      <c r="C407" s="2"/>
      <c r="D407" s="2"/>
      <c r="E407" s="104"/>
      <c r="F407" s="106"/>
      <c r="G407" s="2"/>
      <c r="H407" s="2"/>
      <c r="I407" s="2"/>
      <c r="J407" s="10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07"/>
      <c r="C408" s="2"/>
      <c r="D408" s="2"/>
      <c r="E408" s="104"/>
      <c r="F408" s="106"/>
      <c r="G408" s="2"/>
      <c r="H408" s="2"/>
      <c r="I408" s="2"/>
      <c r="J408" s="10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07"/>
      <c r="C409" s="2"/>
      <c r="D409" s="2"/>
      <c r="E409" s="104"/>
      <c r="F409" s="106"/>
      <c r="G409" s="2"/>
      <c r="H409" s="2"/>
      <c r="I409" s="2"/>
      <c r="J409" s="10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07"/>
      <c r="C410" s="2"/>
      <c r="D410" s="2"/>
      <c r="E410" s="104"/>
      <c r="F410" s="106"/>
      <c r="G410" s="2"/>
      <c r="H410" s="2"/>
      <c r="I410" s="2"/>
      <c r="J410" s="10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07"/>
      <c r="C411" s="2"/>
      <c r="D411" s="2"/>
      <c r="E411" s="104"/>
      <c r="F411" s="106"/>
      <c r="G411" s="2"/>
      <c r="H411" s="2"/>
      <c r="I411" s="2"/>
      <c r="J411" s="10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07"/>
      <c r="C412" s="2"/>
      <c r="D412" s="2"/>
      <c r="E412" s="104"/>
      <c r="F412" s="106"/>
      <c r="G412" s="2"/>
      <c r="H412" s="2"/>
      <c r="I412" s="2"/>
      <c r="J412" s="10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07"/>
      <c r="C413" s="2"/>
      <c r="D413" s="2"/>
      <c r="E413" s="104"/>
      <c r="F413" s="106"/>
      <c r="G413" s="2"/>
      <c r="H413" s="2"/>
      <c r="I413" s="2"/>
      <c r="J413" s="10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07"/>
      <c r="C414" s="2"/>
      <c r="D414" s="2"/>
      <c r="E414" s="104"/>
      <c r="F414" s="106"/>
      <c r="G414" s="2"/>
      <c r="H414" s="2"/>
      <c r="I414" s="2"/>
      <c r="J414" s="10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07"/>
      <c r="C415" s="2"/>
      <c r="D415" s="2"/>
      <c r="E415" s="104"/>
      <c r="F415" s="106"/>
      <c r="G415" s="2"/>
      <c r="H415" s="2"/>
      <c r="I415" s="2"/>
      <c r="J415" s="10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07"/>
      <c r="C416" s="2"/>
      <c r="D416" s="2"/>
      <c r="E416" s="104"/>
      <c r="F416" s="106"/>
      <c r="G416" s="2"/>
      <c r="H416" s="2"/>
      <c r="I416" s="2"/>
      <c r="J416" s="10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07"/>
      <c r="C417" s="2"/>
      <c r="D417" s="2"/>
      <c r="E417" s="104"/>
      <c r="F417" s="106"/>
      <c r="G417" s="2"/>
      <c r="H417" s="2"/>
      <c r="I417" s="2"/>
      <c r="J417" s="10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07"/>
      <c r="C418" s="2"/>
      <c r="D418" s="2"/>
      <c r="E418" s="104"/>
      <c r="F418" s="106"/>
      <c r="G418" s="2"/>
      <c r="H418" s="2"/>
      <c r="I418" s="2"/>
      <c r="J418" s="10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07"/>
      <c r="C419" s="2"/>
      <c r="D419" s="2"/>
      <c r="E419" s="104"/>
      <c r="F419" s="106"/>
      <c r="G419" s="2"/>
      <c r="H419" s="2"/>
      <c r="I419" s="2"/>
      <c r="J419" s="10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07"/>
      <c r="C420" s="2"/>
      <c r="D420" s="2"/>
      <c r="E420" s="104"/>
      <c r="F420" s="106"/>
      <c r="G420" s="2"/>
      <c r="H420" s="2"/>
      <c r="I420" s="2"/>
      <c r="J420" s="10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07"/>
      <c r="C421" s="2"/>
      <c r="D421" s="2"/>
      <c r="E421" s="104"/>
      <c r="F421" s="106"/>
      <c r="G421" s="2"/>
      <c r="H421" s="2"/>
      <c r="I421" s="2"/>
      <c r="J421" s="10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07"/>
      <c r="C422" s="2"/>
      <c r="D422" s="2"/>
      <c r="E422" s="104"/>
      <c r="F422" s="106"/>
      <c r="G422" s="2"/>
      <c r="H422" s="2"/>
      <c r="I422" s="2"/>
      <c r="J422" s="10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07"/>
      <c r="C423" s="2"/>
      <c r="D423" s="2"/>
      <c r="E423" s="104"/>
      <c r="F423" s="106"/>
      <c r="G423" s="2"/>
      <c r="H423" s="2"/>
      <c r="I423" s="2"/>
      <c r="J423" s="10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07"/>
      <c r="C424" s="2"/>
      <c r="D424" s="2"/>
      <c r="E424" s="104"/>
      <c r="F424" s="106"/>
      <c r="G424" s="2"/>
      <c r="H424" s="2"/>
      <c r="I424" s="2"/>
      <c r="J424" s="10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07"/>
      <c r="C425" s="2"/>
      <c r="D425" s="2"/>
      <c r="E425" s="104"/>
      <c r="F425" s="106"/>
      <c r="G425" s="2"/>
      <c r="H425" s="2"/>
      <c r="I425" s="2"/>
      <c r="J425" s="10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07"/>
      <c r="C426" s="2"/>
      <c r="D426" s="2"/>
      <c r="E426" s="104"/>
      <c r="F426" s="106"/>
      <c r="G426" s="2"/>
      <c r="H426" s="2"/>
      <c r="I426" s="2"/>
      <c r="J426" s="10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07"/>
      <c r="C427" s="2"/>
      <c r="D427" s="2"/>
      <c r="E427" s="104"/>
      <c r="F427" s="106"/>
      <c r="G427" s="2"/>
      <c r="H427" s="2"/>
      <c r="I427" s="2"/>
      <c r="J427" s="10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07"/>
      <c r="C428" s="2"/>
      <c r="D428" s="2"/>
      <c r="E428" s="104"/>
      <c r="F428" s="106"/>
      <c r="G428" s="2"/>
      <c r="H428" s="2"/>
      <c r="I428" s="2"/>
      <c r="J428" s="10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07"/>
      <c r="C429" s="2"/>
      <c r="D429" s="2"/>
      <c r="E429" s="104"/>
      <c r="F429" s="106"/>
      <c r="G429" s="2"/>
      <c r="H429" s="2"/>
      <c r="I429" s="2"/>
      <c r="J429" s="10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07"/>
      <c r="C430" s="2"/>
      <c r="D430" s="2"/>
      <c r="E430" s="104"/>
      <c r="F430" s="106"/>
      <c r="G430" s="2"/>
      <c r="H430" s="2"/>
      <c r="I430" s="2"/>
      <c r="J430" s="10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07"/>
      <c r="C431" s="2"/>
      <c r="D431" s="2"/>
      <c r="E431" s="104"/>
      <c r="F431" s="106"/>
      <c r="G431" s="2"/>
      <c r="H431" s="2"/>
      <c r="I431" s="2"/>
      <c r="J431" s="10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07"/>
      <c r="C432" s="2"/>
      <c r="D432" s="2"/>
      <c r="E432" s="104"/>
      <c r="F432" s="106"/>
      <c r="G432" s="2"/>
      <c r="H432" s="2"/>
      <c r="I432" s="2"/>
      <c r="J432" s="10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07"/>
      <c r="C433" s="2"/>
      <c r="D433" s="2"/>
      <c r="E433" s="104"/>
      <c r="F433" s="106"/>
      <c r="G433" s="2"/>
      <c r="H433" s="2"/>
      <c r="I433" s="2"/>
      <c r="J433" s="10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07"/>
      <c r="C434" s="2"/>
      <c r="D434" s="2"/>
      <c r="E434" s="104"/>
      <c r="F434" s="106"/>
      <c r="G434" s="2"/>
      <c r="H434" s="2"/>
      <c r="I434" s="2"/>
      <c r="J434" s="10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07"/>
      <c r="C435" s="2"/>
      <c r="D435" s="2"/>
      <c r="E435" s="104"/>
      <c r="F435" s="106"/>
      <c r="G435" s="2"/>
      <c r="H435" s="2"/>
      <c r="I435" s="2"/>
      <c r="J435" s="10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07"/>
      <c r="C436" s="2"/>
      <c r="D436" s="2"/>
      <c r="E436" s="104"/>
      <c r="F436" s="106"/>
      <c r="G436" s="2"/>
      <c r="H436" s="2"/>
      <c r="I436" s="2"/>
      <c r="J436" s="10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07"/>
      <c r="C437" s="2"/>
      <c r="D437" s="2"/>
      <c r="E437" s="104"/>
      <c r="F437" s="106"/>
      <c r="G437" s="2"/>
      <c r="H437" s="2"/>
      <c r="I437" s="2"/>
      <c r="J437" s="10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07"/>
      <c r="C438" s="2"/>
      <c r="D438" s="2"/>
      <c r="E438" s="104"/>
      <c r="F438" s="106"/>
      <c r="G438" s="2"/>
      <c r="H438" s="2"/>
      <c r="I438" s="2"/>
      <c r="J438" s="10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07"/>
      <c r="C439" s="2"/>
      <c r="D439" s="2"/>
      <c r="E439" s="104"/>
      <c r="F439" s="106"/>
      <c r="G439" s="2"/>
      <c r="H439" s="2"/>
      <c r="I439" s="2"/>
      <c r="J439" s="10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07"/>
      <c r="C440" s="2"/>
      <c r="D440" s="2"/>
      <c r="E440" s="104"/>
      <c r="F440" s="106"/>
      <c r="G440" s="2"/>
      <c r="H440" s="2"/>
      <c r="I440" s="2"/>
      <c r="J440" s="10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07"/>
      <c r="C441" s="2"/>
      <c r="D441" s="2"/>
      <c r="E441" s="104"/>
      <c r="F441" s="106"/>
      <c r="G441" s="2"/>
      <c r="H441" s="2"/>
      <c r="I441" s="2"/>
      <c r="J441" s="10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07"/>
      <c r="C442" s="2"/>
      <c r="D442" s="2"/>
      <c r="E442" s="104"/>
      <c r="F442" s="106"/>
      <c r="G442" s="2"/>
      <c r="H442" s="2"/>
      <c r="I442" s="2"/>
      <c r="J442" s="10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07"/>
      <c r="C443" s="2"/>
      <c r="D443" s="2"/>
      <c r="E443" s="104"/>
      <c r="F443" s="106"/>
      <c r="G443" s="2"/>
      <c r="H443" s="2"/>
      <c r="I443" s="2"/>
      <c r="J443" s="10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07"/>
      <c r="C444" s="2"/>
      <c r="D444" s="2"/>
      <c r="E444" s="104"/>
      <c r="F444" s="106"/>
      <c r="G444" s="2"/>
      <c r="H444" s="2"/>
      <c r="I444" s="2"/>
      <c r="J444" s="10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07"/>
      <c r="C445" s="2"/>
      <c r="D445" s="2"/>
      <c r="E445" s="104"/>
      <c r="F445" s="106"/>
      <c r="G445" s="2"/>
      <c r="H445" s="2"/>
      <c r="I445" s="2"/>
      <c r="J445" s="10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07"/>
      <c r="C446" s="2"/>
      <c r="D446" s="2"/>
      <c r="E446" s="104"/>
      <c r="F446" s="106"/>
      <c r="G446" s="2"/>
      <c r="H446" s="2"/>
      <c r="I446" s="2"/>
      <c r="J446" s="10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07"/>
      <c r="C447" s="2"/>
      <c r="D447" s="2"/>
      <c r="E447" s="104"/>
      <c r="F447" s="106"/>
      <c r="G447" s="2"/>
      <c r="H447" s="2"/>
      <c r="I447" s="2"/>
      <c r="J447" s="10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07"/>
      <c r="C448" s="2"/>
      <c r="D448" s="2"/>
      <c r="E448" s="104"/>
      <c r="F448" s="106"/>
      <c r="G448" s="2"/>
      <c r="H448" s="2"/>
      <c r="I448" s="2"/>
      <c r="J448" s="10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07"/>
      <c r="C449" s="2"/>
      <c r="D449" s="2"/>
      <c r="E449" s="104"/>
      <c r="F449" s="106"/>
      <c r="G449" s="2"/>
      <c r="H449" s="2"/>
      <c r="I449" s="2"/>
      <c r="J449" s="10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07"/>
      <c r="C450" s="2"/>
      <c r="D450" s="2"/>
      <c r="E450" s="104"/>
      <c r="F450" s="106"/>
      <c r="G450" s="2"/>
      <c r="H450" s="2"/>
      <c r="I450" s="2"/>
      <c r="J450" s="10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07"/>
      <c r="C451" s="2"/>
      <c r="D451" s="2"/>
      <c r="E451" s="104"/>
      <c r="F451" s="106"/>
      <c r="G451" s="2"/>
      <c r="H451" s="2"/>
      <c r="I451" s="2"/>
      <c r="J451" s="10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07"/>
      <c r="C452" s="2"/>
      <c r="D452" s="2"/>
      <c r="E452" s="104"/>
      <c r="F452" s="106"/>
      <c r="G452" s="2"/>
      <c r="H452" s="2"/>
      <c r="I452" s="2"/>
      <c r="J452" s="10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07"/>
      <c r="C453" s="2"/>
      <c r="D453" s="2"/>
      <c r="E453" s="104"/>
      <c r="F453" s="106"/>
      <c r="G453" s="2"/>
      <c r="H453" s="2"/>
      <c r="I453" s="2"/>
      <c r="J453" s="10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07"/>
      <c r="C454" s="2"/>
      <c r="D454" s="2"/>
      <c r="E454" s="104"/>
      <c r="F454" s="106"/>
      <c r="G454" s="2"/>
      <c r="H454" s="2"/>
      <c r="I454" s="2"/>
      <c r="J454" s="10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07"/>
      <c r="C455" s="2"/>
      <c r="D455" s="2"/>
      <c r="E455" s="104"/>
      <c r="F455" s="106"/>
      <c r="G455" s="2"/>
      <c r="H455" s="2"/>
      <c r="I455" s="2"/>
      <c r="J455" s="10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07"/>
      <c r="C456" s="2"/>
      <c r="D456" s="2"/>
      <c r="E456" s="104"/>
      <c r="F456" s="106"/>
      <c r="G456" s="2"/>
      <c r="H456" s="2"/>
      <c r="I456" s="2"/>
      <c r="J456" s="10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07"/>
      <c r="C457" s="2"/>
      <c r="D457" s="2"/>
      <c r="E457" s="104"/>
      <c r="F457" s="106"/>
      <c r="G457" s="2"/>
      <c r="H457" s="2"/>
      <c r="I457" s="2"/>
      <c r="J457" s="10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07"/>
      <c r="C458" s="2"/>
      <c r="D458" s="2"/>
      <c r="E458" s="104"/>
      <c r="F458" s="106"/>
      <c r="G458" s="2"/>
      <c r="H458" s="2"/>
      <c r="I458" s="2"/>
      <c r="J458" s="10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07"/>
      <c r="C459" s="2"/>
      <c r="D459" s="2"/>
      <c r="E459" s="104"/>
      <c r="F459" s="106"/>
      <c r="G459" s="2"/>
      <c r="H459" s="2"/>
      <c r="I459" s="2"/>
      <c r="J459" s="10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07"/>
      <c r="C460" s="2"/>
      <c r="D460" s="2"/>
      <c r="E460" s="104"/>
      <c r="F460" s="106"/>
      <c r="G460" s="2"/>
      <c r="H460" s="2"/>
      <c r="I460" s="2"/>
      <c r="J460" s="10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07"/>
      <c r="C461" s="2"/>
      <c r="D461" s="2"/>
      <c r="E461" s="104"/>
      <c r="F461" s="106"/>
      <c r="G461" s="2"/>
      <c r="H461" s="2"/>
      <c r="I461" s="2"/>
      <c r="J461" s="10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07"/>
      <c r="C462" s="2"/>
      <c r="D462" s="2"/>
      <c r="E462" s="104"/>
      <c r="F462" s="106"/>
      <c r="G462" s="2"/>
      <c r="H462" s="2"/>
      <c r="I462" s="2"/>
      <c r="J462" s="10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07"/>
      <c r="C463" s="2"/>
      <c r="D463" s="2"/>
      <c r="E463" s="104"/>
      <c r="F463" s="106"/>
      <c r="G463" s="2"/>
      <c r="H463" s="2"/>
      <c r="I463" s="2"/>
      <c r="J463" s="10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07"/>
      <c r="C464" s="2"/>
      <c r="D464" s="2"/>
      <c r="E464" s="104"/>
      <c r="F464" s="106"/>
      <c r="G464" s="2"/>
      <c r="H464" s="2"/>
      <c r="I464" s="2"/>
      <c r="J464" s="10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07"/>
      <c r="C465" s="2"/>
      <c r="D465" s="2"/>
      <c r="E465" s="104"/>
      <c r="F465" s="106"/>
      <c r="G465" s="2"/>
      <c r="H465" s="2"/>
      <c r="I465" s="2"/>
      <c r="J465" s="10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07"/>
      <c r="C466" s="2"/>
      <c r="D466" s="2"/>
      <c r="E466" s="104"/>
      <c r="F466" s="106"/>
      <c r="G466" s="2"/>
      <c r="H466" s="2"/>
      <c r="I466" s="2"/>
      <c r="J466" s="10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07"/>
      <c r="C467" s="2"/>
      <c r="D467" s="2"/>
      <c r="E467" s="104"/>
      <c r="F467" s="106"/>
      <c r="G467" s="2"/>
      <c r="H467" s="2"/>
      <c r="I467" s="2"/>
      <c r="J467" s="10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07"/>
      <c r="C468" s="2"/>
      <c r="D468" s="2"/>
      <c r="E468" s="104"/>
      <c r="F468" s="106"/>
      <c r="G468" s="2"/>
      <c r="H468" s="2"/>
      <c r="I468" s="2"/>
      <c r="J468" s="10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07"/>
      <c r="C469" s="2"/>
      <c r="D469" s="2"/>
      <c r="E469" s="104"/>
      <c r="F469" s="106"/>
      <c r="G469" s="2"/>
      <c r="H469" s="2"/>
      <c r="I469" s="2"/>
      <c r="J469" s="10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07"/>
      <c r="C470" s="2"/>
      <c r="D470" s="2"/>
      <c r="E470" s="104"/>
      <c r="F470" s="106"/>
      <c r="G470" s="2"/>
      <c r="H470" s="2"/>
      <c r="I470" s="2"/>
      <c r="J470" s="10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07"/>
      <c r="C471" s="2"/>
      <c r="D471" s="2"/>
      <c r="E471" s="104"/>
      <c r="F471" s="106"/>
      <c r="G471" s="2"/>
      <c r="H471" s="2"/>
      <c r="I471" s="2"/>
      <c r="J471" s="10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07"/>
      <c r="C472" s="2"/>
      <c r="D472" s="2"/>
      <c r="E472" s="104"/>
      <c r="F472" s="106"/>
      <c r="G472" s="2"/>
      <c r="H472" s="2"/>
      <c r="I472" s="2"/>
      <c r="J472" s="10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07"/>
      <c r="C473" s="2"/>
      <c r="D473" s="2"/>
      <c r="E473" s="104"/>
      <c r="F473" s="106"/>
      <c r="G473" s="2"/>
      <c r="H473" s="2"/>
      <c r="I473" s="2"/>
      <c r="J473" s="10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07"/>
      <c r="C474" s="2"/>
      <c r="D474" s="2"/>
      <c r="E474" s="104"/>
      <c r="F474" s="106"/>
      <c r="G474" s="2"/>
      <c r="H474" s="2"/>
      <c r="I474" s="2"/>
      <c r="J474" s="10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07"/>
      <c r="C475" s="2"/>
      <c r="D475" s="2"/>
      <c r="E475" s="104"/>
      <c r="F475" s="106"/>
      <c r="G475" s="2"/>
      <c r="H475" s="2"/>
      <c r="I475" s="2"/>
      <c r="J475" s="10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07"/>
      <c r="C476" s="2"/>
      <c r="D476" s="2"/>
      <c r="E476" s="104"/>
      <c r="F476" s="106"/>
      <c r="G476" s="2"/>
      <c r="H476" s="2"/>
      <c r="I476" s="2"/>
      <c r="J476" s="10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07"/>
      <c r="C477" s="2"/>
      <c r="D477" s="2"/>
      <c r="E477" s="104"/>
      <c r="F477" s="106"/>
      <c r="G477" s="2"/>
      <c r="H477" s="2"/>
      <c r="I477" s="2"/>
      <c r="J477" s="10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07"/>
      <c r="C478" s="2"/>
      <c r="D478" s="2"/>
      <c r="E478" s="104"/>
      <c r="F478" s="106"/>
      <c r="G478" s="2"/>
      <c r="H478" s="2"/>
      <c r="I478" s="2"/>
      <c r="J478" s="10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07"/>
      <c r="C479" s="2"/>
      <c r="D479" s="2"/>
      <c r="E479" s="104"/>
      <c r="F479" s="106"/>
      <c r="G479" s="2"/>
      <c r="H479" s="2"/>
      <c r="I479" s="2"/>
      <c r="J479" s="10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07"/>
      <c r="C480" s="2"/>
      <c r="D480" s="2"/>
      <c r="E480" s="104"/>
      <c r="F480" s="106"/>
      <c r="G480" s="2"/>
      <c r="H480" s="2"/>
      <c r="I480" s="2"/>
      <c r="J480" s="10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07"/>
      <c r="C481" s="2"/>
      <c r="D481" s="2"/>
      <c r="E481" s="104"/>
      <c r="F481" s="106"/>
      <c r="G481" s="2"/>
      <c r="H481" s="2"/>
      <c r="I481" s="2"/>
      <c r="J481" s="10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07"/>
      <c r="C482" s="2"/>
      <c r="D482" s="2"/>
      <c r="E482" s="104"/>
      <c r="F482" s="106"/>
      <c r="G482" s="2"/>
      <c r="H482" s="2"/>
      <c r="I482" s="2"/>
      <c r="J482" s="10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07"/>
      <c r="C483" s="2"/>
      <c r="D483" s="2"/>
      <c r="E483" s="104"/>
      <c r="F483" s="106"/>
      <c r="G483" s="2"/>
      <c r="H483" s="2"/>
      <c r="I483" s="2"/>
      <c r="J483" s="10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07"/>
      <c r="C484" s="2"/>
      <c r="D484" s="2"/>
      <c r="E484" s="104"/>
      <c r="F484" s="106"/>
      <c r="G484" s="2"/>
      <c r="H484" s="2"/>
      <c r="I484" s="2"/>
      <c r="J484" s="10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07"/>
      <c r="C485" s="2"/>
      <c r="D485" s="2"/>
      <c r="E485" s="104"/>
      <c r="F485" s="106"/>
      <c r="G485" s="2"/>
      <c r="H485" s="2"/>
      <c r="I485" s="2"/>
      <c r="J485" s="10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07"/>
      <c r="C486" s="2"/>
      <c r="D486" s="2"/>
      <c r="E486" s="104"/>
      <c r="F486" s="106"/>
      <c r="G486" s="2"/>
      <c r="H486" s="2"/>
      <c r="I486" s="2"/>
      <c r="J486" s="10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07"/>
      <c r="C487" s="2"/>
      <c r="D487" s="2"/>
      <c r="E487" s="104"/>
      <c r="F487" s="106"/>
      <c r="G487" s="2"/>
      <c r="H487" s="2"/>
      <c r="I487" s="2"/>
      <c r="J487" s="10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07"/>
      <c r="C488" s="2"/>
      <c r="D488" s="2"/>
      <c r="E488" s="104"/>
      <c r="F488" s="106"/>
      <c r="G488" s="2"/>
      <c r="H488" s="2"/>
      <c r="I488" s="2"/>
      <c r="J488" s="10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07"/>
      <c r="C489" s="2"/>
      <c r="D489" s="2"/>
      <c r="E489" s="104"/>
      <c r="F489" s="106"/>
      <c r="G489" s="2"/>
      <c r="H489" s="2"/>
      <c r="I489" s="2"/>
      <c r="J489" s="10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07"/>
      <c r="C490" s="2"/>
      <c r="D490" s="2"/>
      <c r="E490" s="104"/>
      <c r="F490" s="106"/>
      <c r="G490" s="2"/>
      <c r="H490" s="2"/>
      <c r="I490" s="2"/>
      <c r="J490" s="10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07"/>
      <c r="C491" s="2"/>
      <c r="D491" s="2"/>
      <c r="E491" s="104"/>
      <c r="F491" s="106"/>
      <c r="G491" s="2"/>
      <c r="H491" s="2"/>
      <c r="I491" s="2"/>
      <c r="J491" s="10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07"/>
      <c r="C492" s="2"/>
      <c r="D492" s="2"/>
      <c r="E492" s="104"/>
      <c r="F492" s="106"/>
      <c r="G492" s="2"/>
      <c r="H492" s="2"/>
      <c r="I492" s="2"/>
      <c r="J492" s="10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07"/>
      <c r="C493" s="2"/>
      <c r="D493" s="2"/>
      <c r="E493" s="104"/>
      <c r="F493" s="106"/>
      <c r="G493" s="2"/>
      <c r="H493" s="2"/>
      <c r="I493" s="2"/>
      <c r="J493" s="10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07"/>
      <c r="C494" s="2"/>
      <c r="D494" s="2"/>
      <c r="E494" s="104"/>
      <c r="F494" s="106"/>
      <c r="G494" s="2"/>
      <c r="H494" s="2"/>
      <c r="I494" s="2"/>
      <c r="J494" s="10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07"/>
      <c r="C495" s="2"/>
      <c r="D495" s="2"/>
      <c r="E495" s="104"/>
      <c r="F495" s="106"/>
      <c r="G495" s="2"/>
      <c r="H495" s="2"/>
      <c r="I495" s="2"/>
      <c r="J495" s="10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07"/>
      <c r="C496" s="2"/>
      <c r="D496" s="2"/>
      <c r="E496" s="104"/>
      <c r="F496" s="106"/>
      <c r="G496" s="2"/>
      <c r="H496" s="2"/>
      <c r="I496" s="2"/>
      <c r="J496" s="10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07"/>
      <c r="C497" s="2"/>
      <c r="D497" s="2"/>
      <c r="E497" s="104"/>
      <c r="F497" s="106"/>
      <c r="G497" s="2"/>
      <c r="H497" s="2"/>
      <c r="I497" s="2"/>
      <c r="J497" s="10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07"/>
      <c r="C498" s="2"/>
      <c r="D498" s="2"/>
      <c r="E498" s="104"/>
      <c r="F498" s="106"/>
      <c r="G498" s="2"/>
      <c r="H498" s="2"/>
      <c r="I498" s="2"/>
      <c r="J498" s="10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07"/>
      <c r="C499" s="2"/>
      <c r="D499" s="2"/>
      <c r="E499" s="104"/>
      <c r="F499" s="106"/>
      <c r="G499" s="2"/>
      <c r="H499" s="2"/>
      <c r="I499" s="2"/>
      <c r="J499" s="10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07"/>
      <c r="C500" s="2"/>
      <c r="D500" s="2"/>
      <c r="E500" s="104"/>
      <c r="F500" s="106"/>
      <c r="G500" s="2"/>
      <c r="H500" s="2"/>
      <c r="I500" s="2"/>
      <c r="J500" s="10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07"/>
      <c r="C501" s="2"/>
      <c r="D501" s="2"/>
      <c r="E501" s="104"/>
      <c r="F501" s="106"/>
      <c r="G501" s="2"/>
      <c r="H501" s="2"/>
      <c r="I501" s="2"/>
      <c r="J501" s="10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07"/>
      <c r="C502" s="2"/>
      <c r="D502" s="2"/>
      <c r="E502" s="104"/>
      <c r="F502" s="106"/>
      <c r="G502" s="2"/>
      <c r="H502" s="2"/>
      <c r="I502" s="2"/>
      <c r="J502" s="10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07"/>
      <c r="C503" s="2"/>
      <c r="D503" s="2"/>
      <c r="E503" s="104"/>
      <c r="F503" s="106"/>
      <c r="G503" s="2"/>
      <c r="H503" s="2"/>
      <c r="I503" s="2"/>
      <c r="J503" s="10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07"/>
      <c r="C504" s="2"/>
      <c r="D504" s="2"/>
      <c r="E504" s="104"/>
      <c r="F504" s="106"/>
      <c r="G504" s="2"/>
      <c r="H504" s="2"/>
      <c r="I504" s="2"/>
      <c r="J504" s="10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07"/>
      <c r="C505" s="2"/>
      <c r="D505" s="2"/>
      <c r="E505" s="104"/>
      <c r="F505" s="106"/>
      <c r="G505" s="2"/>
      <c r="H505" s="2"/>
      <c r="I505" s="2"/>
      <c r="J505" s="10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07"/>
      <c r="C506" s="2"/>
      <c r="D506" s="2"/>
      <c r="E506" s="104"/>
      <c r="F506" s="106"/>
      <c r="G506" s="2"/>
      <c r="H506" s="2"/>
      <c r="I506" s="2"/>
      <c r="J506" s="10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07"/>
      <c r="C507" s="2"/>
      <c r="D507" s="2"/>
      <c r="E507" s="104"/>
      <c r="F507" s="106"/>
      <c r="G507" s="2"/>
      <c r="H507" s="2"/>
      <c r="I507" s="2"/>
      <c r="J507" s="10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07"/>
      <c r="C508" s="2"/>
      <c r="D508" s="2"/>
      <c r="E508" s="104"/>
      <c r="F508" s="106"/>
      <c r="G508" s="2"/>
      <c r="H508" s="2"/>
      <c r="I508" s="2"/>
      <c r="J508" s="10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07"/>
      <c r="C509" s="2"/>
      <c r="D509" s="2"/>
      <c r="E509" s="104"/>
      <c r="F509" s="106"/>
      <c r="G509" s="2"/>
      <c r="H509" s="2"/>
      <c r="I509" s="2"/>
      <c r="J509" s="10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07"/>
      <c r="C510" s="2"/>
      <c r="D510" s="2"/>
      <c r="E510" s="104"/>
      <c r="F510" s="106"/>
      <c r="G510" s="2"/>
      <c r="H510" s="2"/>
      <c r="I510" s="2"/>
      <c r="J510" s="10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07"/>
      <c r="C511" s="2"/>
      <c r="D511" s="2"/>
      <c r="E511" s="104"/>
      <c r="F511" s="106"/>
      <c r="G511" s="2"/>
      <c r="H511" s="2"/>
      <c r="I511" s="2"/>
      <c r="J511" s="10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07"/>
      <c r="C512" s="2"/>
      <c r="D512" s="2"/>
      <c r="E512" s="104"/>
      <c r="F512" s="106"/>
      <c r="G512" s="2"/>
      <c r="H512" s="2"/>
      <c r="I512" s="2"/>
      <c r="J512" s="10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07"/>
      <c r="C513" s="2"/>
      <c r="D513" s="2"/>
      <c r="E513" s="104"/>
      <c r="F513" s="106"/>
      <c r="G513" s="2"/>
      <c r="H513" s="2"/>
      <c r="I513" s="2"/>
      <c r="J513" s="10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07"/>
      <c r="C514" s="2"/>
      <c r="D514" s="2"/>
      <c r="E514" s="104"/>
      <c r="F514" s="106"/>
      <c r="G514" s="2"/>
      <c r="H514" s="2"/>
      <c r="I514" s="2"/>
      <c r="J514" s="10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07"/>
      <c r="C515" s="2"/>
      <c r="D515" s="2"/>
      <c r="E515" s="104"/>
      <c r="F515" s="106"/>
      <c r="G515" s="2"/>
      <c r="H515" s="2"/>
      <c r="I515" s="2"/>
      <c r="J515" s="10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07"/>
      <c r="C516" s="2"/>
      <c r="D516" s="2"/>
      <c r="E516" s="104"/>
      <c r="F516" s="106"/>
      <c r="G516" s="2"/>
      <c r="H516" s="2"/>
      <c r="I516" s="2"/>
      <c r="J516" s="10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07"/>
      <c r="C517" s="2"/>
      <c r="D517" s="2"/>
      <c r="E517" s="104"/>
      <c r="F517" s="106"/>
      <c r="G517" s="2"/>
      <c r="H517" s="2"/>
      <c r="I517" s="2"/>
      <c r="J517" s="10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07"/>
      <c r="C518" s="2"/>
      <c r="D518" s="2"/>
      <c r="E518" s="104"/>
      <c r="F518" s="106"/>
      <c r="G518" s="2"/>
      <c r="H518" s="2"/>
      <c r="I518" s="2"/>
      <c r="J518" s="10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07"/>
      <c r="C519" s="2"/>
      <c r="D519" s="2"/>
      <c r="E519" s="104"/>
      <c r="F519" s="106"/>
      <c r="G519" s="2"/>
      <c r="H519" s="2"/>
      <c r="I519" s="2"/>
      <c r="J519" s="10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07"/>
      <c r="C520" s="2"/>
      <c r="D520" s="2"/>
      <c r="E520" s="104"/>
      <c r="F520" s="106"/>
      <c r="G520" s="2"/>
      <c r="H520" s="2"/>
      <c r="I520" s="2"/>
      <c r="J520" s="10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07"/>
      <c r="C521" s="2"/>
      <c r="D521" s="2"/>
      <c r="E521" s="104"/>
      <c r="F521" s="106"/>
      <c r="G521" s="2"/>
      <c r="H521" s="2"/>
      <c r="I521" s="2"/>
      <c r="J521" s="10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07"/>
      <c r="C522" s="2"/>
      <c r="D522" s="2"/>
      <c r="E522" s="104"/>
      <c r="F522" s="106"/>
      <c r="G522" s="2"/>
      <c r="H522" s="2"/>
      <c r="I522" s="2"/>
      <c r="J522" s="10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07"/>
      <c r="C523" s="2"/>
      <c r="D523" s="2"/>
      <c r="E523" s="104"/>
      <c r="F523" s="106"/>
      <c r="G523" s="2"/>
      <c r="H523" s="2"/>
      <c r="I523" s="2"/>
      <c r="J523" s="10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07"/>
      <c r="C524" s="2"/>
      <c r="D524" s="2"/>
      <c r="E524" s="104"/>
      <c r="F524" s="106"/>
      <c r="G524" s="2"/>
      <c r="H524" s="2"/>
      <c r="I524" s="2"/>
      <c r="J524" s="10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07"/>
      <c r="C525" s="2"/>
      <c r="D525" s="2"/>
      <c r="E525" s="104"/>
      <c r="F525" s="106"/>
      <c r="G525" s="2"/>
      <c r="H525" s="2"/>
      <c r="I525" s="2"/>
      <c r="J525" s="10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07"/>
      <c r="C526" s="2"/>
      <c r="D526" s="2"/>
      <c r="E526" s="104"/>
      <c r="F526" s="106"/>
      <c r="G526" s="2"/>
      <c r="H526" s="2"/>
      <c r="I526" s="2"/>
      <c r="J526" s="10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07"/>
      <c r="C527" s="2"/>
      <c r="D527" s="2"/>
      <c r="E527" s="104"/>
      <c r="F527" s="106"/>
      <c r="G527" s="2"/>
      <c r="H527" s="2"/>
      <c r="I527" s="2"/>
      <c r="J527" s="10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07"/>
      <c r="C528" s="2"/>
      <c r="D528" s="2"/>
      <c r="E528" s="104"/>
      <c r="F528" s="106"/>
      <c r="G528" s="2"/>
      <c r="H528" s="2"/>
      <c r="I528" s="2"/>
      <c r="J528" s="10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07"/>
      <c r="C529" s="2"/>
      <c r="D529" s="2"/>
      <c r="E529" s="104"/>
      <c r="F529" s="106"/>
      <c r="G529" s="2"/>
      <c r="H529" s="2"/>
      <c r="I529" s="2"/>
      <c r="J529" s="10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07"/>
      <c r="C530" s="2"/>
      <c r="D530" s="2"/>
      <c r="E530" s="104"/>
      <c r="F530" s="106"/>
      <c r="G530" s="2"/>
      <c r="H530" s="2"/>
      <c r="I530" s="2"/>
      <c r="J530" s="10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07"/>
      <c r="C531" s="2"/>
      <c r="D531" s="2"/>
      <c r="E531" s="104"/>
      <c r="F531" s="106"/>
      <c r="G531" s="2"/>
      <c r="H531" s="2"/>
      <c r="I531" s="2"/>
      <c r="J531" s="10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07"/>
      <c r="C532" s="2"/>
      <c r="D532" s="2"/>
      <c r="E532" s="104"/>
      <c r="F532" s="106"/>
      <c r="G532" s="2"/>
      <c r="H532" s="2"/>
      <c r="I532" s="2"/>
      <c r="J532" s="10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07"/>
      <c r="C533" s="2"/>
      <c r="D533" s="2"/>
      <c r="E533" s="104"/>
      <c r="F533" s="106"/>
      <c r="G533" s="2"/>
      <c r="H533" s="2"/>
      <c r="I533" s="2"/>
      <c r="J533" s="10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07"/>
      <c r="C534" s="2"/>
      <c r="D534" s="2"/>
      <c r="E534" s="104"/>
      <c r="F534" s="106"/>
      <c r="G534" s="2"/>
      <c r="H534" s="2"/>
      <c r="I534" s="2"/>
      <c r="J534" s="10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07"/>
      <c r="C535" s="2"/>
      <c r="D535" s="2"/>
      <c r="E535" s="104"/>
      <c r="F535" s="106"/>
      <c r="G535" s="2"/>
      <c r="H535" s="2"/>
      <c r="I535" s="2"/>
      <c r="J535" s="10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07"/>
      <c r="C536" s="2"/>
      <c r="D536" s="2"/>
      <c r="E536" s="104"/>
      <c r="F536" s="106"/>
      <c r="G536" s="2"/>
      <c r="H536" s="2"/>
      <c r="I536" s="2"/>
      <c r="J536" s="10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07"/>
      <c r="C537" s="2"/>
      <c r="D537" s="2"/>
      <c r="E537" s="104"/>
      <c r="F537" s="106"/>
      <c r="G537" s="2"/>
      <c r="H537" s="2"/>
      <c r="I537" s="2"/>
      <c r="J537" s="10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07"/>
      <c r="C538" s="2"/>
      <c r="D538" s="2"/>
      <c r="E538" s="104"/>
      <c r="F538" s="106"/>
      <c r="G538" s="2"/>
      <c r="H538" s="2"/>
      <c r="I538" s="2"/>
      <c r="J538" s="10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07"/>
      <c r="C539" s="2"/>
      <c r="D539" s="2"/>
      <c r="E539" s="104"/>
      <c r="F539" s="106"/>
      <c r="G539" s="2"/>
      <c r="H539" s="2"/>
      <c r="I539" s="2"/>
      <c r="J539" s="10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07"/>
      <c r="C540" s="2"/>
      <c r="D540" s="2"/>
      <c r="E540" s="104"/>
      <c r="F540" s="106"/>
      <c r="G540" s="2"/>
      <c r="H540" s="2"/>
      <c r="I540" s="2"/>
      <c r="J540" s="10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07"/>
      <c r="C541" s="2"/>
      <c r="D541" s="2"/>
      <c r="E541" s="104"/>
      <c r="F541" s="106"/>
      <c r="G541" s="2"/>
      <c r="H541" s="2"/>
      <c r="I541" s="2"/>
      <c r="J541" s="10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07"/>
      <c r="C542" s="2"/>
      <c r="D542" s="2"/>
      <c r="E542" s="104"/>
      <c r="F542" s="106"/>
      <c r="G542" s="2"/>
      <c r="H542" s="2"/>
      <c r="I542" s="2"/>
      <c r="J542" s="10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07"/>
      <c r="C543" s="2"/>
      <c r="D543" s="2"/>
      <c r="E543" s="104"/>
      <c r="F543" s="106"/>
      <c r="G543" s="2"/>
      <c r="H543" s="2"/>
      <c r="I543" s="2"/>
      <c r="J543" s="10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07"/>
      <c r="C544" s="2"/>
      <c r="D544" s="2"/>
      <c r="E544" s="104"/>
      <c r="F544" s="106"/>
      <c r="G544" s="2"/>
      <c r="H544" s="2"/>
      <c r="I544" s="2"/>
      <c r="J544" s="10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07"/>
      <c r="C545" s="2"/>
      <c r="D545" s="2"/>
      <c r="E545" s="104"/>
      <c r="F545" s="106"/>
      <c r="G545" s="2"/>
      <c r="H545" s="2"/>
      <c r="I545" s="2"/>
      <c r="J545" s="10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07"/>
      <c r="C546" s="2"/>
      <c r="D546" s="2"/>
      <c r="E546" s="104"/>
      <c r="F546" s="106"/>
      <c r="G546" s="2"/>
      <c r="H546" s="2"/>
      <c r="I546" s="2"/>
      <c r="J546" s="10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07"/>
      <c r="C547" s="2"/>
      <c r="D547" s="2"/>
      <c r="E547" s="104"/>
      <c r="F547" s="106"/>
      <c r="G547" s="2"/>
      <c r="H547" s="2"/>
      <c r="I547" s="2"/>
      <c r="J547" s="10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07"/>
      <c r="C548" s="2"/>
      <c r="D548" s="2"/>
      <c r="E548" s="104"/>
      <c r="F548" s="106"/>
      <c r="G548" s="2"/>
      <c r="H548" s="2"/>
      <c r="I548" s="2"/>
      <c r="J548" s="10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07"/>
      <c r="C549" s="2"/>
      <c r="D549" s="2"/>
      <c r="E549" s="104"/>
      <c r="F549" s="106"/>
      <c r="G549" s="2"/>
      <c r="H549" s="2"/>
      <c r="I549" s="2"/>
      <c r="J549" s="10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07"/>
      <c r="C550" s="2"/>
      <c r="D550" s="2"/>
      <c r="E550" s="104"/>
      <c r="F550" s="106"/>
      <c r="G550" s="2"/>
      <c r="H550" s="2"/>
      <c r="I550" s="2"/>
      <c r="J550" s="10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07"/>
      <c r="C551" s="2"/>
      <c r="D551" s="2"/>
      <c r="E551" s="104"/>
      <c r="F551" s="106"/>
      <c r="G551" s="2"/>
      <c r="H551" s="2"/>
      <c r="I551" s="2"/>
      <c r="J551" s="10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07"/>
      <c r="C552" s="2"/>
      <c r="D552" s="2"/>
      <c r="E552" s="104"/>
      <c r="F552" s="106"/>
      <c r="G552" s="2"/>
      <c r="H552" s="2"/>
      <c r="I552" s="2"/>
      <c r="J552" s="10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07"/>
      <c r="C553" s="2"/>
      <c r="D553" s="2"/>
      <c r="E553" s="104"/>
      <c r="F553" s="106"/>
      <c r="G553" s="2"/>
      <c r="H553" s="2"/>
      <c r="I553" s="2"/>
      <c r="J553" s="10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07"/>
      <c r="C554" s="2"/>
      <c r="D554" s="2"/>
      <c r="E554" s="104"/>
      <c r="F554" s="106"/>
      <c r="G554" s="2"/>
      <c r="H554" s="2"/>
      <c r="I554" s="2"/>
      <c r="J554" s="10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07"/>
      <c r="C555" s="2"/>
      <c r="D555" s="2"/>
      <c r="E555" s="104"/>
      <c r="F555" s="106"/>
      <c r="G555" s="2"/>
      <c r="H555" s="2"/>
      <c r="I555" s="2"/>
      <c r="J555" s="10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07"/>
      <c r="C556" s="2"/>
      <c r="D556" s="2"/>
      <c r="E556" s="104"/>
      <c r="F556" s="106"/>
      <c r="G556" s="2"/>
      <c r="H556" s="2"/>
      <c r="I556" s="2"/>
      <c r="J556" s="10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07"/>
      <c r="C557" s="2"/>
      <c r="D557" s="2"/>
      <c r="E557" s="104"/>
      <c r="F557" s="106"/>
      <c r="G557" s="2"/>
      <c r="H557" s="2"/>
      <c r="I557" s="2"/>
      <c r="J557" s="10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07"/>
      <c r="C558" s="2"/>
      <c r="D558" s="2"/>
      <c r="E558" s="104"/>
      <c r="F558" s="106"/>
      <c r="G558" s="2"/>
      <c r="H558" s="2"/>
      <c r="I558" s="2"/>
      <c r="J558" s="10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07"/>
      <c r="C559" s="2"/>
      <c r="D559" s="2"/>
      <c r="E559" s="104"/>
      <c r="F559" s="106"/>
      <c r="G559" s="2"/>
      <c r="H559" s="2"/>
      <c r="I559" s="2"/>
      <c r="J559" s="10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07"/>
      <c r="C560" s="2"/>
      <c r="D560" s="2"/>
      <c r="E560" s="104"/>
      <c r="F560" s="106"/>
      <c r="G560" s="2"/>
      <c r="H560" s="2"/>
      <c r="I560" s="2"/>
      <c r="J560" s="10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07"/>
      <c r="C561" s="2"/>
      <c r="D561" s="2"/>
      <c r="E561" s="104"/>
      <c r="F561" s="106"/>
      <c r="G561" s="2"/>
      <c r="H561" s="2"/>
      <c r="I561" s="2"/>
      <c r="J561" s="10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07"/>
      <c r="C562" s="2"/>
      <c r="D562" s="2"/>
      <c r="E562" s="104"/>
      <c r="F562" s="106"/>
      <c r="G562" s="2"/>
      <c r="H562" s="2"/>
      <c r="I562" s="2"/>
      <c r="J562" s="10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07"/>
      <c r="C563" s="2"/>
      <c r="D563" s="2"/>
      <c r="E563" s="104"/>
      <c r="F563" s="106"/>
      <c r="G563" s="2"/>
      <c r="H563" s="2"/>
      <c r="I563" s="2"/>
      <c r="J563" s="10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07"/>
      <c r="C564" s="2"/>
      <c r="D564" s="2"/>
      <c r="E564" s="104"/>
      <c r="F564" s="106"/>
      <c r="G564" s="2"/>
      <c r="H564" s="2"/>
      <c r="I564" s="2"/>
      <c r="J564" s="10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07"/>
      <c r="C565" s="2"/>
      <c r="D565" s="2"/>
      <c r="E565" s="104"/>
      <c r="F565" s="106"/>
      <c r="G565" s="2"/>
      <c r="H565" s="2"/>
      <c r="I565" s="2"/>
      <c r="J565" s="10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07"/>
      <c r="C566" s="2"/>
      <c r="D566" s="2"/>
      <c r="E566" s="104"/>
      <c r="F566" s="106"/>
      <c r="G566" s="2"/>
      <c r="H566" s="2"/>
      <c r="I566" s="2"/>
      <c r="J566" s="10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07"/>
      <c r="C567" s="2"/>
      <c r="D567" s="2"/>
      <c r="E567" s="104"/>
      <c r="F567" s="106"/>
      <c r="G567" s="2"/>
      <c r="H567" s="2"/>
      <c r="I567" s="2"/>
      <c r="J567" s="10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07"/>
      <c r="C568" s="2"/>
      <c r="D568" s="2"/>
      <c r="E568" s="104"/>
      <c r="F568" s="106"/>
      <c r="G568" s="2"/>
      <c r="H568" s="2"/>
      <c r="I568" s="2"/>
      <c r="J568" s="10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07"/>
      <c r="C569" s="2"/>
      <c r="D569" s="2"/>
      <c r="E569" s="104"/>
      <c r="F569" s="106"/>
      <c r="G569" s="2"/>
      <c r="H569" s="2"/>
      <c r="I569" s="2"/>
      <c r="J569" s="10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07"/>
      <c r="C570" s="2"/>
      <c r="D570" s="2"/>
      <c r="E570" s="104"/>
      <c r="F570" s="106"/>
      <c r="G570" s="2"/>
      <c r="H570" s="2"/>
      <c r="I570" s="2"/>
      <c r="J570" s="10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07"/>
      <c r="C571" s="2"/>
      <c r="D571" s="2"/>
      <c r="E571" s="104"/>
      <c r="F571" s="106"/>
      <c r="G571" s="2"/>
      <c r="H571" s="2"/>
      <c r="I571" s="2"/>
      <c r="J571" s="10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07"/>
      <c r="C572" s="2"/>
      <c r="D572" s="2"/>
      <c r="E572" s="104"/>
      <c r="F572" s="106"/>
      <c r="G572" s="2"/>
      <c r="H572" s="2"/>
      <c r="I572" s="2"/>
      <c r="J572" s="10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07"/>
      <c r="C573" s="2"/>
      <c r="D573" s="2"/>
      <c r="E573" s="104"/>
      <c r="F573" s="106"/>
      <c r="G573" s="2"/>
      <c r="H573" s="2"/>
      <c r="I573" s="2"/>
      <c r="J573" s="10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07"/>
      <c r="C574" s="2"/>
      <c r="D574" s="2"/>
      <c r="E574" s="104"/>
      <c r="F574" s="106"/>
      <c r="G574" s="2"/>
      <c r="H574" s="2"/>
      <c r="I574" s="2"/>
      <c r="J574" s="10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07"/>
      <c r="C575" s="2"/>
      <c r="D575" s="2"/>
      <c r="E575" s="104"/>
      <c r="F575" s="106"/>
      <c r="G575" s="2"/>
      <c r="H575" s="2"/>
      <c r="I575" s="2"/>
      <c r="J575" s="10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07"/>
      <c r="C576" s="2"/>
      <c r="D576" s="2"/>
      <c r="E576" s="104"/>
      <c r="F576" s="106"/>
      <c r="G576" s="2"/>
      <c r="H576" s="2"/>
      <c r="I576" s="2"/>
      <c r="J576" s="10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07"/>
      <c r="C577" s="2"/>
      <c r="D577" s="2"/>
      <c r="E577" s="104"/>
      <c r="F577" s="106"/>
      <c r="G577" s="2"/>
      <c r="H577" s="2"/>
      <c r="I577" s="2"/>
      <c r="J577" s="10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07"/>
      <c r="C578" s="2"/>
      <c r="D578" s="2"/>
      <c r="E578" s="104"/>
      <c r="F578" s="106"/>
      <c r="G578" s="2"/>
      <c r="H578" s="2"/>
      <c r="I578" s="2"/>
      <c r="J578" s="10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07"/>
      <c r="C579" s="2"/>
      <c r="D579" s="2"/>
      <c r="E579" s="104"/>
      <c r="F579" s="106"/>
      <c r="G579" s="2"/>
      <c r="H579" s="2"/>
      <c r="I579" s="2"/>
      <c r="J579" s="10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07"/>
      <c r="C580" s="2"/>
      <c r="D580" s="2"/>
      <c r="E580" s="104"/>
      <c r="F580" s="106"/>
      <c r="G580" s="2"/>
      <c r="H580" s="2"/>
      <c r="I580" s="2"/>
      <c r="J580" s="10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07"/>
      <c r="C581" s="2"/>
      <c r="D581" s="2"/>
      <c r="E581" s="104"/>
      <c r="F581" s="106"/>
      <c r="G581" s="2"/>
      <c r="H581" s="2"/>
      <c r="I581" s="2"/>
      <c r="J581" s="10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07"/>
      <c r="C582" s="2"/>
      <c r="D582" s="2"/>
      <c r="E582" s="104"/>
      <c r="F582" s="106"/>
      <c r="G582" s="2"/>
      <c r="H582" s="2"/>
      <c r="I582" s="2"/>
      <c r="J582" s="10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07"/>
      <c r="C583" s="2"/>
      <c r="D583" s="2"/>
      <c r="E583" s="104"/>
      <c r="F583" s="106"/>
      <c r="G583" s="2"/>
      <c r="H583" s="2"/>
      <c r="I583" s="2"/>
      <c r="J583" s="10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07"/>
      <c r="C584" s="2"/>
      <c r="D584" s="2"/>
      <c r="E584" s="104"/>
      <c r="F584" s="106"/>
      <c r="G584" s="2"/>
      <c r="H584" s="2"/>
      <c r="I584" s="2"/>
      <c r="J584" s="10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07"/>
      <c r="C585" s="2"/>
      <c r="D585" s="2"/>
      <c r="E585" s="104"/>
      <c r="F585" s="106"/>
      <c r="G585" s="2"/>
      <c r="H585" s="2"/>
      <c r="I585" s="2"/>
      <c r="J585" s="10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07"/>
      <c r="C586" s="2"/>
      <c r="D586" s="2"/>
      <c r="E586" s="104"/>
      <c r="F586" s="106"/>
      <c r="G586" s="2"/>
      <c r="H586" s="2"/>
      <c r="I586" s="2"/>
      <c r="J586" s="10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07"/>
      <c r="C587" s="2"/>
      <c r="D587" s="2"/>
      <c r="E587" s="104"/>
      <c r="F587" s="106"/>
      <c r="G587" s="2"/>
      <c r="H587" s="2"/>
      <c r="I587" s="2"/>
      <c r="J587" s="10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07"/>
      <c r="C588" s="2"/>
      <c r="D588" s="2"/>
      <c r="E588" s="104"/>
      <c r="F588" s="106"/>
      <c r="G588" s="2"/>
      <c r="H588" s="2"/>
      <c r="I588" s="2"/>
      <c r="J588" s="10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07"/>
      <c r="C589" s="2"/>
      <c r="D589" s="2"/>
      <c r="E589" s="104"/>
      <c r="F589" s="106"/>
      <c r="G589" s="2"/>
      <c r="H589" s="2"/>
      <c r="I589" s="2"/>
      <c r="J589" s="10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07"/>
      <c r="C590" s="2"/>
      <c r="D590" s="2"/>
      <c r="E590" s="104"/>
      <c r="F590" s="106"/>
      <c r="G590" s="2"/>
      <c r="H590" s="2"/>
      <c r="I590" s="2"/>
      <c r="J590" s="10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07"/>
      <c r="C591" s="2"/>
      <c r="D591" s="2"/>
      <c r="E591" s="104"/>
      <c r="F591" s="106"/>
      <c r="G591" s="2"/>
      <c r="H591" s="2"/>
      <c r="I591" s="2"/>
      <c r="J591" s="10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07"/>
      <c r="C592" s="2"/>
      <c r="D592" s="2"/>
      <c r="E592" s="104"/>
      <c r="F592" s="106"/>
      <c r="G592" s="2"/>
      <c r="H592" s="2"/>
      <c r="I592" s="2"/>
      <c r="J592" s="10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07"/>
      <c r="C593" s="2"/>
      <c r="D593" s="2"/>
      <c r="E593" s="104"/>
      <c r="F593" s="106"/>
      <c r="G593" s="2"/>
      <c r="H593" s="2"/>
      <c r="I593" s="2"/>
      <c r="J593" s="10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07"/>
      <c r="C594" s="2"/>
      <c r="D594" s="2"/>
      <c r="E594" s="104"/>
      <c r="F594" s="106"/>
      <c r="G594" s="2"/>
      <c r="H594" s="2"/>
      <c r="I594" s="2"/>
      <c r="J594" s="10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07"/>
      <c r="C595" s="2"/>
      <c r="D595" s="2"/>
      <c r="E595" s="104"/>
      <c r="F595" s="106"/>
      <c r="G595" s="2"/>
      <c r="H595" s="2"/>
      <c r="I595" s="2"/>
      <c r="J595" s="10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07"/>
      <c r="C596" s="2"/>
      <c r="D596" s="2"/>
      <c r="E596" s="104"/>
      <c r="F596" s="106"/>
      <c r="G596" s="2"/>
      <c r="H596" s="2"/>
      <c r="I596" s="2"/>
      <c r="J596" s="10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07"/>
      <c r="C597" s="2"/>
      <c r="D597" s="2"/>
      <c r="E597" s="104"/>
      <c r="F597" s="106"/>
      <c r="G597" s="2"/>
      <c r="H597" s="2"/>
      <c r="I597" s="2"/>
      <c r="J597" s="10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07"/>
      <c r="C598" s="2"/>
      <c r="D598" s="2"/>
      <c r="E598" s="104"/>
      <c r="F598" s="106"/>
      <c r="G598" s="2"/>
      <c r="H598" s="2"/>
      <c r="I598" s="2"/>
      <c r="J598" s="10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07"/>
      <c r="C599" s="2"/>
      <c r="D599" s="2"/>
      <c r="E599" s="104"/>
      <c r="F599" s="106"/>
      <c r="G599" s="2"/>
      <c r="H599" s="2"/>
      <c r="I599" s="2"/>
      <c r="J599" s="10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07"/>
      <c r="C600" s="2"/>
      <c r="D600" s="2"/>
      <c r="E600" s="104"/>
      <c r="F600" s="106"/>
      <c r="G600" s="2"/>
      <c r="H600" s="2"/>
      <c r="I600" s="2"/>
      <c r="J600" s="10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07"/>
      <c r="C601" s="2"/>
      <c r="D601" s="2"/>
      <c r="E601" s="104"/>
      <c r="F601" s="106"/>
      <c r="G601" s="2"/>
      <c r="H601" s="2"/>
      <c r="I601" s="2"/>
      <c r="J601" s="10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07"/>
      <c r="C602" s="2"/>
      <c r="D602" s="2"/>
      <c r="E602" s="104"/>
      <c r="F602" s="106"/>
      <c r="G602" s="2"/>
      <c r="H602" s="2"/>
      <c r="I602" s="2"/>
      <c r="J602" s="10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07"/>
      <c r="C603" s="2"/>
      <c r="D603" s="2"/>
      <c r="E603" s="104"/>
      <c r="F603" s="106"/>
      <c r="G603" s="2"/>
      <c r="H603" s="2"/>
      <c r="I603" s="2"/>
      <c r="J603" s="10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07"/>
      <c r="C604" s="2"/>
      <c r="D604" s="2"/>
      <c r="E604" s="104"/>
      <c r="F604" s="106"/>
      <c r="G604" s="2"/>
      <c r="H604" s="2"/>
      <c r="I604" s="2"/>
      <c r="J604" s="10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07"/>
      <c r="C605" s="2"/>
      <c r="D605" s="2"/>
      <c r="E605" s="104"/>
      <c r="F605" s="106"/>
      <c r="G605" s="2"/>
      <c r="H605" s="2"/>
      <c r="I605" s="2"/>
      <c r="J605" s="10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07"/>
      <c r="C606" s="2"/>
      <c r="D606" s="2"/>
      <c r="E606" s="104"/>
      <c r="F606" s="106"/>
      <c r="G606" s="2"/>
      <c r="H606" s="2"/>
      <c r="I606" s="2"/>
      <c r="J606" s="10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07"/>
      <c r="C607" s="2"/>
      <c r="D607" s="2"/>
      <c r="E607" s="104"/>
      <c r="F607" s="106"/>
      <c r="G607" s="2"/>
      <c r="H607" s="2"/>
      <c r="I607" s="2"/>
      <c r="J607" s="10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07"/>
      <c r="C608" s="2"/>
      <c r="D608" s="2"/>
      <c r="E608" s="104"/>
      <c r="F608" s="106"/>
      <c r="G608" s="2"/>
      <c r="H608" s="2"/>
      <c r="I608" s="2"/>
      <c r="J608" s="10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07"/>
      <c r="C609" s="2"/>
      <c r="D609" s="2"/>
      <c r="E609" s="104"/>
      <c r="F609" s="106"/>
      <c r="G609" s="2"/>
      <c r="H609" s="2"/>
      <c r="I609" s="2"/>
      <c r="J609" s="10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07"/>
      <c r="C610" s="2"/>
      <c r="D610" s="2"/>
      <c r="E610" s="104"/>
      <c r="F610" s="106"/>
      <c r="G610" s="2"/>
      <c r="H610" s="2"/>
      <c r="I610" s="2"/>
      <c r="J610" s="10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07"/>
      <c r="C611" s="2"/>
      <c r="D611" s="2"/>
      <c r="E611" s="104"/>
      <c r="F611" s="106"/>
      <c r="G611" s="2"/>
      <c r="H611" s="2"/>
      <c r="I611" s="2"/>
      <c r="J611" s="10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07"/>
      <c r="C612" s="2"/>
      <c r="D612" s="2"/>
      <c r="E612" s="104"/>
      <c r="F612" s="106"/>
      <c r="G612" s="2"/>
      <c r="H612" s="2"/>
      <c r="I612" s="2"/>
      <c r="J612" s="10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07"/>
      <c r="C613" s="2"/>
      <c r="D613" s="2"/>
      <c r="E613" s="104"/>
      <c r="F613" s="106"/>
      <c r="G613" s="2"/>
      <c r="H613" s="2"/>
      <c r="I613" s="2"/>
      <c r="J613" s="10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07"/>
      <c r="C614" s="2"/>
      <c r="D614" s="2"/>
      <c r="E614" s="104"/>
      <c r="F614" s="106"/>
      <c r="G614" s="2"/>
      <c r="H614" s="2"/>
      <c r="I614" s="2"/>
      <c r="J614" s="10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07"/>
      <c r="C615" s="2"/>
      <c r="D615" s="2"/>
      <c r="E615" s="104"/>
      <c r="F615" s="106"/>
      <c r="G615" s="2"/>
      <c r="H615" s="2"/>
      <c r="I615" s="2"/>
      <c r="J615" s="10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07"/>
      <c r="C616" s="2"/>
      <c r="D616" s="2"/>
      <c r="E616" s="104"/>
      <c r="F616" s="106"/>
      <c r="G616" s="2"/>
      <c r="H616" s="2"/>
      <c r="I616" s="2"/>
      <c r="J616" s="10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07"/>
      <c r="C617" s="2"/>
      <c r="D617" s="2"/>
      <c r="E617" s="104"/>
      <c r="F617" s="106"/>
      <c r="G617" s="2"/>
      <c r="H617" s="2"/>
      <c r="I617" s="2"/>
      <c r="J617" s="10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07"/>
      <c r="C618" s="2"/>
      <c r="D618" s="2"/>
      <c r="E618" s="104"/>
      <c r="F618" s="106"/>
      <c r="G618" s="2"/>
      <c r="H618" s="2"/>
      <c r="I618" s="2"/>
      <c r="J618" s="10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07"/>
      <c r="C619" s="2"/>
      <c r="D619" s="2"/>
      <c r="E619" s="104"/>
      <c r="F619" s="106"/>
      <c r="G619" s="2"/>
      <c r="H619" s="2"/>
      <c r="I619" s="2"/>
      <c r="J619" s="10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07"/>
      <c r="C620" s="2"/>
      <c r="D620" s="2"/>
      <c r="E620" s="104"/>
      <c r="F620" s="106"/>
      <c r="G620" s="2"/>
      <c r="H620" s="2"/>
      <c r="I620" s="2"/>
      <c r="J620" s="10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07"/>
      <c r="C621" s="2"/>
      <c r="D621" s="2"/>
      <c r="E621" s="104"/>
      <c r="F621" s="106"/>
      <c r="G621" s="2"/>
      <c r="H621" s="2"/>
      <c r="I621" s="2"/>
      <c r="J621" s="10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07"/>
      <c r="C622" s="2"/>
      <c r="D622" s="2"/>
      <c r="E622" s="104"/>
      <c r="F622" s="106"/>
      <c r="G622" s="2"/>
      <c r="H622" s="2"/>
      <c r="I622" s="2"/>
      <c r="J622" s="10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07"/>
      <c r="C623" s="2"/>
      <c r="D623" s="2"/>
      <c r="E623" s="104"/>
      <c r="F623" s="106"/>
      <c r="G623" s="2"/>
      <c r="H623" s="2"/>
      <c r="I623" s="2"/>
      <c r="J623" s="10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07"/>
      <c r="C624" s="2"/>
      <c r="D624" s="2"/>
      <c r="E624" s="104"/>
      <c r="F624" s="106"/>
      <c r="G624" s="2"/>
      <c r="H624" s="2"/>
      <c r="I624" s="2"/>
      <c r="J624" s="10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07"/>
      <c r="C625" s="2"/>
      <c r="D625" s="2"/>
      <c r="E625" s="104"/>
      <c r="F625" s="106"/>
      <c r="G625" s="2"/>
      <c r="H625" s="2"/>
      <c r="I625" s="2"/>
      <c r="J625" s="10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07"/>
      <c r="C626" s="2"/>
      <c r="D626" s="2"/>
      <c r="E626" s="104"/>
      <c r="F626" s="106"/>
      <c r="G626" s="2"/>
      <c r="H626" s="2"/>
      <c r="I626" s="2"/>
      <c r="J626" s="10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07"/>
      <c r="C627" s="2"/>
      <c r="D627" s="2"/>
      <c r="E627" s="104"/>
      <c r="F627" s="106"/>
      <c r="G627" s="2"/>
      <c r="H627" s="2"/>
      <c r="I627" s="2"/>
      <c r="J627" s="10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07"/>
      <c r="C628" s="2"/>
      <c r="D628" s="2"/>
      <c r="E628" s="104"/>
      <c r="F628" s="106"/>
      <c r="G628" s="2"/>
      <c r="H628" s="2"/>
      <c r="I628" s="2"/>
      <c r="J628" s="10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07"/>
      <c r="C629" s="2"/>
      <c r="D629" s="2"/>
      <c r="E629" s="104"/>
      <c r="F629" s="106"/>
      <c r="G629" s="2"/>
      <c r="H629" s="2"/>
      <c r="I629" s="2"/>
      <c r="J629" s="10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07"/>
      <c r="C630" s="2"/>
      <c r="D630" s="2"/>
      <c r="E630" s="104"/>
      <c r="F630" s="106"/>
      <c r="G630" s="2"/>
      <c r="H630" s="2"/>
      <c r="I630" s="2"/>
      <c r="J630" s="10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07"/>
      <c r="C631" s="2"/>
      <c r="D631" s="2"/>
      <c r="E631" s="104"/>
      <c r="F631" s="106"/>
      <c r="G631" s="2"/>
      <c r="H631" s="2"/>
      <c r="I631" s="2"/>
      <c r="J631" s="10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07"/>
      <c r="C632" s="2"/>
      <c r="D632" s="2"/>
      <c r="E632" s="104"/>
      <c r="F632" s="106"/>
      <c r="G632" s="2"/>
      <c r="H632" s="2"/>
      <c r="I632" s="2"/>
      <c r="J632" s="10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07"/>
      <c r="C633" s="2"/>
      <c r="D633" s="2"/>
      <c r="E633" s="104"/>
      <c r="F633" s="106"/>
      <c r="G633" s="2"/>
      <c r="H633" s="2"/>
      <c r="I633" s="2"/>
      <c r="J633" s="10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07"/>
      <c r="C634" s="2"/>
      <c r="D634" s="2"/>
      <c r="E634" s="104"/>
      <c r="F634" s="106"/>
      <c r="G634" s="2"/>
      <c r="H634" s="2"/>
      <c r="I634" s="2"/>
      <c r="J634" s="10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07"/>
      <c r="C635" s="2"/>
      <c r="D635" s="2"/>
      <c r="E635" s="104"/>
      <c r="F635" s="106"/>
      <c r="G635" s="2"/>
      <c r="H635" s="2"/>
      <c r="I635" s="2"/>
      <c r="J635" s="10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07"/>
      <c r="C636" s="2"/>
      <c r="D636" s="2"/>
      <c r="E636" s="104"/>
      <c r="F636" s="106"/>
      <c r="G636" s="2"/>
      <c r="H636" s="2"/>
      <c r="I636" s="2"/>
      <c r="J636" s="10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07"/>
      <c r="C637" s="2"/>
      <c r="D637" s="2"/>
      <c r="E637" s="104"/>
      <c r="F637" s="106"/>
      <c r="G637" s="2"/>
      <c r="H637" s="2"/>
      <c r="I637" s="2"/>
      <c r="J637" s="10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07"/>
      <c r="C638" s="2"/>
      <c r="D638" s="2"/>
      <c r="E638" s="104"/>
      <c r="F638" s="106"/>
      <c r="G638" s="2"/>
      <c r="H638" s="2"/>
      <c r="I638" s="2"/>
      <c r="J638" s="10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07"/>
      <c r="C639" s="2"/>
      <c r="D639" s="2"/>
      <c r="E639" s="104"/>
      <c r="F639" s="106"/>
      <c r="G639" s="2"/>
      <c r="H639" s="2"/>
      <c r="I639" s="2"/>
      <c r="J639" s="10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07"/>
      <c r="C640" s="2"/>
      <c r="D640" s="2"/>
      <c r="E640" s="104"/>
      <c r="F640" s="106"/>
      <c r="G640" s="2"/>
      <c r="H640" s="2"/>
      <c r="I640" s="2"/>
      <c r="J640" s="10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07"/>
      <c r="C641" s="2"/>
      <c r="D641" s="2"/>
      <c r="E641" s="104"/>
      <c r="F641" s="106"/>
      <c r="G641" s="2"/>
      <c r="H641" s="2"/>
      <c r="I641" s="2"/>
      <c r="J641" s="10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07"/>
      <c r="C642" s="2"/>
      <c r="D642" s="2"/>
      <c r="E642" s="104"/>
      <c r="F642" s="106"/>
      <c r="G642" s="2"/>
      <c r="H642" s="2"/>
      <c r="I642" s="2"/>
      <c r="J642" s="10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07"/>
      <c r="C643" s="2"/>
      <c r="D643" s="2"/>
      <c r="E643" s="104"/>
      <c r="F643" s="106"/>
      <c r="G643" s="2"/>
      <c r="H643" s="2"/>
      <c r="I643" s="2"/>
      <c r="J643" s="10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07"/>
      <c r="C644" s="2"/>
      <c r="D644" s="2"/>
      <c r="E644" s="104"/>
      <c r="F644" s="106"/>
      <c r="G644" s="2"/>
      <c r="H644" s="2"/>
      <c r="I644" s="2"/>
      <c r="J644" s="10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07"/>
      <c r="C645" s="2"/>
      <c r="D645" s="2"/>
      <c r="E645" s="104"/>
      <c r="F645" s="106"/>
      <c r="G645" s="2"/>
      <c r="H645" s="2"/>
      <c r="I645" s="2"/>
      <c r="J645" s="10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07"/>
      <c r="C646" s="2"/>
      <c r="D646" s="2"/>
      <c r="E646" s="104"/>
      <c r="F646" s="106"/>
      <c r="G646" s="2"/>
      <c r="H646" s="2"/>
      <c r="I646" s="2"/>
      <c r="J646" s="10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07"/>
      <c r="C647" s="2"/>
      <c r="D647" s="2"/>
      <c r="E647" s="104"/>
      <c r="F647" s="106"/>
      <c r="G647" s="2"/>
      <c r="H647" s="2"/>
      <c r="I647" s="2"/>
      <c r="J647" s="10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07"/>
      <c r="C648" s="2"/>
      <c r="D648" s="2"/>
      <c r="E648" s="104"/>
      <c r="F648" s="106"/>
      <c r="G648" s="2"/>
      <c r="H648" s="2"/>
      <c r="I648" s="2"/>
      <c r="J648" s="10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07"/>
      <c r="C649" s="2"/>
      <c r="D649" s="2"/>
      <c r="E649" s="104"/>
      <c r="F649" s="106"/>
      <c r="G649" s="2"/>
      <c r="H649" s="2"/>
      <c r="I649" s="2"/>
      <c r="J649" s="10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07"/>
      <c r="C650" s="2"/>
      <c r="D650" s="2"/>
      <c r="E650" s="104"/>
      <c r="F650" s="106"/>
      <c r="G650" s="2"/>
      <c r="H650" s="2"/>
      <c r="I650" s="2"/>
      <c r="J650" s="10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07"/>
      <c r="C651" s="2"/>
      <c r="D651" s="2"/>
      <c r="E651" s="104"/>
      <c r="F651" s="106"/>
      <c r="G651" s="2"/>
      <c r="H651" s="2"/>
      <c r="I651" s="2"/>
      <c r="J651" s="10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07"/>
      <c r="C652" s="2"/>
      <c r="D652" s="2"/>
      <c r="E652" s="104"/>
      <c r="F652" s="106"/>
      <c r="G652" s="2"/>
      <c r="H652" s="2"/>
      <c r="I652" s="2"/>
      <c r="J652" s="10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07"/>
      <c r="C653" s="2"/>
      <c r="D653" s="2"/>
      <c r="E653" s="104"/>
      <c r="F653" s="106"/>
      <c r="G653" s="2"/>
      <c r="H653" s="2"/>
      <c r="I653" s="2"/>
      <c r="J653" s="10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07"/>
      <c r="C654" s="2"/>
      <c r="D654" s="2"/>
      <c r="E654" s="104"/>
      <c r="F654" s="106"/>
      <c r="G654" s="2"/>
      <c r="H654" s="2"/>
      <c r="I654" s="2"/>
      <c r="J654" s="10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07"/>
      <c r="C655" s="2"/>
      <c r="D655" s="2"/>
      <c r="E655" s="104"/>
      <c r="F655" s="106"/>
      <c r="G655" s="2"/>
      <c r="H655" s="2"/>
      <c r="I655" s="2"/>
      <c r="J655" s="10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07"/>
      <c r="C656" s="2"/>
      <c r="D656" s="2"/>
      <c r="E656" s="104"/>
      <c r="F656" s="106"/>
      <c r="G656" s="2"/>
      <c r="H656" s="2"/>
      <c r="I656" s="2"/>
      <c r="J656" s="10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07"/>
      <c r="C657" s="2"/>
      <c r="D657" s="2"/>
      <c r="E657" s="104"/>
      <c r="F657" s="106"/>
      <c r="G657" s="2"/>
      <c r="H657" s="2"/>
      <c r="I657" s="2"/>
      <c r="J657" s="10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07"/>
      <c r="C658" s="2"/>
      <c r="D658" s="2"/>
      <c r="E658" s="104"/>
      <c r="F658" s="106"/>
      <c r="G658" s="2"/>
      <c r="H658" s="2"/>
      <c r="I658" s="2"/>
      <c r="J658" s="10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07"/>
      <c r="C659" s="2"/>
      <c r="D659" s="2"/>
      <c r="E659" s="104"/>
      <c r="F659" s="106"/>
      <c r="G659" s="2"/>
      <c r="H659" s="2"/>
      <c r="I659" s="2"/>
      <c r="J659" s="10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07"/>
      <c r="C660" s="2"/>
      <c r="D660" s="2"/>
      <c r="E660" s="104"/>
      <c r="F660" s="106"/>
      <c r="G660" s="2"/>
      <c r="H660" s="2"/>
      <c r="I660" s="2"/>
      <c r="J660" s="10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07"/>
      <c r="C661" s="2"/>
      <c r="D661" s="2"/>
      <c r="E661" s="104"/>
      <c r="F661" s="106"/>
      <c r="G661" s="2"/>
      <c r="H661" s="2"/>
      <c r="I661" s="2"/>
      <c r="J661" s="10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07"/>
      <c r="C662" s="2"/>
      <c r="D662" s="2"/>
      <c r="E662" s="104"/>
      <c r="F662" s="106"/>
      <c r="G662" s="2"/>
      <c r="H662" s="2"/>
      <c r="I662" s="2"/>
      <c r="J662" s="10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07"/>
      <c r="C663" s="2"/>
      <c r="D663" s="2"/>
      <c r="E663" s="104"/>
      <c r="F663" s="106"/>
      <c r="G663" s="2"/>
      <c r="H663" s="2"/>
      <c r="I663" s="2"/>
      <c r="J663" s="10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07"/>
      <c r="C664" s="2"/>
      <c r="D664" s="2"/>
      <c r="E664" s="104"/>
      <c r="F664" s="106"/>
      <c r="G664" s="2"/>
      <c r="H664" s="2"/>
      <c r="I664" s="2"/>
      <c r="J664" s="10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07"/>
      <c r="C665" s="2"/>
      <c r="D665" s="2"/>
      <c r="E665" s="104"/>
      <c r="F665" s="106"/>
      <c r="G665" s="2"/>
      <c r="H665" s="2"/>
      <c r="I665" s="2"/>
      <c r="J665" s="10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07"/>
      <c r="C666" s="2"/>
      <c r="D666" s="2"/>
      <c r="E666" s="104"/>
      <c r="F666" s="106"/>
      <c r="G666" s="2"/>
      <c r="H666" s="2"/>
      <c r="I666" s="2"/>
      <c r="J666" s="10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07"/>
      <c r="C667" s="2"/>
      <c r="D667" s="2"/>
      <c r="E667" s="104"/>
      <c r="F667" s="106"/>
      <c r="G667" s="2"/>
      <c r="H667" s="2"/>
      <c r="I667" s="2"/>
      <c r="J667" s="10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07"/>
      <c r="C668" s="2"/>
      <c r="D668" s="2"/>
      <c r="E668" s="104"/>
      <c r="F668" s="106"/>
      <c r="G668" s="2"/>
      <c r="H668" s="2"/>
      <c r="I668" s="2"/>
      <c r="J668" s="10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07"/>
      <c r="C669" s="2"/>
      <c r="D669" s="2"/>
      <c r="E669" s="104"/>
      <c r="F669" s="106"/>
      <c r="G669" s="2"/>
      <c r="H669" s="2"/>
      <c r="I669" s="2"/>
      <c r="J669" s="10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07"/>
      <c r="C670" s="2"/>
      <c r="D670" s="2"/>
      <c r="E670" s="104"/>
      <c r="F670" s="106"/>
      <c r="G670" s="2"/>
      <c r="H670" s="2"/>
      <c r="I670" s="2"/>
      <c r="J670" s="10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07"/>
      <c r="C671" s="2"/>
      <c r="D671" s="2"/>
      <c r="E671" s="104"/>
      <c r="F671" s="106"/>
      <c r="G671" s="2"/>
      <c r="H671" s="2"/>
      <c r="I671" s="2"/>
      <c r="J671" s="10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07"/>
      <c r="C672" s="2"/>
      <c r="D672" s="2"/>
      <c r="E672" s="104"/>
      <c r="F672" s="106"/>
      <c r="G672" s="2"/>
      <c r="H672" s="2"/>
      <c r="I672" s="2"/>
      <c r="J672" s="10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07"/>
      <c r="C673" s="2"/>
      <c r="D673" s="2"/>
      <c r="E673" s="104"/>
      <c r="F673" s="106"/>
      <c r="G673" s="2"/>
      <c r="H673" s="2"/>
      <c r="I673" s="2"/>
      <c r="J673" s="10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07"/>
      <c r="C674" s="2"/>
      <c r="D674" s="2"/>
      <c r="E674" s="104"/>
      <c r="F674" s="106"/>
      <c r="G674" s="2"/>
      <c r="H674" s="2"/>
      <c r="I674" s="2"/>
      <c r="J674" s="10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07"/>
      <c r="C675" s="2"/>
      <c r="D675" s="2"/>
      <c r="E675" s="104"/>
      <c r="F675" s="106"/>
      <c r="G675" s="2"/>
      <c r="H675" s="2"/>
      <c r="I675" s="2"/>
      <c r="J675" s="10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07"/>
      <c r="C676" s="2"/>
      <c r="D676" s="2"/>
      <c r="E676" s="104"/>
      <c r="F676" s="106"/>
      <c r="G676" s="2"/>
      <c r="H676" s="2"/>
      <c r="I676" s="2"/>
      <c r="J676" s="10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07"/>
      <c r="C677" s="2"/>
      <c r="D677" s="2"/>
      <c r="E677" s="104"/>
      <c r="F677" s="106"/>
      <c r="G677" s="2"/>
      <c r="H677" s="2"/>
      <c r="I677" s="2"/>
      <c r="J677" s="10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07"/>
      <c r="C678" s="2"/>
      <c r="D678" s="2"/>
      <c r="E678" s="104"/>
      <c r="F678" s="106"/>
      <c r="G678" s="2"/>
      <c r="H678" s="2"/>
      <c r="I678" s="2"/>
      <c r="J678" s="10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07"/>
      <c r="C679" s="2"/>
      <c r="D679" s="2"/>
      <c r="E679" s="104"/>
      <c r="F679" s="106"/>
      <c r="G679" s="2"/>
      <c r="H679" s="2"/>
      <c r="I679" s="2"/>
      <c r="J679" s="10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07"/>
      <c r="C680" s="2"/>
      <c r="D680" s="2"/>
      <c r="E680" s="104"/>
      <c r="F680" s="106"/>
      <c r="G680" s="2"/>
      <c r="H680" s="2"/>
      <c r="I680" s="2"/>
      <c r="J680" s="10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07"/>
      <c r="C681" s="2"/>
      <c r="D681" s="2"/>
      <c r="E681" s="104"/>
      <c r="F681" s="106"/>
      <c r="G681" s="2"/>
      <c r="H681" s="2"/>
      <c r="I681" s="2"/>
      <c r="J681" s="10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07"/>
      <c r="C682" s="2"/>
      <c r="D682" s="2"/>
      <c r="E682" s="104"/>
      <c r="F682" s="106"/>
      <c r="G682" s="2"/>
      <c r="H682" s="2"/>
      <c r="I682" s="2"/>
      <c r="J682" s="10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07"/>
      <c r="C683" s="2"/>
      <c r="D683" s="2"/>
      <c r="E683" s="104"/>
      <c r="F683" s="106"/>
      <c r="G683" s="2"/>
      <c r="H683" s="2"/>
      <c r="I683" s="2"/>
      <c r="J683" s="10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07"/>
      <c r="C684" s="2"/>
      <c r="D684" s="2"/>
      <c r="E684" s="104"/>
      <c r="F684" s="106"/>
      <c r="G684" s="2"/>
      <c r="H684" s="2"/>
      <c r="I684" s="2"/>
      <c r="J684" s="10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07"/>
      <c r="C685" s="2"/>
      <c r="D685" s="2"/>
      <c r="E685" s="104"/>
      <c r="F685" s="106"/>
      <c r="G685" s="2"/>
      <c r="H685" s="2"/>
      <c r="I685" s="2"/>
      <c r="J685" s="10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07"/>
      <c r="C686" s="2"/>
      <c r="D686" s="2"/>
      <c r="E686" s="104"/>
      <c r="F686" s="106"/>
      <c r="G686" s="2"/>
      <c r="H686" s="2"/>
      <c r="I686" s="2"/>
      <c r="J686" s="10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07"/>
      <c r="C687" s="2"/>
      <c r="D687" s="2"/>
      <c r="E687" s="104"/>
      <c r="F687" s="106"/>
      <c r="G687" s="2"/>
      <c r="H687" s="2"/>
      <c r="I687" s="2"/>
      <c r="J687" s="10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07"/>
      <c r="C688" s="2"/>
      <c r="D688" s="2"/>
      <c r="E688" s="104"/>
      <c r="F688" s="106"/>
      <c r="G688" s="2"/>
      <c r="H688" s="2"/>
      <c r="I688" s="2"/>
      <c r="J688" s="10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07"/>
      <c r="C689" s="2"/>
      <c r="D689" s="2"/>
      <c r="E689" s="104"/>
      <c r="F689" s="106"/>
      <c r="G689" s="2"/>
      <c r="H689" s="2"/>
      <c r="I689" s="2"/>
      <c r="J689" s="10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07"/>
      <c r="C690" s="2"/>
      <c r="D690" s="2"/>
      <c r="E690" s="104"/>
      <c r="F690" s="106"/>
      <c r="G690" s="2"/>
      <c r="H690" s="2"/>
      <c r="I690" s="2"/>
      <c r="J690" s="10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07"/>
      <c r="C691" s="2"/>
      <c r="D691" s="2"/>
      <c r="E691" s="104"/>
      <c r="F691" s="106"/>
      <c r="G691" s="2"/>
      <c r="H691" s="2"/>
      <c r="I691" s="2"/>
      <c r="J691" s="10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07"/>
      <c r="C692" s="2"/>
      <c r="D692" s="2"/>
      <c r="E692" s="104"/>
      <c r="F692" s="106"/>
      <c r="G692" s="2"/>
      <c r="H692" s="2"/>
      <c r="I692" s="2"/>
      <c r="J692" s="10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07"/>
      <c r="C693" s="2"/>
      <c r="D693" s="2"/>
      <c r="E693" s="104"/>
      <c r="F693" s="106"/>
      <c r="G693" s="2"/>
      <c r="H693" s="2"/>
      <c r="I693" s="2"/>
      <c r="J693" s="10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07"/>
      <c r="C694" s="2"/>
      <c r="D694" s="2"/>
      <c r="E694" s="104"/>
      <c r="F694" s="106"/>
      <c r="G694" s="2"/>
      <c r="H694" s="2"/>
      <c r="I694" s="2"/>
      <c r="J694" s="10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07"/>
      <c r="C695" s="2"/>
      <c r="D695" s="2"/>
      <c r="E695" s="104"/>
      <c r="F695" s="106"/>
      <c r="G695" s="2"/>
      <c r="H695" s="2"/>
      <c r="I695" s="2"/>
      <c r="J695" s="10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07"/>
      <c r="C696" s="2"/>
      <c r="D696" s="2"/>
      <c r="E696" s="104"/>
      <c r="F696" s="106"/>
      <c r="G696" s="2"/>
      <c r="H696" s="2"/>
      <c r="I696" s="2"/>
      <c r="J696" s="10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07"/>
      <c r="C697" s="2"/>
      <c r="D697" s="2"/>
      <c r="E697" s="104"/>
      <c r="F697" s="106"/>
      <c r="G697" s="2"/>
      <c r="H697" s="2"/>
      <c r="I697" s="2"/>
      <c r="J697" s="10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07"/>
      <c r="C698" s="2"/>
      <c r="D698" s="2"/>
      <c r="E698" s="104"/>
      <c r="F698" s="106"/>
      <c r="G698" s="2"/>
      <c r="H698" s="2"/>
      <c r="I698" s="2"/>
      <c r="J698" s="10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07"/>
      <c r="C699" s="2"/>
      <c r="D699" s="2"/>
      <c r="E699" s="104"/>
      <c r="F699" s="106"/>
      <c r="G699" s="2"/>
      <c r="H699" s="2"/>
      <c r="I699" s="2"/>
      <c r="J699" s="10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07"/>
      <c r="C700" s="2"/>
      <c r="D700" s="2"/>
      <c r="E700" s="104"/>
      <c r="F700" s="106"/>
      <c r="G700" s="2"/>
      <c r="H700" s="2"/>
      <c r="I700" s="2"/>
      <c r="J700" s="10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07"/>
      <c r="C701" s="2"/>
      <c r="D701" s="2"/>
      <c r="E701" s="104"/>
      <c r="F701" s="106"/>
      <c r="G701" s="2"/>
      <c r="H701" s="2"/>
      <c r="I701" s="2"/>
      <c r="J701" s="10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07"/>
      <c r="C702" s="2"/>
      <c r="D702" s="2"/>
      <c r="E702" s="104"/>
      <c r="F702" s="106"/>
      <c r="G702" s="2"/>
      <c r="H702" s="2"/>
      <c r="I702" s="2"/>
      <c r="J702" s="10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07"/>
      <c r="C703" s="2"/>
      <c r="D703" s="2"/>
      <c r="E703" s="104"/>
      <c r="F703" s="106"/>
      <c r="G703" s="2"/>
      <c r="H703" s="2"/>
      <c r="I703" s="2"/>
      <c r="J703" s="10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07"/>
      <c r="C704" s="2"/>
      <c r="D704" s="2"/>
      <c r="E704" s="104"/>
      <c r="F704" s="106"/>
      <c r="G704" s="2"/>
      <c r="H704" s="2"/>
      <c r="I704" s="2"/>
      <c r="J704" s="10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07"/>
      <c r="C705" s="2"/>
      <c r="D705" s="2"/>
      <c r="E705" s="104"/>
      <c r="F705" s="106"/>
      <c r="G705" s="2"/>
      <c r="H705" s="2"/>
      <c r="I705" s="2"/>
      <c r="J705" s="10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07"/>
      <c r="C706" s="2"/>
      <c r="D706" s="2"/>
      <c r="E706" s="104"/>
      <c r="F706" s="106"/>
      <c r="G706" s="2"/>
      <c r="H706" s="2"/>
      <c r="I706" s="2"/>
      <c r="J706" s="10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07"/>
      <c r="C707" s="2"/>
      <c r="D707" s="2"/>
      <c r="E707" s="104"/>
      <c r="F707" s="106"/>
      <c r="G707" s="2"/>
      <c r="H707" s="2"/>
      <c r="I707" s="2"/>
      <c r="J707" s="10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07"/>
      <c r="C708" s="2"/>
      <c r="D708" s="2"/>
      <c r="E708" s="104"/>
      <c r="F708" s="106"/>
      <c r="G708" s="2"/>
      <c r="H708" s="2"/>
      <c r="I708" s="2"/>
      <c r="J708" s="10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07"/>
      <c r="C709" s="2"/>
      <c r="D709" s="2"/>
      <c r="E709" s="104"/>
      <c r="F709" s="106"/>
      <c r="G709" s="2"/>
      <c r="H709" s="2"/>
      <c r="I709" s="2"/>
      <c r="J709" s="10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07"/>
      <c r="C710" s="2"/>
      <c r="D710" s="2"/>
      <c r="E710" s="104"/>
      <c r="F710" s="106"/>
      <c r="G710" s="2"/>
      <c r="H710" s="2"/>
      <c r="I710" s="2"/>
      <c r="J710" s="10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07"/>
      <c r="C711" s="2"/>
      <c r="D711" s="2"/>
      <c r="E711" s="104"/>
      <c r="F711" s="106"/>
      <c r="G711" s="2"/>
      <c r="H711" s="2"/>
      <c r="I711" s="2"/>
      <c r="J711" s="10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07"/>
      <c r="C712" s="2"/>
      <c r="D712" s="2"/>
      <c r="E712" s="104"/>
      <c r="F712" s="106"/>
      <c r="G712" s="2"/>
      <c r="H712" s="2"/>
      <c r="I712" s="2"/>
      <c r="J712" s="10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07"/>
      <c r="C713" s="2"/>
      <c r="D713" s="2"/>
      <c r="E713" s="104"/>
      <c r="F713" s="106"/>
      <c r="G713" s="2"/>
      <c r="H713" s="2"/>
      <c r="I713" s="2"/>
      <c r="J713" s="10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07"/>
      <c r="C714" s="2"/>
      <c r="D714" s="2"/>
      <c r="E714" s="104"/>
      <c r="F714" s="106"/>
      <c r="G714" s="2"/>
      <c r="H714" s="2"/>
      <c r="I714" s="2"/>
      <c r="J714" s="10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07"/>
      <c r="C715" s="2"/>
      <c r="D715" s="2"/>
      <c r="E715" s="104"/>
      <c r="F715" s="106"/>
      <c r="G715" s="2"/>
      <c r="H715" s="2"/>
      <c r="I715" s="2"/>
      <c r="J715" s="10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07"/>
      <c r="C716" s="2"/>
      <c r="D716" s="2"/>
      <c r="E716" s="104"/>
      <c r="F716" s="106"/>
      <c r="G716" s="2"/>
      <c r="H716" s="2"/>
      <c r="I716" s="2"/>
      <c r="J716" s="10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07"/>
      <c r="C717" s="2"/>
      <c r="D717" s="2"/>
      <c r="E717" s="104"/>
      <c r="F717" s="106"/>
      <c r="G717" s="2"/>
      <c r="H717" s="2"/>
      <c r="I717" s="2"/>
      <c r="J717" s="10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07"/>
      <c r="C718" s="2"/>
      <c r="D718" s="2"/>
      <c r="E718" s="104"/>
      <c r="F718" s="106"/>
      <c r="G718" s="2"/>
      <c r="H718" s="2"/>
      <c r="I718" s="2"/>
      <c r="J718" s="10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07"/>
      <c r="C719" s="2"/>
      <c r="D719" s="2"/>
      <c r="E719" s="104"/>
      <c r="F719" s="106"/>
      <c r="G719" s="2"/>
      <c r="H719" s="2"/>
      <c r="I719" s="2"/>
      <c r="J719" s="10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07"/>
      <c r="C720" s="2"/>
      <c r="D720" s="2"/>
      <c r="E720" s="104"/>
      <c r="F720" s="106"/>
      <c r="G720" s="2"/>
      <c r="H720" s="2"/>
      <c r="I720" s="2"/>
      <c r="J720" s="10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07"/>
      <c r="C721" s="2"/>
      <c r="D721" s="2"/>
      <c r="E721" s="104"/>
      <c r="F721" s="106"/>
      <c r="G721" s="2"/>
      <c r="H721" s="2"/>
      <c r="I721" s="2"/>
      <c r="J721" s="10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07"/>
      <c r="C722" s="2"/>
      <c r="D722" s="2"/>
      <c r="E722" s="104"/>
      <c r="F722" s="106"/>
      <c r="G722" s="2"/>
      <c r="H722" s="2"/>
      <c r="I722" s="2"/>
      <c r="J722" s="10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07"/>
      <c r="C723" s="2"/>
      <c r="D723" s="2"/>
      <c r="E723" s="104"/>
      <c r="F723" s="106"/>
      <c r="G723" s="2"/>
      <c r="H723" s="2"/>
      <c r="I723" s="2"/>
      <c r="J723" s="10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07"/>
      <c r="C724" s="2"/>
      <c r="D724" s="2"/>
      <c r="E724" s="104"/>
      <c r="F724" s="106"/>
      <c r="G724" s="2"/>
      <c r="H724" s="2"/>
      <c r="I724" s="2"/>
      <c r="J724" s="10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07"/>
      <c r="C725" s="2"/>
      <c r="D725" s="2"/>
      <c r="E725" s="104"/>
      <c r="F725" s="106"/>
      <c r="G725" s="2"/>
      <c r="H725" s="2"/>
      <c r="I725" s="2"/>
      <c r="J725" s="10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07"/>
      <c r="C726" s="2"/>
      <c r="D726" s="2"/>
      <c r="E726" s="104"/>
      <c r="F726" s="106"/>
      <c r="G726" s="2"/>
      <c r="H726" s="2"/>
      <c r="I726" s="2"/>
      <c r="J726" s="10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07"/>
      <c r="C727" s="2"/>
      <c r="D727" s="2"/>
      <c r="E727" s="104"/>
      <c r="F727" s="106"/>
      <c r="G727" s="2"/>
      <c r="H727" s="2"/>
      <c r="I727" s="2"/>
      <c r="J727" s="10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07"/>
      <c r="C728" s="2"/>
      <c r="D728" s="2"/>
      <c r="E728" s="104"/>
      <c r="F728" s="106"/>
      <c r="G728" s="2"/>
      <c r="H728" s="2"/>
      <c r="I728" s="2"/>
      <c r="J728" s="10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07"/>
      <c r="C729" s="2"/>
      <c r="D729" s="2"/>
      <c r="E729" s="104"/>
      <c r="F729" s="106"/>
      <c r="G729" s="2"/>
      <c r="H729" s="2"/>
      <c r="I729" s="2"/>
      <c r="J729" s="10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07"/>
      <c r="C730" s="2"/>
      <c r="D730" s="2"/>
      <c r="E730" s="104"/>
      <c r="F730" s="106"/>
      <c r="G730" s="2"/>
      <c r="H730" s="2"/>
      <c r="I730" s="2"/>
      <c r="J730" s="10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07"/>
      <c r="C731" s="2"/>
      <c r="D731" s="2"/>
      <c r="E731" s="104"/>
      <c r="F731" s="106"/>
      <c r="G731" s="2"/>
      <c r="H731" s="2"/>
      <c r="I731" s="2"/>
      <c r="J731" s="10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07"/>
      <c r="C732" s="2"/>
      <c r="D732" s="2"/>
      <c r="E732" s="104"/>
      <c r="F732" s="106"/>
      <c r="G732" s="2"/>
      <c r="H732" s="2"/>
      <c r="I732" s="2"/>
      <c r="J732" s="10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07"/>
      <c r="C733" s="2"/>
      <c r="D733" s="2"/>
      <c r="E733" s="104"/>
      <c r="F733" s="106"/>
      <c r="G733" s="2"/>
      <c r="H733" s="2"/>
      <c r="I733" s="2"/>
      <c r="J733" s="10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07"/>
      <c r="C734" s="2"/>
      <c r="D734" s="2"/>
      <c r="E734" s="104"/>
      <c r="F734" s="106"/>
      <c r="G734" s="2"/>
      <c r="H734" s="2"/>
      <c r="I734" s="2"/>
      <c r="J734" s="10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07"/>
      <c r="C735" s="2"/>
      <c r="D735" s="2"/>
      <c r="E735" s="104"/>
      <c r="F735" s="106"/>
      <c r="G735" s="2"/>
      <c r="H735" s="2"/>
      <c r="I735" s="2"/>
      <c r="J735" s="10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07"/>
      <c r="C736" s="2"/>
      <c r="D736" s="2"/>
      <c r="E736" s="104"/>
      <c r="F736" s="106"/>
      <c r="G736" s="2"/>
      <c r="H736" s="2"/>
      <c r="I736" s="2"/>
      <c r="J736" s="10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07"/>
      <c r="C737" s="2"/>
      <c r="D737" s="2"/>
      <c r="E737" s="104"/>
      <c r="F737" s="106"/>
      <c r="G737" s="2"/>
      <c r="H737" s="2"/>
      <c r="I737" s="2"/>
      <c r="J737" s="10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07"/>
      <c r="C738" s="2"/>
      <c r="D738" s="2"/>
      <c r="E738" s="104"/>
      <c r="F738" s="106"/>
      <c r="G738" s="2"/>
      <c r="H738" s="2"/>
      <c r="I738" s="2"/>
      <c r="J738" s="10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07"/>
      <c r="C739" s="2"/>
      <c r="D739" s="2"/>
      <c r="E739" s="104"/>
      <c r="F739" s="106"/>
      <c r="G739" s="2"/>
      <c r="H739" s="2"/>
      <c r="I739" s="2"/>
      <c r="J739" s="10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07"/>
      <c r="C740" s="2"/>
      <c r="D740" s="2"/>
      <c r="E740" s="104"/>
      <c r="F740" s="106"/>
      <c r="G740" s="2"/>
      <c r="H740" s="2"/>
      <c r="I740" s="2"/>
      <c r="J740" s="10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07"/>
      <c r="C741" s="2"/>
      <c r="D741" s="2"/>
      <c r="E741" s="104"/>
      <c r="F741" s="106"/>
      <c r="G741" s="2"/>
      <c r="H741" s="2"/>
      <c r="I741" s="2"/>
      <c r="J741" s="10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07"/>
      <c r="C742" s="2"/>
      <c r="D742" s="2"/>
      <c r="E742" s="104"/>
      <c r="F742" s="106"/>
      <c r="G742" s="2"/>
      <c r="H742" s="2"/>
      <c r="I742" s="2"/>
      <c r="J742" s="10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07"/>
      <c r="C743" s="2"/>
      <c r="D743" s="2"/>
      <c r="E743" s="104"/>
      <c r="F743" s="106"/>
      <c r="G743" s="2"/>
      <c r="H743" s="2"/>
      <c r="I743" s="2"/>
      <c r="J743" s="10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07"/>
      <c r="C744" s="2"/>
      <c r="D744" s="2"/>
      <c r="E744" s="104"/>
      <c r="F744" s="106"/>
      <c r="G744" s="2"/>
      <c r="H744" s="2"/>
      <c r="I744" s="2"/>
      <c r="J744" s="10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07"/>
      <c r="C745" s="2"/>
      <c r="D745" s="2"/>
      <c r="E745" s="104"/>
      <c r="F745" s="106"/>
      <c r="G745" s="2"/>
      <c r="H745" s="2"/>
      <c r="I745" s="2"/>
      <c r="J745" s="10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07"/>
      <c r="C746" s="2"/>
      <c r="D746" s="2"/>
      <c r="E746" s="104"/>
      <c r="F746" s="106"/>
      <c r="G746" s="2"/>
      <c r="H746" s="2"/>
      <c r="I746" s="2"/>
      <c r="J746" s="10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07"/>
      <c r="C747" s="2"/>
      <c r="D747" s="2"/>
      <c r="E747" s="104"/>
      <c r="F747" s="106"/>
      <c r="G747" s="2"/>
      <c r="H747" s="2"/>
      <c r="I747" s="2"/>
      <c r="J747" s="10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07"/>
      <c r="C748" s="2"/>
      <c r="D748" s="2"/>
      <c r="E748" s="104"/>
      <c r="F748" s="106"/>
      <c r="G748" s="2"/>
      <c r="H748" s="2"/>
      <c r="I748" s="2"/>
      <c r="J748" s="10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07"/>
      <c r="C749" s="2"/>
      <c r="D749" s="2"/>
      <c r="E749" s="104"/>
      <c r="F749" s="106"/>
      <c r="G749" s="2"/>
      <c r="H749" s="2"/>
      <c r="I749" s="2"/>
      <c r="J749" s="10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07"/>
      <c r="C750" s="2"/>
      <c r="D750" s="2"/>
      <c r="E750" s="104"/>
      <c r="F750" s="106"/>
      <c r="G750" s="2"/>
      <c r="H750" s="2"/>
      <c r="I750" s="2"/>
      <c r="J750" s="10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07"/>
      <c r="C751" s="2"/>
      <c r="D751" s="2"/>
      <c r="E751" s="104"/>
      <c r="F751" s="106"/>
      <c r="G751" s="2"/>
      <c r="H751" s="2"/>
      <c r="I751" s="2"/>
      <c r="J751" s="10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07"/>
      <c r="C752" s="2"/>
      <c r="D752" s="2"/>
      <c r="E752" s="104"/>
      <c r="F752" s="106"/>
      <c r="G752" s="2"/>
      <c r="H752" s="2"/>
      <c r="I752" s="2"/>
      <c r="J752" s="10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07"/>
      <c r="C753" s="2"/>
      <c r="D753" s="2"/>
      <c r="E753" s="104"/>
      <c r="F753" s="106"/>
      <c r="G753" s="2"/>
      <c r="H753" s="2"/>
      <c r="I753" s="2"/>
      <c r="J753" s="10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07"/>
      <c r="C754" s="2"/>
      <c r="D754" s="2"/>
      <c r="E754" s="104"/>
      <c r="F754" s="106"/>
      <c r="G754" s="2"/>
      <c r="H754" s="2"/>
      <c r="I754" s="2"/>
      <c r="J754" s="10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07"/>
      <c r="C755" s="2"/>
      <c r="D755" s="2"/>
      <c r="E755" s="104"/>
      <c r="F755" s="106"/>
      <c r="G755" s="2"/>
      <c r="H755" s="2"/>
      <c r="I755" s="2"/>
      <c r="J755" s="10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07"/>
      <c r="C756" s="2"/>
      <c r="D756" s="2"/>
      <c r="E756" s="104"/>
      <c r="F756" s="106"/>
      <c r="G756" s="2"/>
      <c r="H756" s="2"/>
      <c r="I756" s="2"/>
      <c r="J756" s="10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07"/>
      <c r="C757" s="2"/>
      <c r="D757" s="2"/>
      <c r="E757" s="104"/>
      <c r="F757" s="106"/>
      <c r="G757" s="2"/>
      <c r="H757" s="2"/>
      <c r="I757" s="2"/>
      <c r="J757" s="10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07"/>
      <c r="C758" s="2"/>
      <c r="D758" s="2"/>
      <c r="E758" s="104"/>
      <c r="F758" s="106"/>
      <c r="G758" s="2"/>
      <c r="H758" s="2"/>
      <c r="I758" s="2"/>
      <c r="J758" s="10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07"/>
      <c r="C759" s="2"/>
      <c r="D759" s="2"/>
      <c r="E759" s="104"/>
      <c r="F759" s="106"/>
      <c r="G759" s="2"/>
      <c r="H759" s="2"/>
      <c r="I759" s="2"/>
      <c r="J759" s="10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07"/>
      <c r="C760" s="2"/>
      <c r="D760" s="2"/>
      <c r="E760" s="104"/>
      <c r="F760" s="106"/>
      <c r="G760" s="2"/>
      <c r="H760" s="2"/>
      <c r="I760" s="2"/>
      <c r="J760" s="10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07"/>
      <c r="C761" s="2"/>
      <c r="D761" s="2"/>
      <c r="E761" s="104"/>
      <c r="F761" s="106"/>
      <c r="G761" s="2"/>
      <c r="H761" s="2"/>
      <c r="I761" s="2"/>
      <c r="J761" s="10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07"/>
      <c r="C762" s="2"/>
      <c r="D762" s="2"/>
      <c r="E762" s="104"/>
      <c r="F762" s="106"/>
      <c r="G762" s="2"/>
      <c r="H762" s="2"/>
      <c r="I762" s="2"/>
      <c r="J762" s="10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07"/>
      <c r="C763" s="2"/>
      <c r="D763" s="2"/>
      <c r="E763" s="104"/>
      <c r="F763" s="106"/>
      <c r="G763" s="2"/>
      <c r="H763" s="2"/>
      <c r="I763" s="2"/>
      <c r="J763" s="10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07"/>
      <c r="C764" s="2"/>
      <c r="D764" s="2"/>
      <c r="E764" s="104"/>
      <c r="F764" s="106"/>
      <c r="G764" s="2"/>
      <c r="H764" s="2"/>
      <c r="I764" s="2"/>
      <c r="J764" s="10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07"/>
      <c r="C765" s="2"/>
      <c r="D765" s="2"/>
      <c r="E765" s="104"/>
      <c r="F765" s="106"/>
      <c r="G765" s="2"/>
      <c r="H765" s="2"/>
      <c r="I765" s="2"/>
      <c r="J765" s="10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07"/>
      <c r="C766" s="2"/>
      <c r="D766" s="2"/>
      <c r="E766" s="104"/>
      <c r="F766" s="106"/>
      <c r="G766" s="2"/>
      <c r="H766" s="2"/>
      <c r="I766" s="2"/>
      <c r="J766" s="10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07"/>
      <c r="C767" s="2"/>
      <c r="D767" s="2"/>
      <c r="E767" s="104"/>
      <c r="F767" s="106"/>
      <c r="G767" s="2"/>
      <c r="H767" s="2"/>
      <c r="I767" s="2"/>
      <c r="J767" s="10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07"/>
      <c r="C768" s="2"/>
      <c r="D768" s="2"/>
      <c r="E768" s="104"/>
      <c r="F768" s="106"/>
      <c r="G768" s="2"/>
      <c r="H768" s="2"/>
      <c r="I768" s="2"/>
      <c r="J768" s="10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07"/>
      <c r="C769" s="2"/>
      <c r="D769" s="2"/>
      <c r="E769" s="104"/>
      <c r="F769" s="106"/>
      <c r="G769" s="2"/>
      <c r="H769" s="2"/>
      <c r="I769" s="2"/>
      <c r="J769" s="10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07"/>
      <c r="C770" s="2"/>
      <c r="D770" s="2"/>
      <c r="E770" s="104"/>
      <c r="F770" s="106"/>
      <c r="G770" s="2"/>
      <c r="H770" s="2"/>
      <c r="I770" s="2"/>
      <c r="J770" s="10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07"/>
      <c r="C771" s="2"/>
      <c r="D771" s="2"/>
      <c r="E771" s="104"/>
      <c r="F771" s="106"/>
      <c r="G771" s="2"/>
      <c r="H771" s="2"/>
      <c r="I771" s="2"/>
      <c r="J771" s="10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07"/>
      <c r="C772" s="2"/>
      <c r="D772" s="2"/>
      <c r="E772" s="104"/>
      <c r="F772" s="106"/>
      <c r="G772" s="2"/>
      <c r="H772" s="2"/>
      <c r="I772" s="2"/>
      <c r="J772" s="10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07"/>
      <c r="C773" s="2"/>
      <c r="D773" s="2"/>
      <c r="E773" s="104"/>
      <c r="F773" s="106"/>
      <c r="G773" s="2"/>
      <c r="H773" s="2"/>
      <c r="I773" s="2"/>
      <c r="J773" s="10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07"/>
      <c r="C774" s="2"/>
      <c r="D774" s="2"/>
      <c r="E774" s="104"/>
      <c r="F774" s="106"/>
      <c r="G774" s="2"/>
      <c r="H774" s="2"/>
      <c r="I774" s="2"/>
      <c r="J774" s="10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07"/>
      <c r="C775" s="2"/>
      <c r="D775" s="2"/>
      <c r="E775" s="104"/>
      <c r="F775" s="106"/>
      <c r="G775" s="2"/>
      <c r="H775" s="2"/>
      <c r="I775" s="2"/>
      <c r="J775" s="10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07"/>
      <c r="C776" s="2"/>
      <c r="D776" s="2"/>
      <c r="E776" s="104"/>
      <c r="F776" s="106"/>
      <c r="G776" s="2"/>
      <c r="H776" s="2"/>
      <c r="I776" s="2"/>
      <c r="J776" s="10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07"/>
      <c r="C777" s="2"/>
      <c r="D777" s="2"/>
      <c r="E777" s="104"/>
      <c r="F777" s="106"/>
      <c r="G777" s="2"/>
      <c r="H777" s="2"/>
      <c r="I777" s="2"/>
      <c r="J777" s="10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07"/>
      <c r="C778" s="2"/>
      <c r="D778" s="2"/>
      <c r="E778" s="104"/>
      <c r="F778" s="106"/>
      <c r="G778" s="2"/>
      <c r="H778" s="2"/>
      <c r="I778" s="2"/>
      <c r="J778" s="10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07"/>
      <c r="C779" s="2"/>
      <c r="D779" s="2"/>
      <c r="E779" s="104"/>
      <c r="F779" s="106"/>
      <c r="G779" s="2"/>
      <c r="H779" s="2"/>
      <c r="I779" s="2"/>
      <c r="J779" s="10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07"/>
      <c r="C780" s="2"/>
      <c r="D780" s="2"/>
      <c r="E780" s="104"/>
      <c r="F780" s="106"/>
      <c r="G780" s="2"/>
      <c r="H780" s="2"/>
      <c r="I780" s="2"/>
      <c r="J780" s="10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07"/>
      <c r="C781" s="2"/>
      <c r="D781" s="2"/>
      <c r="E781" s="104"/>
      <c r="F781" s="106"/>
      <c r="G781" s="2"/>
      <c r="H781" s="2"/>
      <c r="I781" s="2"/>
      <c r="J781" s="10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07"/>
      <c r="C782" s="2"/>
      <c r="D782" s="2"/>
      <c r="E782" s="104"/>
      <c r="F782" s="106"/>
      <c r="G782" s="2"/>
      <c r="H782" s="2"/>
      <c r="I782" s="2"/>
      <c r="J782" s="10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07"/>
      <c r="C783" s="2"/>
      <c r="D783" s="2"/>
      <c r="E783" s="104"/>
      <c r="F783" s="106"/>
      <c r="G783" s="2"/>
      <c r="H783" s="2"/>
      <c r="I783" s="2"/>
      <c r="J783" s="10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07"/>
      <c r="C784" s="2"/>
      <c r="D784" s="2"/>
      <c r="E784" s="104"/>
      <c r="F784" s="106"/>
      <c r="G784" s="2"/>
      <c r="H784" s="2"/>
      <c r="I784" s="2"/>
      <c r="J784" s="10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07"/>
      <c r="C785" s="2"/>
      <c r="D785" s="2"/>
      <c r="E785" s="104"/>
      <c r="F785" s="106"/>
      <c r="G785" s="2"/>
      <c r="H785" s="2"/>
      <c r="I785" s="2"/>
      <c r="J785" s="10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07"/>
      <c r="C786" s="2"/>
      <c r="D786" s="2"/>
      <c r="E786" s="104"/>
      <c r="F786" s="106"/>
      <c r="G786" s="2"/>
      <c r="H786" s="2"/>
      <c r="I786" s="2"/>
      <c r="J786" s="10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07"/>
      <c r="C787" s="2"/>
      <c r="D787" s="2"/>
      <c r="E787" s="104"/>
      <c r="F787" s="106"/>
      <c r="G787" s="2"/>
      <c r="H787" s="2"/>
      <c r="I787" s="2"/>
      <c r="J787" s="10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07"/>
      <c r="C788" s="2"/>
      <c r="D788" s="2"/>
      <c r="E788" s="104"/>
      <c r="F788" s="106"/>
      <c r="G788" s="2"/>
      <c r="H788" s="2"/>
      <c r="I788" s="2"/>
      <c r="J788" s="10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07"/>
      <c r="C789" s="2"/>
      <c r="D789" s="2"/>
      <c r="E789" s="104"/>
      <c r="F789" s="106"/>
      <c r="G789" s="2"/>
      <c r="H789" s="2"/>
      <c r="I789" s="2"/>
      <c r="J789" s="10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07"/>
      <c r="C790" s="2"/>
      <c r="D790" s="2"/>
      <c r="E790" s="104"/>
      <c r="F790" s="106"/>
      <c r="G790" s="2"/>
      <c r="H790" s="2"/>
      <c r="I790" s="2"/>
      <c r="J790" s="10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07"/>
      <c r="C791" s="2"/>
      <c r="D791" s="2"/>
      <c r="E791" s="104"/>
      <c r="F791" s="106"/>
      <c r="G791" s="2"/>
      <c r="H791" s="2"/>
      <c r="I791" s="2"/>
      <c r="J791" s="10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07"/>
      <c r="C792" s="2"/>
      <c r="D792" s="2"/>
      <c r="E792" s="104"/>
      <c r="F792" s="106"/>
      <c r="G792" s="2"/>
      <c r="H792" s="2"/>
      <c r="I792" s="2"/>
      <c r="J792" s="10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07"/>
      <c r="C793" s="2"/>
      <c r="D793" s="2"/>
      <c r="E793" s="104"/>
      <c r="F793" s="106"/>
      <c r="G793" s="2"/>
      <c r="H793" s="2"/>
      <c r="I793" s="2"/>
      <c r="J793" s="10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07"/>
      <c r="C794" s="2"/>
      <c r="D794" s="2"/>
      <c r="E794" s="104"/>
      <c r="F794" s="106"/>
      <c r="G794" s="2"/>
      <c r="H794" s="2"/>
      <c r="I794" s="2"/>
      <c r="J794" s="10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07"/>
      <c r="C795" s="2"/>
      <c r="D795" s="2"/>
      <c r="E795" s="104"/>
      <c r="F795" s="106"/>
      <c r="G795" s="2"/>
      <c r="H795" s="2"/>
      <c r="I795" s="2"/>
      <c r="J795" s="10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07"/>
      <c r="C796" s="2"/>
      <c r="D796" s="2"/>
      <c r="E796" s="104"/>
      <c r="F796" s="106"/>
      <c r="G796" s="2"/>
      <c r="H796" s="2"/>
      <c r="I796" s="2"/>
      <c r="J796" s="10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07"/>
      <c r="C797" s="2"/>
      <c r="D797" s="2"/>
      <c r="E797" s="104"/>
      <c r="F797" s="106"/>
      <c r="G797" s="2"/>
      <c r="H797" s="2"/>
      <c r="I797" s="2"/>
      <c r="J797" s="10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07"/>
      <c r="C798" s="2"/>
      <c r="D798" s="2"/>
      <c r="E798" s="104"/>
      <c r="F798" s="106"/>
      <c r="G798" s="2"/>
      <c r="H798" s="2"/>
      <c r="I798" s="2"/>
      <c r="J798" s="10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07"/>
      <c r="C799" s="2"/>
      <c r="D799" s="2"/>
      <c r="E799" s="104"/>
      <c r="F799" s="106"/>
      <c r="G799" s="2"/>
      <c r="H799" s="2"/>
      <c r="I799" s="2"/>
      <c r="J799" s="10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07"/>
      <c r="C800" s="2"/>
      <c r="D800" s="2"/>
      <c r="E800" s="104"/>
      <c r="F800" s="106"/>
      <c r="G800" s="2"/>
      <c r="H800" s="2"/>
      <c r="I800" s="2"/>
      <c r="J800" s="10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07"/>
      <c r="C801" s="2"/>
      <c r="D801" s="2"/>
      <c r="E801" s="104"/>
      <c r="F801" s="106"/>
      <c r="G801" s="2"/>
      <c r="H801" s="2"/>
      <c r="I801" s="2"/>
      <c r="J801" s="10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07"/>
      <c r="C802" s="2"/>
      <c r="D802" s="2"/>
      <c r="E802" s="104"/>
      <c r="F802" s="106"/>
      <c r="G802" s="2"/>
      <c r="H802" s="2"/>
      <c r="I802" s="2"/>
      <c r="J802" s="10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07"/>
      <c r="C803" s="2"/>
      <c r="D803" s="2"/>
      <c r="E803" s="104"/>
      <c r="F803" s="106"/>
      <c r="G803" s="2"/>
      <c r="H803" s="2"/>
      <c r="I803" s="2"/>
      <c r="J803" s="10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07"/>
      <c r="C804" s="2"/>
      <c r="D804" s="2"/>
      <c r="E804" s="104"/>
      <c r="F804" s="106"/>
      <c r="G804" s="2"/>
      <c r="H804" s="2"/>
      <c r="I804" s="2"/>
      <c r="J804" s="10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07"/>
      <c r="C805" s="2"/>
      <c r="D805" s="2"/>
      <c r="E805" s="104"/>
      <c r="F805" s="106"/>
      <c r="G805" s="2"/>
      <c r="H805" s="2"/>
      <c r="I805" s="2"/>
      <c r="J805" s="10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07"/>
      <c r="C806" s="2"/>
      <c r="D806" s="2"/>
      <c r="E806" s="104"/>
      <c r="F806" s="106"/>
      <c r="G806" s="2"/>
      <c r="H806" s="2"/>
      <c r="I806" s="2"/>
      <c r="J806" s="10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07"/>
      <c r="C807" s="2"/>
      <c r="D807" s="2"/>
      <c r="E807" s="104"/>
      <c r="F807" s="106"/>
      <c r="G807" s="2"/>
      <c r="H807" s="2"/>
      <c r="I807" s="2"/>
      <c r="J807" s="10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07"/>
      <c r="C808" s="2"/>
      <c r="D808" s="2"/>
      <c r="E808" s="104"/>
      <c r="F808" s="106"/>
      <c r="G808" s="2"/>
      <c r="H808" s="2"/>
      <c r="I808" s="2"/>
      <c r="J808" s="10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07"/>
      <c r="C809" s="2"/>
      <c r="D809" s="2"/>
      <c r="E809" s="104"/>
      <c r="F809" s="106"/>
      <c r="G809" s="2"/>
      <c r="H809" s="2"/>
      <c r="I809" s="2"/>
      <c r="J809" s="10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07"/>
      <c r="C810" s="2"/>
      <c r="D810" s="2"/>
      <c r="E810" s="104"/>
      <c r="F810" s="106"/>
      <c r="G810" s="2"/>
      <c r="H810" s="2"/>
      <c r="I810" s="2"/>
      <c r="J810" s="10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07"/>
      <c r="C811" s="2"/>
      <c r="D811" s="2"/>
      <c r="E811" s="104"/>
      <c r="F811" s="106"/>
      <c r="G811" s="2"/>
      <c r="H811" s="2"/>
      <c r="I811" s="2"/>
      <c r="J811" s="10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07"/>
      <c r="C812" s="2"/>
      <c r="D812" s="2"/>
      <c r="E812" s="104"/>
      <c r="F812" s="106"/>
      <c r="G812" s="2"/>
      <c r="H812" s="2"/>
      <c r="I812" s="2"/>
      <c r="J812" s="10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07"/>
      <c r="C813" s="2"/>
      <c r="D813" s="2"/>
      <c r="E813" s="104"/>
      <c r="F813" s="106"/>
      <c r="G813" s="2"/>
      <c r="H813" s="2"/>
      <c r="I813" s="2"/>
      <c r="J813" s="10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07"/>
      <c r="C814" s="2"/>
      <c r="D814" s="2"/>
      <c r="E814" s="104"/>
      <c r="F814" s="106"/>
      <c r="G814" s="2"/>
      <c r="H814" s="2"/>
      <c r="I814" s="2"/>
      <c r="J814" s="10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07"/>
      <c r="C815" s="2"/>
      <c r="D815" s="2"/>
      <c r="E815" s="104"/>
      <c r="F815" s="106"/>
      <c r="G815" s="2"/>
      <c r="H815" s="2"/>
      <c r="I815" s="2"/>
      <c r="J815" s="10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07"/>
      <c r="C816" s="2"/>
      <c r="D816" s="2"/>
      <c r="E816" s="104"/>
      <c r="F816" s="106"/>
      <c r="G816" s="2"/>
      <c r="H816" s="2"/>
      <c r="I816" s="2"/>
      <c r="J816" s="10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07"/>
      <c r="C817" s="2"/>
      <c r="D817" s="2"/>
      <c r="E817" s="104"/>
      <c r="F817" s="106"/>
      <c r="G817" s="2"/>
      <c r="H817" s="2"/>
      <c r="I817" s="2"/>
      <c r="J817" s="10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07"/>
      <c r="C818" s="2"/>
      <c r="D818" s="2"/>
      <c r="E818" s="104"/>
      <c r="F818" s="106"/>
      <c r="G818" s="2"/>
      <c r="H818" s="2"/>
      <c r="I818" s="2"/>
      <c r="J818" s="10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07"/>
      <c r="C819" s="2"/>
      <c r="D819" s="2"/>
      <c r="E819" s="104"/>
      <c r="F819" s="106"/>
      <c r="G819" s="2"/>
      <c r="H819" s="2"/>
      <c r="I819" s="2"/>
      <c r="J819" s="10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07"/>
      <c r="C820" s="2"/>
      <c r="D820" s="2"/>
      <c r="E820" s="104"/>
      <c r="F820" s="106"/>
      <c r="G820" s="2"/>
      <c r="H820" s="2"/>
      <c r="I820" s="2"/>
      <c r="J820" s="10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07"/>
      <c r="C821" s="2"/>
      <c r="D821" s="2"/>
      <c r="E821" s="104"/>
      <c r="F821" s="106"/>
      <c r="G821" s="2"/>
      <c r="H821" s="2"/>
      <c r="I821" s="2"/>
      <c r="J821" s="10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07"/>
      <c r="C822" s="2"/>
      <c r="D822" s="2"/>
      <c r="E822" s="104"/>
      <c r="F822" s="106"/>
      <c r="G822" s="2"/>
      <c r="H822" s="2"/>
      <c r="I822" s="2"/>
      <c r="J822" s="10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07"/>
      <c r="C823" s="2"/>
      <c r="D823" s="2"/>
      <c r="E823" s="104"/>
      <c r="F823" s="106"/>
      <c r="G823" s="2"/>
      <c r="H823" s="2"/>
      <c r="I823" s="2"/>
      <c r="J823" s="10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07"/>
      <c r="C824" s="2"/>
      <c r="D824" s="2"/>
      <c r="E824" s="104"/>
      <c r="F824" s="106"/>
      <c r="G824" s="2"/>
      <c r="H824" s="2"/>
      <c r="I824" s="2"/>
      <c r="J824" s="10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07"/>
      <c r="C825" s="2"/>
      <c r="D825" s="2"/>
      <c r="E825" s="104"/>
      <c r="F825" s="106"/>
      <c r="G825" s="2"/>
      <c r="H825" s="2"/>
      <c r="I825" s="2"/>
      <c r="J825" s="10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07"/>
      <c r="C826" s="2"/>
      <c r="D826" s="2"/>
      <c r="E826" s="104"/>
      <c r="F826" s="106"/>
      <c r="G826" s="2"/>
      <c r="H826" s="2"/>
      <c r="I826" s="2"/>
      <c r="J826" s="10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07"/>
      <c r="C827" s="2"/>
      <c r="D827" s="2"/>
      <c r="E827" s="104"/>
      <c r="F827" s="106"/>
      <c r="G827" s="2"/>
      <c r="H827" s="2"/>
      <c r="I827" s="2"/>
      <c r="J827" s="10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07"/>
      <c r="C828" s="2"/>
      <c r="D828" s="2"/>
      <c r="E828" s="104"/>
      <c r="F828" s="106"/>
      <c r="G828" s="2"/>
      <c r="H828" s="2"/>
      <c r="I828" s="2"/>
      <c r="J828" s="10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07"/>
      <c r="C829" s="2"/>
      <c r="D829" s="2"/>
      <c r="E829" s="104"/>
      <c r="F829" s="106"/>
      <c r="G829" s="2"/>
      <c r="H829" s="2"/>
      <c r="I829" s="2"/>
      <c r="J829" s="10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07"/>
      <c r="C830" s="2"/>
      <c r="D830" s="2"/>
      <c r="E830" s="104"/>
      <c r="F830" s="106"/>
      <c r="G830" s="2"/>
      <c r="H830" s="2"/>
      <c r="I830" s="2"/>
      <c r="J830" s="10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07"/>
      <c r="C831" s="2"/>
      <c r="D831" s="2"/>
      <c r="E831" s="104"/>
      <c r="F831" s="106"/>
      <c r="G831" s="2"/>
      <c r="H831" s="2"/>
      <c r="I831" s="2"/>
      <c r="J831" s="10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07"/>
      <c r="C832" s="2"/>
      <c r="D832" s="2"/>
      <c r="E832" s="104"/>
      <c r="F832" s="106"/>
      <c r="G832" s="2"/>
      <c r="H832" s="2"/>
      <c r="I832" s="2"/>
      <c r="J832" s="10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07"/>
      <c r="C833" s="2"/>
      <c r="D833" s="2"/>
      <c r="E833" s="104"/>
      <c r="F833" s="106"/>
      <c r="G833" s="2"/>
      <c r="H833" s="2"/>
      <c r="I833" s="2"/>
      <c r="J833" s="10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07"/>
      <c r="C834" s="2"/>
      <c r="D834" s="2"/>
      <c r="E834" s="104"/>
      <c r="F834" s="106"/>
      <c r="G834" s="2"/>
      <c r="H834" s="2"/>
      <c r="I834" s="2"/>
      <c r="J834" s="10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07"/>
      <c r="C835" s="2"/>
      <c r="D835" s="2"/>
      <c r="E835" s="104"/>
      <c r="F835" s="106"/>
      <c r="G835" s="2"/>
      <c r="H835" s="2"/>
      <c r="I835" s="2"/>
      <c r="J835" s="10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07"/>
      <c r="C836" s="2"/>
      <c r="D836" s="2"/>
      <c r="E836" s="104"/>
      <c r="F836" s="106"/>
      <c r="G836" s="2"/>
      <c r="H836" s="2"/>
      <c r="I836" s="2"/>
      <c r="J836" s="10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07"/>
      <c r="C837" s="2"/>
      <c r="D837" s="2"/>
      <c r="E837" s="104"/>
      <c r="F837" s="106"/>
      <c r="G837" s="2"/>
      <c r="H837" s="2"/>
      <c r="I837" s="2"/>
      <c r="J837" s="10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07"/>
      <c r="C838" s="2"/>
      <c r="D838" s="2"/>
      <c r="E838" s="104"/>
      <c r="F838" s="106"/>
      <c r="G838" s="2"/>
      <c r="H838" s="2"/>
      <c r="I838" s="2"/>
      <c r="J838" s="10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07"/>
      <c r="C839" s="2"/>
      <c r="D839" s="2"/>
      <c r="E839" s="104"/>
      <c r="F839" s="106"/>
      <c r="G839" s="2"/>
      <c r="H839" s="2"/>
      <c r="I839" s="2"/>
      <c r="J839" s="10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07"/>
      <c r="C840" s="2"/>
      <c r="D840" s="2"/>
      <c r="E840" s="104"/>
      <c r="F840" s="106"/>
      <c r="G840" s="2"/>
      <c r="H840" s="2"/>
      <c r="I840" s="2"/>
      <c r="J840" s="10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07"/>
      <c r="C841" s="2"/>
      <c r="D841" s="2"/>
      <c r="E841" s="104"/>
      <c r="F841" s="106"/>
      <c r="G841" s="2"/>
      <c r="H841" s="2"/>
      <c r="I841" s="2"/>
      <c r="J841" s="10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07"/>
      <c r="C842" s="2"/>
      <c r="D842" s="2"/>
      <c r="E842" s="104"/>
      <c r="F842" s="106"/>
      <c r="G842" s="2"/>
      <c r="H842" s="2"/>
      <c r="I842" s="2"/>
      <c r="J842" s="10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07"/>
      <c r="C843" s="2"/>
      <c r="D843" s="2"/>
      <c r="E843" s="104"/>
      <c r="F843" s="106"/>
      <c r="G843" s="2"/>
      <c r="H843" s="2"/>
      <c r="I843" s="2"/>
      <c r="J843" s="10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07"/>
      <c r="C844" s="2"/>
      <c r="D844" s="2"/>
      <c r="E844" s="104"/>
      <c r="F844" s="106"/>
      <c r="G844" s="2"/>
      <c r="H844" s="2"/>
      <c r="I844" s="2"/>
      <c r="J844" s="10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07"/>
      <c r="C845" s="2"/>
      <c r="D845" s="2"/>
      <c r="E845" s="104"/>
      <c r="F845" s="106"/>
      <c r="G845" s="2"/>
      <c r="H845" s="2"/>
      <c r="I845" s="2"/>
      <c r="J845" s="10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07"/>
      <c r="C846" s="2"/>
      <c r="D846" s="2"/>
      <c r="E846" s="104"/>
      <c r="F846" s="106"/>
      <c r="G846" s="2"/>
      <c r="H846" s="2"/>
      <c r="I846" s="2"/>
      <c r="J846" s="10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07"/>
      <c r="C847" s="2"/>
      <c r="D847" s="2"/>
      <c r="E847" s="104"/>
      <c r="F847" s="106"/>
      <c r="G847" s="2"/>
      <c r="H847" s="2"/>
      <c r="I847" s="2"/>
      <c r="J847" s="10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07"/>
      <c r="C848" s="2"/>
      <c r="D848" s="2"/>
      <c r="E848" s="104"/>
      <c r="F848" s="106"/>
      <c r="G848" s="2"/>
      <c r="H848" s="2"/>
      <c r="I848" s="2"/>
      <c r="J848" s="10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07"/>
      <c r="C849" s="2"/>
      <c r="D849" s="2"/>
      <c r="E849" s="104"/>
      <c r="F849" s="106"/>
      <c r="G849" s="2"/>
      <c r="H849" s="2"/>
      <c r="I849" s="2"/>
      <c r="J849" s="10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07"/>
      <c r="C850" s="2"/>
      <c r="D850" s="2"/>
      <c r="E850" s="104"/>
      <c r="F850" s="106"/>
      <c r="G850" s="2"/>
      <c r="H850" s="2"/>
      <c r="I850" s="2"/>
      <c r="J850" s="10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07"/>
      <c r="C851" s="2"/>
      <c r="D851" s="2"/>
      <c r="E851" s="104"/>
      <c r="F851" s="106"/>
      <c r="G851" s="2"/>
      <c r="H851" s="2"/>
      <c r="I851" s="2"/>
      <c r="J851" s="10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07"/>
      <c r="C852" s="2"/>
      <c r="D852" s="2"/>
      <c r="E852" s="104"/>
      <c r="F852" s="106"/>
      <c r="G852" s="2"/>
      <c r="H852" s="2"/>
      <c r="I852" s="2"/>
      <c r="J852" s="10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07"/>
      <c r="C853" s="2"/>
      <c r="D853" s="2"/>
      <c r="E853" s="104"/>
      <c r="F853" s="106"/>
      <c r="G853" s="2"/>
      <c r="H853" s="2"/>
      <c r="I853" s="2"/>
      <c r="J853" s="10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07"/>
      <c r="C854" s="2"/>
      <c r="D854" s="2"/>
      <c r="E854" s="104"/>
      <c r="F854" s="106"/>
      <c r="G854" s="2"/>
      <c r="H854" s="2"/>
      <c r="I854" s="2"/>
      <c r="J854" s="10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07"/>
      <c r="C855" s="2"/>
      <c r="D855" s="2"/>
      <c r="E855" s="104"/>
      <c r="F855" s="106"/>
      <c r="G855" s="2"/>
      <c r="H855" s="2"/>
      <c r="I855" s="2"/>
      <c r="J855" s="10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07"/>
      <c r="C856" s="2"/>
      <c r="D856" s="2"/>
      <c r="E856" s="104"/>
      <c r="F856" s="106"/>
      <c r="G856" s="2"/>
      <c r="H856" s="2"/>
      <c r="I856" s="2"/>
      <c r="J856" s="10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07"/>
      <c r="C857" s="2"/>
      <c r="D857" s="2"/>
      <c r="E857" s="104"/>
      <c r="F857" s="106"/>
      <c r="G857" s="2"/>
      <c r="H857" s="2"/>
      <c r="I857" s="2"/>
      <c r="J857" s="10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07"/>
      <c r="C858" s="2"/>
      <c r="D858" s="2"/>
      <c r="E858" s="104"/>
      <c r="F858" s="106"/>
      <c r="G858" s="2"/>
      <c r="H858" s="2"/>
      <c r="I858" s="2"/>
      <c r="J858" s="10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07"/>
      <c r="C859" s="2"/>
      <c r="D859" s="2"/>
      <c r="E859" s="104"/>
      <c r="F859" s="106"/>
      <c r="G859" s="2"/>
      <c r="H859" s="2"/>
      <c r="I859" s="2"/>
      <c r="J859" s="10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07"/>
      <c r="C860" s="2"/>
      <c r="D860" s="2"/>
      <c r="E860" s="104"/>
      <c r="F860" s="106"/>
      <c r="G860" s="2"/>
      <c r="H860" s="2"/>
      <c r="I860" s="2"/>
      <c r="J860" s="10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07"/>
      <c r="C861" s="2"/>
      <c r="D861" s="2"/>
      <c r="E861" s="104"/>
      <c r="F861" s="106"/>
      <c r="G861" s="2"/>
      <c r="H861" s="2"/>
      <c r="I861" s="2"/>
      <c r="J861" s="10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07"/>
      <c r="C862" s="2"/>
      <c r="D862" s="2"/>
      <c r="E862" s="104"/>
      <c r="F862" s="106"/>
      <c r="G862" s="2"/>
      <c r="H862" s="2"/>
      <c r="I862" s="2"/>
      <c r="J862" s="10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07"/>
      <c r="C863" s="2"/>
      <c r="D863" s="2"/>
      <c r="E863" s="104"/>
      <c r="F863" s="106"/>
      <c r="G863" s="2"/>
      <c r="H863" s="2"/>
      <c r="I863" s="2"/>
      <c r="J863" s="10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07"/>
      <c r="C864" s="2"/>
      <c r="D864" s="2"/>
      <c r="E864" s="104"/>
      <c r="F864" s="106"/>
      <c r="G864" s="2"/>
      <c r="H864" s="2"/>
      <c r="I864" s="2"/>
      <c r="J864" s="10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07"/>
      <c r="C865" s="2"/>
      <c r="D865" s="2"/>
      <c r="E865" s="104"/>
      <c r="F865" s="106"/>
      <c r="G865" s="2"/>
      <c r="H865" s="2"/>
      <c r="I865" s="2"/>
      <c r="J865" s="10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07"/>
      <c r="C866" s="2"/>
      <c r="D866" s="2"/>
      <c r="E866" s="104"/>
      <c r="F866" s="106"/>
      <c r="G866" s="2"/>
      <c r="H866" s="2"/>
      <c r="I866" s="2"/>
      <c r="J866" s="10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07"/>
      <c r="C867" s="2"/>
      <c r="D867" s="2"/>
      <c r="E867" s="104"/>
      <c r="F867" s="106"/>
      <c r="G867" s="2"/>
      <c r="H867" s="2"/>
      <c r="I867" s="2"/>
      <c r="J867" s="10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07"/>
      <c r="C868" s="2"/>
      <c r="D868" s="2"/>
      <c r="E868" s="104"/>
      <c r="F868" s="106"/>
      <c r="G868" s="2"/>
      <c r="H868" s="2"/>
      <c r="I868" s="2"/>
      <c r="J868" s="10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07"/>
      <c r="C869" s="2"/>
      <c r="D869" s="2"/>
      <c r="E869" s="104"/>
      <c r="F869" s="106"/>
      <c r="G869" s="2"/>
      <c r="H869" s="2"/>
      <c r="I869" s="2"/>
      <c r="J869" s="10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07"/>
      <c r="C870" s="2"/>
      <c r="D870" s="2"/>
      <c r="E870" s="104"/>
      <c r="F870" s="106"/>
      <c r="G870" s="2"/>
      <c r="H870" s="2"/>
      <c r="I870" s="2"/>
      <c r="J870" s="10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07"/>
      <c r="C871" s="2"/>
      <c r="D871" s="2"/>
      <c r="E871" s="104"/>
      <c r="F871" s="106"/>
      <c r="G871" s="2"/>
      <c r="H871" s="2"/>
      <c r="I871" s="2"/>
      <c r="J871" s="10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07"/>
      <c r="C872" s="2"/>
      <c r="D872" s="2"/>
      <c r="E872" s="104"/>
      <c r="F872" s="106"/>
      <c r="G872" s="2"/>
      <c r="H872" s="2"/>
      <c r="I872" s="2"/>
      <c r="J872" s="10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07"/>
      <c r="C873" s="2"/>
      <c r="D873" s="2"/>
      <c r="E873" s="104"/>
      <c r="F873" s="106"/>
      <c r="G873" s="2"/>
      <c r="H873" s="2"/>
      <c r="I873" s="2"/>
      <c r="J873" s="10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07"/>
      <c r="C874" s="2"/>
      <c r="D874" s="2"/>
      <c r="E874" s="104"/>
      <c r="F874" s="106"/>
      <c r="G874" s="2"/>
      <c r="H874" s="2"/>
      <c r="I874" s="2"/>
      <c r="J874" s="10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07"/>
      <c r="C875" s="2"/>
      <c r="D875" s="2"/>
      <c r="E875" s="104"/>
      <c r="F875" s="106"/>
      <c r="G875" s="2"/>
      <c r="H875" s="2"/>
      <c r="I875" s="2"/>
      <c r="J875" s="10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07"/>
      <c r="C876" s="2"/>
      <c r="D876" s="2"/>
      <c r="E876" s="104"/>
      <c r="F876" s="106"/>
      <c r="G876" s="2"/>
      <c r="H876" s="2"/>
      <c r="I876" s="2"/>
      <c r="J876" s="10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07"/>
      <c r="C877" s="2"/>
      <c r="D877" s="2"/>
      <c r="E877" s="104"/>
      <c r="F877" s="106"/>
      <c r="G877" s="2"/>
      <c r="H877" s="2"/>
      <c r="I877" s="2"/>
      <c r="J877" s="10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07"/>
      <c r="C878" s="2"/>
      <c r="D878" s="2"/>
      <c r="E878" s="104"/>
      <c r="F878" s="106"/>
      <c r="G878" s="2"/>
      <c r="H878" s="2"/>
      <c r="I878" s="2"/>
      <c r="J878" s="10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07"/>
      <c r="C879" s="2"/>
      <c r="D879" s="2"/>
      <c r="E879" s="104"/>
      <c r="F879" s="106"/>
      <c r="G879" s="2"/>
      <c r="H879" s="2"/>
      <c r="I879" s="2"/>
      <c r="J879" s="10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07"/>
      <c r="C880" s="2"/>
      <c r="D880" s="2"/>
      <c r="E880" s="104"/>
      <c r="F880" s="106"/>
      <c r="G880" s="2"/>
      <c r="H880" s="2"/>
      <c r="I880" s="2"/>
      <c r="J880" s="10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07"/>
      <c r="C881" s="2"/>
      <c r="D881" s="2"/>
      <c r="E881" s="104"/>
      <c r="F881" s="106"/>
      <c r="G881" s="2"/>
      <c r="H881" s="2"/>
      <c r="I881" s="2"/>
      <c r="J881" s="10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07"/>
      <c r="C882" s="2"/>
      <c r="D882" s="2"/>
      <c r="E882" s="104"/>
      <c r="F882" s="106"/>
      <c r="G882" s="2"/>
      <c r="H882" s="2"/>
      <c r="I882" s="2"/>
      <c r="J882" s="10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07"/>
      <c r="C883" s="2"/>
      <c r="D883" s="2"/>
      <c r="E883" s="104"/>
      <c r="F883" s="106"/>
      <c r="G883" s="2"/>
      <c r="H883" s="2"/>
      <c r="I883" s="2"/>
      <c r="J883" s="10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07"/>
      <c r="C884" s="2"/>
      <c r="D884" s="2"/>
      <c r="E884" s="104"/>
      <c r="F884" s="106"/>
      <c r="G884" s="2"/>
      <c r="H884" s="2"/>
      <c r="I884" s="2"/>
      <c r="J884" s="10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07"/>
      <c r="C885" s="2"/>
      <c r="D885" s="2"/>
      <c r="E885" s="104"/>
      <c r="F885" s="106"/>
      <c r="G885" s="2"/>
      <c r="H885" s="2"/>
      <c r="I885" s="2"/>
      <c r="J885" s="10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07"/>
      <c r="C886" s="2"/>
      <c r="D886" s="2"/>
      <c r="E886" s="104"/>
      <c r="F886" s="106"/>
      <c r="G886" s="2"/>
      <c r="H886" s="2"/>
      <c r="I886" s="2"/>
      <c r="J886" s="10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07"/>
      <c r="C887" s="2"/>
      <c r="D887" s="2"/>
      <c r="E887" s="104"/>
      <c r="F887" s="106"/>
      <c r="G887" s="2"/>
      <c r="H887" s="2"/>
      <c r="I887" s="2"/>
      <c r="J887" s="10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07"/>
      <c r="C888" s="2"/>
      <c r="D888" s="2"/>
      <c r="E888" s="104"/>
      <c r="F888" s="106"/>
      <c r="G888" s="2"/>
      <c r="H888" s="2"/>
      <c r="I888" s="2"/>
      <c r="J888" s="10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07"/>
      <c r="C889" s="2"/>
      <c r="D889" s="2"/>
      <c r="E889" s="104"/>
      <c r="F889" s="106"/>
      <c r="G889" s="2"/>
      <c r="H889" s="2"/>
      <c r="I889" s="2"/>
      <c r="J889" s="10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07"/>
      <c r="C890" s="2"/>
      <c r="D890" s="2"/>
      <c r="E890" s="104"/>
      <c r="F890" s="106"/>
      <c r="G890" s="2"/>
      <c r="H890" s="2"/>
      <c r="I890" s="2"/>
      <c r="J890" s="10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07"/>
      <c r="C891" s="2"/>
      <c r="D891" s="2"/>
      <c r="E891" s="104"/>
      <c r="F891" s="106"/>
      <c r="G891" s="2"/>
      <c r="H891" s="2"/>
      <c r="I891" s="2"/>
      <c r="J891" s="10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07"/>
      <c r="C892" s="2"/>
      <c r="D892" s="2"/>
      <c r="E892" s="104"/>
      <c r="F892" s="106"/>
      <c r="G892" s="2"/>
      <c r="H892" s="2"/>
      <c r="I892" s="2"/>
      <c r="J892" s="10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07"/>
      <c r="C893" s="2"/>
      <c r="D893" s="2"/>
      <c r="E893" s="104"/>
      <c r="F893" s="106"/>
      <c r="G893" s="2"/>
      <c r="H893" s="2"/>
      <c r="I893" s="2"/>
      <c r="J893" s="10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07"/>
      <c r="C894" s="2"/>
      <c r="D894" s="2"/>
      <c r="E894" s="104"/>
      <c r="F894" s="106"/>
      <c r="G894" s="2"/>
      <c r="H894" s="2"/>
      <c r="I894" s="2"/>
      <c r="J894" s="10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07"/>
      <c r="C895" s="2"/>
      <c r="D895" s="2"/>
      <c r="E895" s="104"/>
      <c r="F895" s="106"/>
      <c r="G895" s="2"/>
      <c r="H895" s="2"/>
      <c r="I895" s="2"/>
      <c r="J895" s="10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07"/>
      <c r="C896" s="2"/>
      <c r="D896" s="2"/>
      <c r="E896" s="104"/>
      <c r="F896" s="106"/>
      <c r="G896" s="2"/>
      <c r="H896" s="2"/>
      <c r="I896" s="2"/>
      <c r="J896" s="10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07"/>
      <c r="C897" s="2"/>
      <c r="D897" s="2"/>
      <c r="E897" s="104"/>
      <c r="F897" s="106"/>
      <c r="G897" s="2"/>
      <c r="H897" s="2"/>
      <c r="I897" s="2"/>
      <c r="J897" s="10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07"/>
      <c r="C898" s="2"/>
      <c r="D898" s="2"/>
      <c r="E898" s="104"/>
      <c r="F898" s="106"/>
      <c r="G898" s="2"/>
      <c r="H898" s="2"/>
      <c r="I898" s="2"/>
      <c r="J898" s="10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07"/>
      <c r="C899" s="2"/>
      <c r="D899" s="2"/>
      <c r="E899" s="104"/>
      <c r="F899" s="106"/>
      <c r="G899" s="2"/>
      <c r="H899" s="2"/>
      <c r="I899" s="2"/>
      <c r="J899" s="10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07"/>
      <c r="C900" s="2"/>
      <c r="D900" s="2"/>
      <c r="E900" s="104"/>
      <c r="F900" s="106"/>
      <c r="G900" s="2"/>
      <c r="H900" s="2"/>
      <c r="I900" s="2"/>
      <c r="J900" s="10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07"/>
      <c r="C901" s="2"/>
      <c r="D901" s="2"/>
      <c r="E901" s="104"/>
      <c r="F901" s="106"/>
      <c r="G901" s="2"/>
      <c r="H901" s="2"/>
      <c r="I901" s="2"/>
      <c r="J901" s="10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07"/>
      <c r="C902" s="2"/>
      <c r="D902" s="2"/>
      <c r="E902" s="104"/>
      <c r="F902" s="106"/>
      <c r="G902" s="2"/>
      <c r="H902" s="2"/>
      <c r="I902" s="2"/>
      <c r="J902" s="10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07"/>
      <c r="C903" s="2"/>
      <c r="D903" s="2"/>
      <c r="E903" s="104"/>
      <c r="F903" s="106"/>
      <c r="G903" s="2"/>
      <c r="H903" s="2"/>
      <c r="I903" s="2"/>
      <c r="J903" s="10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07"/>
      <c r="C904" s="2"/>
      <c r="D904" s="2"/>
      <c r="E904" s="104"/>
      <c r="F904" s="106"/>
      <c r="G904" s="2"/>
      <c r="H904" s="2"/>
      <c r="I904" s="2"/>
      <c r="J904" s="10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07"/>
      <c r="C905" s="2"/>
      <c r="D905" s="2"/>
      <c r="E905" s="104"/>
      <c r="F905" s="106"/>
      <c r="G905" s="2"/>
      <c r="H905" s="2"/>
      <c r="I905" s="2"/>
      <c r="J905" s="10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07"/>
      <c r="C906" s="2"/>
      <c r="D906" s="2"/>
      <c r="E906" s="104"/>
      <c r="F906" s="106"/>
      <c r="G906" s="2"/>
      <c r="H906" s="2"/>
      <c r="I906" s="2"/>
      <c r="J906" s="10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07"/>
      <c r="C907" s="2"/>
      <c r="D907" s="2"/>
      <c r="E907" s="104"/>
      <c r="F907" s="106"/>
      <c r="G907" s="2"/>
      <c r="H907" s="2"/>
      <c r="I907" s="2"/>
      <c r="J907" s="10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07"/>
      <c r="C908" s="2"/>
      <c r="D908" s="2"/>
      <c r="E908" s="104"/>
      <c r="F908" s="106"/>
      <c r="G908" s="2"/>
      <c r="H908" s="2"/>
      <c r="I908" s="2"/>
      <c r="J908" s="10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07"/>
      <c r="C909" s="2"/>
      <c r="D909" s="2"/>
      <c r="E909" s="104"/>
      <c r="F909" s="106"/>
      <c r="G909" s="2"/>
      <c r="H909" s="2"/>
      <c r="I909" s="2"/>
      <c r="J909" s="10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07"/>
      <c r="C910" s="2"/>
      <c r="D910" s="2"/>
      <c r="E910" s="104"/>
      <c r="F910" s="106"/>
      <c r="G910" s="2"/>
      <c r="H910" s="2"/>
      <c r="I910" s="2"/>
      <c r="J910" s="10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07"/>
      <c r="C911" s="2"/>
      <c r="D911" s="2"/>
      <c r="E911" s="104"/>
      <c r="F911" s="106"/>
      <c r="G911" s="2"/>
      <c r="H911" s="2"/>
      <c r="I911" s="2"/>
      <c r="J911" s="10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07"/>
      <c r="C912" s="2"/>
      <c r="D912" s="2"/>
      <c r="E912" s="104"/>
      <c r="F912" s="106"/>
      <c r="G912" s="2"/>
      <c r="H912" s="2"/>
      <c r="I912" s="2"/>
      <c r="J912" s="10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07"/>
      <c r="C913" s="2"/>
      <c r="D913" s="2"/>
      <c r="E913" s="104"/>
      <c r="F913" s="106"/>
      <c r="G913" s="2"/>
      <c r="H913" s="2"/>
      <c r="I913" s="2"/>
      <c r="J913" s="10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07"/>
      <c r="C914" s="2"/>
      <c r="D914" s="2"/>
      <c r="E914" s="104"/>
      <c r="F914" s="106"/>
      <c r="G914" s="2"/>
      <c r="H914" s="2"/>
      <c r="I914" s="2"/>
      <c r="J914" s="10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07"/>
      <c r="C915" s="2"/>
      <c r="D915" s="2"/>
      <c r="E915" s="104"/>
      <c r="F915" s="106"/>
      <c r="G915" s="2"/>
      <c r="H915" s="2"/>
      <c r="I915" s="2"/>
      <c r="J915" s="10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07"/>
      <c r="C916" s="2"/>
      <c r="D916" s="2"/>
      <c r="E916" s="104"/>
      <c r="F916" s="106"/>
      <c r="G916" s="2"/>
      <c r="H916" s="2"/>
      <c r="I916" s="2"/>
      <c r="J916" s="10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07"/>
      <c r="C917" s="2"/>
      <c r="D917" s="2"/>
      <c r="E917" s="104"/>
      <c r="F917" s="106"/>
      <c r="G917" s="2"/>
      <c r="H917" s="2"/>
      <c r="I917" s="2"/>
      <c r="J917" s="10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07"/>
      <c r="C918" s="2"/>
      <c r="D918" s="2"/>
      <c r="E918" s="104"/>
      <c r="F918" s="106"/>
      <c r="G918" s="2"/>
      <c r="H918" s="2"/>
      <c r="I918" s="2"/>
      <c r="J918" s="10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07"/>
      <c r="C919" s="2"/>
      <c r="D919" s="2"/>
      <c r="E919" s="104"/>
      <c r="F919" s="106"/>
      <c r="G919" s="2"/>
      <c r="H919" s="2"/>
      <c r="I919" s="2"/>
      <c r="J919" s="10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07"/>
      <c r="C920" s="2"/>
      <c r="D920" s="2"/>
      <c r="E920" s="104"/>
      <c r="F920" s="106"/>
      <c r="G920" s="2"/>
      <c r="H920" s="2"/>
      <c r="I920" s="2"/>
      <c r="J920" s="10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07"/>
      <c r="C921" s="2"/>
      <c r="D921" s="2"/>
      <c r="E921" s="104"/>
      <c r="F921" s="106"/>
      <c r="G921" s="2"/>
      <c r="H921" s="2"/>
      <c r="I921" s="2"/>
      <c r="J921" s="10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07"/>
      <c r="C922" s="2"/>
      <c r="D922" s="2"/>
      <c r="E922" s="104"/>
      <c r="F922" s="106"/>
      <c r="G922" s="2"/>
      <c r="H922" s="2"/>
      <c r="I922" s="2"/>
      <c r="J922" s="10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07"/>
      <c r="C923" s="2"/>
      <c r="D923" s="2"/>
      <c r="E923" s="104"/>
      <c r="F923" s="106"/>
      <c r="G923" s="2"/>
      <c r="H923" s="2"/>
      <c r="I923" s="2"/>
      <c r="J923" s="10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07"/>
      <c r="C924" s="2"/>
      <c r="D924" s="2"/>
      <c r="E924" s="104"/>
      <c r="F924" s="106"/>
      <c r="G924" s="2"/>
      <c r="H924" s="2"/>
      <c r="I924" s="2"/>
      <c r="J924" s="10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07"/>
      <c r="C925" s="2"/>
      <c r="D925" s="2"/>
      <c r="E925" s="104"/>
      <c r="F925" s="106"/>
      <c r="G925" s="2"/>
      <c r="H925" s="2"/>
      <c r="I925" s="2"/>
      <c r="J925" s="10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07"/>
      <c r="C926" s="2"/>
      <c r="D926" s="2"/>
      <c r="E926" s="104"/>
      <c r="F926" s="106"/>
      <c r="G926" s="2"/>
      <c r="H926" s="2"/>
      <c r="I926" s="2"/>
      <c r="J926" s="10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07"/>
      <c r="C927" s="2"/>
      <c r="D927" s="2"/>
      <c r="E927" s="104"/>
      <c r="F927" s="106"/>
      <c r="G927" s="2"/>
      <c r="H927" s="2"/>
      <c r="I927" s="2"/>
      <c r="J927" s="10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07"/>
      <c r="C928" s="2"/>
      <c r="D928" s="2"/>
      <c r="E928" s="104"/>
      <c r="F928" s="106"/>
      <c r="G928" s="2"/>
      <c r="H928" s="2"/>
      <c r="I928" s="2"/>
      <c r="J928" s="10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07"/>
      <c r="C929" s="2"/>
      <c r="D929" s="2"/>
      <c r="E929" s="104"/>
      <c r="F929" s="106"/>
      <c r="G929" s="2"/>
      <c r="H929" s="2"/>
      <c r="I929" s="2"/>
      <c r="J929" s="10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07"/>
      <c r="C930" s="2"/>
      <c r="D930" s="2"/>
      <c r="E930" s="104"/>
      <c r="F930" s="106"/>
      <c r="G930" s="2"/>
      <c r="H930" s="2"/>
      <c r="I930" s="2"/>
      <c r="J930" s="10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07"/>
      <c r="C931" s="2"/>
      <c r="D931" s="2"/>
      <c r="E931" s="104"/>
      <c r="F931" s="106"/>
      <c r="G931" s="2"/>
      <c r="H931" s="2"/>
      <c r="I931" s="2"/>
      <c r="J931" s="10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07"/>
      <c r="C932" s="2"/>
      <c r="D932" s="2"/>
      <c r="E932" s="104"/>
      <c r="F932" s="106"/>
      <c r="G932" s="2"/>
      <c r="H932" s="2"/>
      <c r="I932" s="2"/>
      <c r="J932" s="10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07"/>
      <c r="C933" s="2"/>
      <c r="D933" s="2"/>
      <c r="E933" s="104"/>
      <c r="F933" s="106"/>
      <c r="G933" s="2"/>
      <c r="H933" s="2"/>
      <c r="I933" s="2"/>
      <c r="J933" s="10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07"/>
      <c r="C934" s="2"/>
      <c r="D934" s="2"/>
      <c r="E934" s="104"/>
      <c r="F934" s="106"/>
      <c r="G934" s="2"/>
      <c r="H934" s="2"/>
      <c r="I934" s="2"/>
      <c r="J934" s="10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07"/>
      <c r="C935" s="2"/>
      <c r="D935" s="2"/>
      <c r="E935" s="104"/>
      <c r="F935" s="106"/>
      <c r="G935" s="2"/>
      <c r="H935" s="2"/>
      <c r="I935" s="2"/>
      <c r="J935" s="10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07"/>
      <c r="C936" s="2"/>
      <c r="D936" s="2"/>
      <c r="E936" s="104"/>
      <c r="F936" s="106"/>
      <c r="G936" s="2"/>
      <c r="H936" s="2"/>
      <c r="I936" s="2"/>
      <c r="J936" s="10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07"/>
      <c r="C937" s="2"/>
      <c r="D937" s="2"/>
      <c r="E937" s="104"/>
      <c r="F937" s="106"/>
      <c r="G937" s="2"/>
      <c r="H937" s="2"/>
      <c r="I937" s="2"/>
      <c r="J937" s="10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07"/>
      <c r="C938" s="2"/>
      <c r="D938" s="2"/>
      <c r="E938" s="104"/>
      <c r="F938" s="106"/>
      <c r="G938" s="2"/>
      <c r="H938" s="2"/>
      <c r="I938" s="2"/>
      <c r="J938" s="10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07"/>
      <c r="C939" s="2"/>
      <c r="D939" s="2"/>
      <c r="E939" s="104"/>
      <c r="F939" s="106"/>
      <c r="G939" s="2"/>
      <c r="H939" s="2"/>
      <c r="I939" s="2"/>
      <c r="J939" s="10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07"/>
      <c r="C940" s="2"/>
      <c r="D940" s="2"/>
      <c r="E940" s="104"/>
      <c r="F940" s="106"/>
      <c r="G940" s="2"/>
      <c r="H940" s="2"/>
      <c r="I940" s="2"/>
      <c r="J940" s="10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07"/>
      <c r="C941" s="2"/>
      <c r="D941" s="2"/>
      <c r="E941" s="104"/>
      <c r="F941" s="106"/>
      <c r="G941" s="2"/>
      <c r="H941" s="2"/>
      <c r="I941" s="2"/>
      <c r="J941" s="10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07"/>
      <c r="C942" s="2"/>
      <c r="D942" s="2"/>
      <c r="E942" s="104"/>
      <c r="F942" s="106"/>
      <c r="G942" s="2"/>
      <c r="H942" s="2"/>
      <c r="I942" s="2"/>
      <c r="J942" s="10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07"/>
      <c r="C943" s="2"/>
      <c r="D943" s="2"/>
      <c r="E943" s="104"/>
      <c r="F943" s="106"/>
      <c r="G943" s="2"/>
      <c r="H943" s="2"/>
      <c r="I943" s="2"/>
      <c r="J943" s="10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07"/>
      <c r="C944" s="2"/>
      <c r="D944" s="2"/>
      <c r="E944" s="104"/>
      <c r="F944" s="106"/>
      <c r="G944" s="2"/>
      <c r="H944" s="2"/>
      <c r="I944" s="2"/>
      <c r="J944" s="10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07"/>
      <c r="C945" s="2"/>
      <c r="D945" s="2"/>
      <c r="E945" s="104"/>
      <c r="F945" s="106"/>
      <c r="G945" s="2"/>
      <c r="H945" s="2"/>
      <c r="I945" s="2"/>
      <c r="J945" s="10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07"/>
      <c r="C946" s="2"/>
      <c r="D946" s="2"/>
      <c r="E946" s="104"/>
      <c r="F946" s="106"/>
      <c r="G946" s="2"/>
      <c r="H946" s="2"/>
      <c r="I946" s="2"/>
      <c r="J946" s="10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07"/>
      <c r="C947" s="2"/>
      <c r="D947" s="2"/>
      <c r="E947" s="104"/>
      <c r="F947" s="106"/>
      <c r="G947" s="2"/>
      <c r="H947" s="2"/>
      <c r="I947" s="2"/>
      <c r="J947" s="10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07"/>
      <c r="C948" s="2"/>
      <c r="D948" s="2"/>
      <c r="E948" s="104"/>
      <c r="F948" s="106"/>
      <c r="G948" s="2"/>
      <c r="H948" s="2"/>
      <c r="I948" s="2"/>
      <c r="J948" s="10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07"/>
      <c r="C949" s="2"/>
      <c r="D949" s="2"/>
      <c r="E949" s="104"/>
      <c r="F949" s="106"/>
      <c r="G949" s="2"/>
      <c r="H949" s="2"/>
      <c r="I949" s="2"/>
      <c r="J949" s="10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07"/>
      <c r="C950" s="2"/>
      <c r="D950" s="2"/>
      <c r="E950" s="104"/>
      <c r="F950" s="106"/>
      <c r="G950" s="2"/>
      <c r="H950" s="2"/>
      <c r="I950" s="2"/>
      <c r="J950" s="10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07"/>
      <c r="C951" s="2"/>
      <c r="D951" s="2"/>
      <c r="E951" s="104"/>
      <c r="F951" s="106"/>
      <c r="G951" s="2"/>
      <c r="H951" s="2"/>
      <c r="I951" s="2"/>
      <c r="J951" s="10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07"/>
      <c r="C952" s="2"/>
      <c r="D952" s="2"/>
      <c r="E952" s="104"/>
      <c r="F952" s="106"/>
      <c r="G952" s="2"/>
      <c r="H952" s="2"/>
      <c r="I952" s="2"/>
      <c r="J952" s="10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07"/>
      <c r="C953" s="2"/>
      <c r="D953" s="2"/>
      <c r="E953" s="104"/>
      <c r="F953" s="106"/>
      <c r="G953" s="2"/>
      <c r="H953" s="2"/>
      <c r="I953" s="2"/>
      <c r="J953" s="10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07"/>
      <c r="C954" s="2"/>
      <c r="D954" s="2"/>
      <c r="E954" s="104"/>
      <c r="F954" s="106"/>
      <c r="G954" s="2"/>
      <c r="H954" s="2"/>
      <c r="I954" s="2"/>
      <c r="J954" s="10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07"/>
      <c r="C955" s="2"/>
      <c r="D955" s="2"/>
      <c r="E955" s="104"/>
      <c r="F955" s="106"/>
      <c r="G955" s="2"/>
      <c r="H955" s="2"/>
      <c r="I955" s="2"/>
      <c r="J955" s="10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07"/>
      <c r="C956" s="2"/>
      <c r="D956" s="2"/>
      <c r="E956" s="104"/>
      <c r="F956" s="106"/>
      <c r="G956" s="2"/>
      <c r="H956" s="2"/>
      <c r="I956" s="2"/>
      <c r="J956" s="10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07"/>
      <c r="C957" s="2"/>
      <c r="D957" s="2"/>
      <c r="E957" s="104"/>
      <c r="F957" s="106"/>
      <c r="G957" s="2"/>
      <c r="H957" s="2"/>
      <c r="I957" s="2"/>
      <c r="J957" s="10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07"/>
      <c r="C958" s="2"/>
      <c r="D958" s="2"/>
      <c r="E958" s="104"/>
      <c r="F958" s="106"/>
      <c r="G958" s="2"/>
      <c r="H958" s="2"/>
      <c r="I958" s="2"/>
      <c r="J958" s="10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07"/>
      <c r="C959" s="2"/>
      <c r="D959" s="2"/>
      <c r="E959" s="104"/>
      <c r="F959" s="106"/>
      <c r="G959" s="2"/>
      <c r="H959" s="2"/>
      <c r="I959" s="2"/>
      <c r="J959" s="10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07"/>
      <c r="C960" s="2"/>
      <c r="D960" s="2"/>
      <c r="E960" s="104"/>
      <c r="F960" s="106"/>
      <c r="G960" s="2"/>
      <c r="H960" s="2"/>
      <c r="I960" s="2"/>
      <c r="J960" s="10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07"/>
      <c r="C961" s="2"/>
      <c r="D961" s="2"/>
      <c r="E961" s="104"/>
      <c r="F961" s="106"/>
      <c r="G961" s="2"/>
      <c r="H961" s="2"/>
      <c r="I961" s="2"/>
      <c r="J961" s="10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07"/>
      <c r="C962" s="2"/>
      <c r="D962" s="2"/>
      <c r="E962" s="104"/>
      <c r="F962" s="106"/>
      <c r="G962" s="2"/>
      <c r="H962" s="2"/>
      <c r="I962" s="2"/>
      <c r="J962" s="10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07"/>
      <c r="C963" s="2"/>
      <c r="D963" s="2"/>
      <c r="E963" s="104"/>
      <c r="F963" s="106"/>
      <c r="G963" s="2"/>
      <c r="H963" s="2"/>
      <c r="I963" s="2"/>
      <c r="J963" s="10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07"/>
      <c r="C964" s="2"/>
      <c r="D964" s="2"/>
      <c r="E964" s="104"/>
      <c r="F964" s="106"/>
      <c r="G964" s="2"/>
      <c r="H964" s="2"/>
      <c r="I964" s="2"/>
      <c r="J964" s="10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07"/>
      <c r="C965" s="2"/>
      <c r="D965" s="2"/>
      <c r="E965" s="104"/>
      <c r="F965" s="106"/>
      <c r="G965" s="2"/>
      <c r="H965" s="2"/>
      <c r="I965" s="2"/>
      <c r="J965" s="10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07"/>
      <c r="C966" s="2"/>
      <c r="D966" s="2"/>
      <c r="E966" s="104"/>
      <c r="F966" s="106"/>
      <c r="G966" s="2"/>
      <c r="H966" s="2"/>
      <c r="I966" s="2"/>
      <c r="J966" s="10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07"/>
      <c r="C967" s="2"/>
      <c r="D967" s="2"/>
      <c r="E967" s="104"/>
      <c r="F967" s="106"/>
      <c r="G967" s="2"/>
      <c r="H967" s="2"/>
      <c r="I967" s="2"/>
      <c r="J967" s="10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07"/>
      <c r="C968" s="2"/>
      <c r="D968" s="2"/>
      <c r="E968" s="104"/>
      <c r="F968" s="106"/>
      <c r="G968" s="2"/>
      <c r="H968" s="2"/>
      <c r="I968" s="2"/>
      <c r="J968" s="10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07"/>
      <c r="C969" s="2"/>
      <c r="D969" s="2"/>
      <c r="E969" s="104"/>
      <c r="F969" s="106"/>
      <c r="G969" s="2"/>
      <c r="H969" s="2"/>
      <c r="I969" s="2"/>
      <c r="J969" s="10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07"/>
      <c r="C970" s="2"/>
      <c r="D970" s="2"/>
      <c r="E970" s="104"/>
      <c r="F970" s="106"/>
      <c r="G970" s="2"/>
      <c r="H970" s="2"/>
      <c r="I970" s="2"/>
      <c r="J970" s="10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07"/>
      <c r="C971" s="2"/>
      <c r="D971" s="2"/>
      <c r="E971" s="104"/>
      <c r="F971" s="106"/>
      <c r="G971" s="2"/>
      <c r="H971" s="2"/>
      <c r="I971" s="2"/>
      <c r="J971" s="10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07"/>
      <c r="C972" s="2"/>
      <c r="D972" s="2"/>
      <c r="E972" s="104"/>
      <c r="F972" s="106"/>
      <c r="G972" s="2"/>
      <c r="H972" s="2"/>
      <c r="I972" s="2"/>
      <c r="J972" s="10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07"/>
      <c r="C973" s="2"/>
      <c r="D973" s="2"/>
      <c r="E973" s="104"/>
      <c r="F973" s="106"/>
      <c r="G973" s="2"/>
      <c r="H973" s="2"/>
      <c r="I973" s="2"/>
      <c r="J973" s="10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07"/>
      <c r="C974" s="2"/>
      <c r="D974" s="2"/>
      <c r="E974" s="104"/>
      <c r="F974" s="106"/>
      <c r="G974" s="2"/>
      <c r="H974" s="2"/>
      <c r="I974" s="2"/>
      <c r="J974" s="10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07"/>
      <c r="C975" s="2"/>
      <c r="D975" s="2"/>
      <c r="E975" s="104"/>
      <c r="F975" s="106"/>
      <c r="G975" s="2"/>
      <c r="H975" s="2"/>
      <c r="I975" s="2"/>
      <c r="J975" s="10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07"/>
      <c r="C976" s="2"/>
      <c r="D976" s="2"/>
      <c r="E976" s="104"/>
      <c r="F976" s="106"/>
      <c r="G976" s="2"/>
      <c r="H976" s="2"/>
      <c r="I976" s="2"/>
      <c r="J976" s="10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07"/>
      <c r="C977" s="2"/>
      <c r="D977" s="2"/>
      <c r="E977" s="104"/>
      <c r="F977" s="106"/>
      <c r="G977" s="2"/>
      <c r="H977" s="2"/>
      <c r="I977" s="2"/>
      <c r="J977" s="10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07"/>
      <c r="C978" s="2"/>
      <c r="D978" s="2"/>
      <c r="E978" s="104"/>
      <c r="F978" s="106"/>
      <c r="G978" s="2"/>
      <c r="H978" s="2"/>
      <c r="I978" s="2"/>
      <c r="J978" s="10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07"/>
      <c r="C979" s="2"/>
      <c r="D979" s="2"/>
      <c r="E979" s="104"/>
      <c r="F979" s="106"/>
      <c r="G979" s="2"/>
      <c r="H979" s="2"/>
      <c r="I979" s="2"/>
      <c r="J979" s="10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07"/>
      <c r="C980" s="2"/>
      <c r="D980" s="2"/>
      <c r="E980" s="104"/>
      <c r="F980" s="106"/>
      <c r="G980" s="2"/>
      <c r="H980" s="2"/>
      <c r="I980" s="2"/>
      <c r="J980" s="10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07"/>
      <c r="C981" s="2"/>
      <c r="D981" s="2"/>
      <c r="E981" s="104"/>
      <c r="F981" s="106"/>
      <c r="G981" s="2"/>
      <c r="H981" s="2"/>
      <c r="I981" s="2"/>
      <c r="J981" s="10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07"/>
      <c r="C982" s="2"/>
      <c r="D982" s="2"/>
      <c r="E982" s="104"/>
      <c r="F982" s="106"/>
      <c r="G982" s="2"/>
      <c r="H982" s="2"/>
      <c r="I982" s="2"/>
      <c r="J982" s="10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07"/>
      <c r="C983" s="2"/>
      <c r="D983" s="2"/>
      <c r="E983" s="104"/>
      <c r="F983" s="106"/>
      <c r="G983" s="2"/>
      <c r="H983" s="2"/>
      <c r="I983" s="2"/>
      <c r="J983" s="10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07"/>
      <c r="C984" s="2"/>
      <c r="D984" s="2"/>
      <c r="E984" s="104"/>
      <c r="F984" s="106"/>
      <c r="G984" s="2"/>
      <c r="H984" s="2"/>
      <c r="I984" s="2"/>
      <c r="J984" s="10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07"/>
      <c r="C985" s="2"/>
      <c r="D985" s="2"/>
      <c r="E985" s="104"/>
      <c r="F985" s="106"/>
      <c r="G985" s="2"/>
      <c r="H985" s="2"/>
      <c r="I985" s="2"/>
      <c r="J985" s="10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07"/>
      <c r="C986" s="2"/>
      <c r="D986" s="2"/>
      <c r="E986" s="104"/>
      <c r="F986" s="106"/>
      <c r="G986" s="2"/>
      <c r="H986" s="2"/>
      <c r="I986" s="2"/>
      <c r="J986" s="10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07"/>
      <c r="C987" s="2"/>
      <c r="D987" s="2"/>
      <c r="E987" s="104"/>
      <c r="F987" s="106"/>
      <c r="G987" s="2"/>
      <c r="H987" s="2"/>
      <c r="I987" s="2"/>
      <c r="J987" s="10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07"/>
      <c r="C988" s="2"/>
      <c r="D988" s="2"/>
      <c r="E988" s="104"/>
      <c r="F988" s="106"/>
      <c r="G988" s="2"/>
      <c r="H988" s="2"/>
      <c r="I988" s="2"/>
      <c r="J988" s="10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07"/>
      <c r="C989" s="2"/>
      <c r="D989" s="2"/>
      <c r="E989" s="104"/>
      <c r="F989" s="106"/>
      <c r="G989" s="2"/>
      <c r="H989" s="2"/>
      <c r="I989" s="2"/>
      <c r="J989" s="10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07"/>
      <c r="C990" s="2"/>
      <c r="D990" s="2"/>
      <c r="E990" s="104"/>
      <c r="F990" s="106"/>
      <c r="G990" s="2"/>
      <c r="H990" s="2"/>
      <c r="I990" s="2"/>
      <c r="J990" s="10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07"/>
      <c r="C991" s="2"/>
      <c r="D991" s="2"/>
      <c r="E991" s="104"/>
      <c r="F991" s="106"/>
      <c r="G991" s="2"/>
      <c r="H991" s="2"/>
      <c r="I991" s="2"/>
      <c r="J991" s="10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07"/>
      <c r="C992" s="2"/>
      <c r="D992" s="2"/>
      <c r="E992" s="104"/>
      <c r="F992" s="106"/>
      <c r="G992" s="2"/>
      <c r="H992" s="2"/>
      <c r="I992" s="2"/>
      <c r="J992" s="10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07"/>
      <c r="C993" s="2"/>
      <c r="D993" s="2"/>
      <c r="E993" s="104"/>
      <c r="F993" s="106"/>
      <c r="G993" s="2"/>
      <c r="H993" s="2"/>
      <c r="I993" s="2"/>
      <c r="J993" s="10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07"/>
      <c r="C994" s="2"/>
      <c r="D994" s="2"/>
      <c r="E994" s="104"/>
      <c r="F994" s="106"/>
      <c r="G994" s="2"/>
      <c r="H994" s="2"/>
      <c r="I994" s="2"/>
      <c r="J994" s="10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07"/>
      <c r="C995" s="2"/>
      <c r="D995" s="2"/>
      <c r="E995" s="104"/>
      <c r="F995" s="106"/>
      <c r="G995" s="2"/>
      <c r="H995" s="2"/>
      <c r="I995" s="2"/>
      <c r="J995" s="10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07"/>
      <c r="C996" s="2"/>
      <c r="D996" s="2"/>
      <c r="E996" s="104"/>
      <c r="F996" s="106"/>
      <c r="G996" s="2"/>
      <c r="H996" s="2"/>
      <c r="I996" s="2"/>
      <c r="J996" s="10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07"/>
      <c r="C997" s="2"/>
      <c r="D997" s="2"/>
      <c r="E997" s="104"/>
      <c r="F997" s="106"/>
      <c r="G997" s="2"/>
      <c r="H997" s="2"/>
      <c r="I997" s="2"/>
      <c r="J997" s="10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07"/>
      <c r="C998" s="2"/>
      <c r="D998" s="2"/>
      <c r="E998" s="104"/>
      <c r="F998" s="106"/>
      <c r="G998" s="2"/>
      <c r="H998" s="2"/>
      <c r="I998" s="2"/>
      <c r="J998" s="10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07"/>
      <c r="C999" s="2"/>
      <c r="D999" s="2"/>
      <c r="E999" s="104"/>
      <c r="F999" s="106"/>
      <c r="G999" s="2"/>
      <c r="H999" s="2"/>
      <c r="I999" s="2"/>
      <c r="J999" s="10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07"/>
      <c r="C1000" s="2"/>
      <c r="D1000" s="2"/>
      <c r="E1000" s="104"/>
      <c r="F1000" s="106"/>
      <c r="G1000" s="2"/>
      <c r="H1000" s="2"/>
      <c r="I1000" s="2"/>
      <c r="J1000" s="10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C8:D8"/>
    <mergeCell ref="E8:F8"/>
    <mergeCell ref="A1:K1"/>
    <mergeCell ref="B3:D3"/>
    <mergeCell ref="A7:B7"/>
    <mergeCell ref="C7:D7"/>
    <mergeCell ref="E7:F7"/>
    <mergeCell ref="G7:H7"/>
    <mergeCell ref="A8:B8"/>
    <mergeCell ref="G8:H8"/>
  </mergeCells>
  <conditionalFormatting sqref="E8:F8">
    <cfRule type="expression" dxfId="7" priority="1" stopIfTrue="1">
      <formula>$Y$7&lt;0</formula>
    </cfRule>
  </conditionalFormatting>
  <dataValidations>
    <dataValidation type="list" allowBlank="1" sqref="B3">
      <formula1>'Mijoz kartasi'!$Z$1:$Z$1000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5.13"/>
    <col customWidth="1" min="3" max="3" width="14.5"/>
    <col customWidth="1" min="4" max="4" width="23.88"/>
    <col customWidth="1" min="5" max="5" width="14.5"/>
    <col customWidth="1" min="6" max="6" width="21.38"/>
    <col customWidth="1" min="7" max="7" width="27.63"/>
    <col customWidth="1" min="8" max="8" width="3.88"/>
    <col customWidth="1" min="9" max="9" width="26.38"/>
    <col customWidth="1" min="10" max="10" width="11.38"/>
  </cols>
  <sheetData>
    <row r="1" ht="25.5" customHeight="1">
      <c r="A1" s="110" t="s">
        <v>43</v>
      </c>
      <c r="B1" s="110" t="s">
        <v>132</v>
      </c>
      <c r="C1" s="110" t="s">
        <v>133</v>
      </c>
      <c r="D1" s="110" t="s">
        <v>134</v>
      </c>
      <c r="E1" s="110" t="s">
        <v>135</v>
      </c>
      <c r="F1" s="110" t="s">
        <v>51</v>
      </c>
      <c r="G1" s="110" t="s">
        <v>44</v>
      </c>
      <c r="H1" s="111"/>
      <c r="I1" s="112" t="s">
        <v>136</v>
      </c>
      <c r="J1" s="112" t="s">
        <v>138</v>
      </c>
      <c r="K1" s="111"/>
    </row>
    <row r="2">
      <c r="A2" s="113">
        <v>398.0</v>
      </c>
      <c r="B2" s="114" t="s">
        <v>140</v>
      </c>
      <c r="C2" s="115">
        <v>46311.0</v>
      </c>
      <c r="D2" s="113" t="s">
        <v>141</v>
      </c>
      <c r="E2" s="116"/>
      <c r="F2" s="117"/>
      <c r="G2" s="114" t="s">
        <v>142</v>
      </c>
      <c r="H2" s="111"/>
      <c r="I2" s="118" t="s">
        <v>143</v>
      </c>
      <c r="J2" s="119">
        <f>COUNTIF(D2:D1000,"✅*")</f>
        <v>5</v>
      </c>
      <c r="K2" s="111"/>
    </row>
    <row r="3">
      <c r="A3" s="113">
        <v>396.0</v>
      </c>
      <c r="B3" s="114" t="s">
        <v>146</v>
      </c>
      <c r="C3" s="115">
        <v>46282.0</v>
      </c>
      <c r="D3" s="113" t="s">
        <v>141</v>
      </c>
      <c r="E3" s="116"/>
      <c r="F3" s="117"/>
      <c r="G3" s="114" t="s">
        <v>147</v>
      </c>
      <c r="H3" s="111"/>
      <c r="I3" s="118" t="s">
        <v>148</v>
      </c>
      <c r="J3" s="119">
        <f>COUNTIF(D2:D1000,"❌*")</f>
        <v>0</v>
      </c>
      <c r="K3" s="111"/>
    </row>
    <row r="4">
      <c r="A4" s="113">
        <v>393.0</v>
      </c>
      <c r="B4" s="114" t="s">
        <v>149</v>
      </c>
      <c r="C4" s="115">
        <v>46280.0</v>
      </c>
      <c r="D4" s="113" t="s">
        <v>141</v>
      </c>
      <c r="E4" s="116"/>
      <c r="F4" s="117"/>
      <c r="G4" s="114" t="s">
        <v>150</v>
      </c>
      <c r="H4" s="111"/>
      <c r="I4" s="118" t="s">
        <v>151</v>
      </c>
      <c r="J4" s="119">
        <f>COUNTIF(D2:D1000,"❓*")</f>
        <v>24</v>
      </c>
      <c r="K4" s="111"/>
    </row>
    <row r="5">
      <c r="A5" s="113">
        <v>391.0</v>
      </c>
      <c r="B5" s="114" t="s">
        <v>153</v>
      </c>
      <c r="C5" s="115">
        <v>46269.0</v>
      </c>
      <c r="D5" s="113" t="s">
        <v>141</v>
      </c>
      <c r="E5" s="116"/>
      <c r="F5" s="117"/>
      <c r="G5" s="114" t="s">
        <v>154</v>
      </c>
      <c r="H5" s="111"/>
      <c r="I5" s="111"/>
      <c r="J5" s="111"/>
      <c r="K5" s="111"/>
    </row>
    <row r="6">
      <c r="A6" s="113">
        <v>390.0</v>
      </c>
      <c r="B6" s="114" t="s">
        <v>156</v>
      </c>
      <c r="C6" s="115">
        <v>46247.0</v>
      </c>
      <c r="D6" s="113" t="s">
        <v>141</v>
      </c>
      <c r="E6" s="116"/>
      <c r="F6" s="117"/>
      <c r="G6" s="114" t="s">
        <v>157</v>
      </c>
      <c r="H6" s="111"/>
      <c r="I6" s="111"/>
      <c r="J6" s="111"/>
      <c r="K6" s="111"/>
    </row>
    <row r="7">
      <c r="A7" s="113">
        <v>387.0</v>
      </c>
      <c r="B7" s="114" t="s">
        <v>158</v>
      </c>
      <c r="C7" s="115">
        <v>46244.0</v>
      </c>
      <c r="D7" s="113" t="s">
        <v>141</v>
      </c>
      <c r="E7" s="116"/>
      <c r="F7" s="117"/>
      <c r="G7" s="114" t="s">
        <v>159</v>
      </c>
      <c r="H7" s="111"/>
      <c r="I7" s="111"/>
      <c r="J7" s="111"/>
      <c r="K7" s="111"/>
    </row>
    <row r="8">
      <c r="A8" s="113">
        <v>386.0</v>
      </c>
      <c r="B8" s="114" t="s">
        <v>160</v>
      </c>
      <c r="C8" s="115">
        <v>46253.0</v>
      </c>
      <c r="D8" s="113" t="s">
        <v>141</v>
      </c>
      <c r="E8" s="116"/>
      <c r="F8" s="117"/>
      <c r="G8" s="114" t="s">
        <v>161</v>
      </c>
      <c r="H8" s="111"/>
      <c r="I8" s="111"/>
      <c r="J8" s="111"/>
      <c r="K8" s="111"/>
    </row>
    <row r="9">
      <c r="A9" s="113">
        <v>385.0</v>
      </c>
      <c r="B9" s="114" t="s">
        <v>162</v>
      </c>
      <c r="C9" s="115">
        <v>46220.0</v>
      </c>
      <c r="D9" s="113" t="s">
        <v>141</v>
      </c>
      <c r="E9" s="116"/>
      <c r="F9" s="117"/>
      <c r="G9" s="114" t="s">
        <v>163</v>
      </c>
      <c r="H9" s="111"/>
      <c r="I9" s="111"/>
      <c r="J9" s="111"/>
      <c r="K9" s="111"/>
    </row>
    <row r="10">
      <c r="A10" s="113">
        <v>384.0</v>
      </c>
      <c r="B10" s="114" t="s">
        <v>146</v>
      </c>
      <c r="C10" s="115">
        <v>46177.0</v>
      </c>
      <c r="D10" s="113" t="s">
        <v>141</v>
      </c>
      <c r="E10" s="116"/>
      <c r="F10" s="117"/>
      <c r="G10" s="114" t="s">
        <v>164</v>
      </c>
      <c r="H10" s="111"/>
      <c r="I10" s="111"/>
      <c r="J10" s="111"/>
      <c r="K10" s="111"/>
    </row>
    <row r="11">
      <c r="A11" s="113">
        <v>382.0</v>
      </c>
      <c r="B11" s="114" t="s">
        <v>165</v>
      </c>
      <c r="C11" s="115">
        <v>46190.0</v>
      </c>
      <c r="D11" s="113" t="s">
        <v>141</v>
      </c>
      <c r="E11" s="116"/>
      <c r="F11" s="117"/>
      <c r="G11" s="114" t="s">
        <v>166</v>
      </c>
      <c r="H11" s="111"/>
      <c r="I11" s="111"/>
      <c r="J11" s="111"/>
      <c r="K11" s="111"/>
    </row>
    <row r="12">
      <c r="A12" s="113">
        <v>381.0</v>
      </c>
      <c r="B12" s="114" t="s">
        <v>167</v>
      </c>
      <c r="C12" s="115">
        <v>46202.0</v>
      </c>
      <c r="D12" s="113" t="s">
        <v>141</v>
      </c>
      <c r="E12" s="116"/>
      <c r="F12" s="117"/>
      <c r="G12" s="114" t="s">
        <v>168</v>
      </c>
      <c r="H12" s="111"/>
      <c r="I12" s="111"/>
      <c r="J12" s="111"/>
      <c r="K12" s="111"/>
    </row>
    <row r="13">
      <c r="A13" s="113">
        <v>380.0</v>
      </c>
      <c r="B13" s="114" t="s">
        <v>169</v>
      </c>
      <c r="C13" s="115">
        <v>46218.0</v>
      </c>
      <c r="D13" s="113" t="s">
        <v>141</v>
      </c>
      <c r="E13" s="116"/>
      <c r="F13" s="117"/>
      <c r="G13" s="114" t="s">
        <v>171</v>
      </c>
      <c r="H13" s="111"/>
      <c r="I13" s="111"/>
      <c r="J13" s="111"/>
      <c r="K13" s="111"/>
    </row>
    <row r="14">
      <c r="A14" s="113">
        <v>379.0</v>
      </c>
      <c r="B14" s="114" t="s">
        <v>172</v>
      </c>
      <c r="C14" s="115">
        <v>46168.0</v>
      </c>
      <c r="D14" s="113" t="s">
        <v>141</v>
      </c>
      <c r="E14" s="116"/>
      <c r="F14" s="117"/>
      <c r="G14" s="114" t="s">
        <v>173</v>
      </c>
      <c r="H14" s="111"/>
      <c r="I14" s="111"/>
      <c r="J14" s="111"/>
      <c r="K14" s="111"/>
    </row>
    <row r="15">
      <c r="A15" s="113">
        <v>378.0</v>
      </c>
      <c r="B15" s="114" t="s">
        <v>174</v>
      </c>
      <c r="C15" s="115">
        <v>46223.0</v>
      </c>
      <c r="D15" s="113" t="s">
        <v>141</v>
      </c>
      <c r="E15" s="116"/>
      <c r="F15" s="117"/>
      <c r="G15" s="114" t="s">
        <v>176</v>
      </c>
      <c r="H15" s="111"/>
      <c r="I15" s="111"/>
      <c r="J15" s="111"/>
      <c r="K15" s="111"/>
    </row>
    <row r="16">
      <c r="A16" s="113">
        <v>377.0</v>
      </c>
      <c r="B16" s="114" t="s">
        <v>146</v>
      </c>
      <c r="C16" s="115">
        <v>46210.0</v>
      </c>
      <c r="D16" s="113" t="s">
        <v>141</v>
      </c>
      <c r="E16" s="116"/>
      <c r="F16" s="117"/>
      <c r="G16" s="114" t="s">
        <v>177</v>
      </c>
      <c r="H16" s="111"/>
      <c r="I16" s="111"/>
      <c r="J16" s="111"/>
      <c r="K16" s="111"/>
    </row>
    <row r="17">
      <c r="A17" s="113">
        <v>376.0</v>
      </c>
      <c r="B17" s="114" t="s">
        <v>178</v>
      </c>
      <c r="C17" s="115">
        <v>46173.0</v>
      </c>
      <c r="D17" s="113" t="s">
        <v>141</v>
      </c>
      <c r="E17" s="116"/>
      <c r="F17" s="117"/>
      <c r="G17" s="114" t="s">
        <v>179</v>
      </c>
      <c r="H17" s="111"/>
      <c r="I17" s="111"/>
      <c r="J17" s="111"/>
      <c r="K17" s="111"/>
    </row>
    <row r="18">
      <c r="A18" s="113">
        <v>375.0</v>
      </c>
      <c r="B18" s="114" t="s">
        <v>180</v>
      </c>
      <c r="C18" s="115">
        <v>46203.0</v>
      </c>
      <c r="D18" s="113" t="s">
        <v>141</v>
      </c>
      <c r="E18" s="116"/>
      <c r="F18" s="117"/>
      <c r="G18" s="114" t="s">
        <v>181</v>
      </c>
      <c r="H18" s="111"/>
      <c r="I18" s="111"/>
      <c r="J18" s="111"/>
      <c r="K18" s="111"/>
    </row>
    <row r="19">
      <c r="A19" s="113">
        <v>374.0</v>
      </c>
      <c r="B19" s="114" t="s">
        <v>182</v>
      </c>
      <c r="C19" s="115">
        <v>46185.0</v>
      </c>
      <c r="D19" s="113" t="s">
        <v>141</v>
      </c>
      <c r="E19" s="116"/>
      <c r="F19" s="117"/>
      <c r="G19" s="114" t="s">
        <v>183</v>
      </c>
      <c r="H19" s="111"/>
      <c r="I19" s="111"/>
      <c r="J19" s="111"/>
      <c r="K19" s="111"/>
    </row>
    <row r="20">
      <c r="A20" s="113">
        <v>371.0</v>
      </c>
      <c r="B20" s="114" t="s">
        <v>184</v>
      </c>
      <c r="C20" s="115">
        <v>46186.0</v>
      </c>
      <c r="D20" s="113" t="s">
        <v>141</v>
      </c>
      <c r="E20" s="116"/>
      <c r="F20" s="117"/>
      <c r="G20" s="114" t="s">
        <v>185</v>
      </c>
      <c r="H20" s="111"/>
      <c r="I20" s="111"/>
      <c r="J20" s="111"/>
      <c r="K20" s="111"/>
    </row>
    <row r="21">
      <c r="A21" s="113">
        <v>370.0</v>
      </c>
      <c r="B21" s="114" t="s">
        <v>186</v>
      </c>
      <c r="C21" s="115">
        <v>46190.0</v>
      </c>
      <c r="D21" s="113" t="s">
        <v>141</v>
      </c>
      <c r="E21" s="116"/>
      <c r="F21" s="117"/>
      <c r="G21" s="114" t="s">
        <v>187</v>
      </c>
      <c r="H21" s="111"/>
      <c r="I21" s="111"/>
      <c r="J21" s="111"/>
      <c r="K21" s="111"/>
    </row>
    <row r="22">
      <c r="A22" s="113">
        <v>369.0</v>
      </c>
      <c r="B22" s="114" t="s">
        <v>189</v>
      </c>
      <c r="C22" s="115">
        <v>46156.0</v>
      </c>
      <c r="D22" s="113" t="s">
        <v>141</v>
      </c>
      <c r="E22" s="116"/>
      <c r="F22" s="117"/>
      <c r="G22" s="114" t="s">
        <v>190</v>
      </c>
      <c r="H22" s="111"/>
      <c r="I22" s="111"/>
      <c r="J22" s="111"/>
      <c r="K22" s="111"/>
    </row>
    <row r="23">
      <c r="A23" s="113">
        <v>368.0</v>
      </c>
      <c r="B23" s="114" t="s">
        <v>191</v>
      </c>
      <c r="C23" s="115">
        <v>46166.0</v>
      </c>
      <c r="D23" s="113" t="s">
        <v>141</v>
      </c>
      <c r="E23" s="116"/>
      <c r="F23" s="117"/>
      <c r="G23" s="114" t="s">
        <v>192</v>
      </c>
      <c r="H23" s="111"/>
      <c r="I23" s="111"/>
      <c r="J23" s="111"/>
      <c r="K23" s="111"/>
    </row>
    <row r="24">
      <c r="A24" s="113">
        <v>367.0</v>
      </c>
      <c r="B24" s="114" t="s">
        <v>194</v>
      </c>
      <c r="C24" s="115">
        <v>46175.0</v>
      </c>
      <c r="D24" s="113" t="s">
        <v>141</v>
      </c>
      <c r="E24" s="116"/>
      <c r="F24" s="117"/>
      <c r="G24" s="114" t="s">
        <v>195</v>
      </c>
      <c r="H24" s="111"/>
      <c r="I24" s="111"/>
      <c r="J24" s="111"/>
      <c r="K24" s="111"/>
    </row>
    <row r="25">
      <c r="A25" s="113">
        <v>366.0</v>
      </c>
      <c r="B25" s="114" t="s">
        <v>196</v>
      </c>
      <c r="C25" s="115">
        <v>46140.0</v>
      </c>
      <c r="D25" s="113" t="s">
        <v>141</v>
      </c>
      <c r="E25" s="116"/>
      <c r="F25" s="117"/>
      <c r="G25" s="114" t="s">
        <v>197</v>
      </c>
      <c r="H25" s="111"/>
      <c r="I25" s="111"/>
      <c r="J25" s="111"/>
      <c r="K25" s="111"/>
    </row>
    <row r="26">
      <c r="A26" s="113">
        <v>383.0</v>
      </c>
      <c r="B26" s="114" t="s">
        <v>198</v>
      </c>
      <c r="C26" s="115">
        <v>46315.0</v>
      </c>
      <c r="D26" s="113" t="s">
        <v>199</v>
      </c>
      <c r="E26" s="115">
        <v>46315.0</v>
      </c>
      <c r="F26" s="114" t="s">
        <v>200</v>
      </c>
      <c r="G26" s="117"/>
      <c r="H26" s="111"/>
      <c r="I26" s="111"/>
      <c r="J26" s="111"/>
      <c r="K26" s="111"/>
    </row>
    <row r="27">
      <c r="A27" s="113">
        <v>395.0</v>
      </c>
      <c r="B27" s="114" t="s">
        <v>201</v>
      </c>
      <c r="C27" s="115">
        <v>46317.0</v>
      </c>
      <c r="D27" s="113" t="s">
        <v>199</v>
      </c>
      <c r="E27" s="115">
        <v>46318.0</v>
      </c>
      <c r="F27" s="114" t="s">
        <v>200</v>
      </c>
      <c r="G27" s="117"/>
      <c r="H27" s="111"/>
      <c r="I27" s="111"/>
      <c r="J27" s="111"/>
      <c r="K27" s="111"/>
    </row>
    <row r="28">
      <c r="A28" s="113">
        <v>403.0</v>
      </c>
      <c r="B28" s="114" t="s">
        <v>202</v>
      </c>
      <c r="C28" s="115">
        <v>46318.0</v>
      </c>
      <c r="D28" s="113" t="s">
        <v>199</v>
      </c>
      <c r="E28" s="115">
        <v>46318.0</v>
      </c>
      <c r="F28" s="114" t="s">
        <v>200</v>
      </c>
      <c r="G28" s="117"/>
      <c r="H28" s="111"/>
      <c r="I28" s="111"/>
      <c r="J28" s="111"/>
      <c r="K28" s="111"/>
    </row>
    <row r="29">
      <c r="A29" s="113">
        <v>404.0</v>
      </c>
      <c r="B29" s="114" t="s">
        <v>203</v>
      </c>
      <c r="C29" s="115">
        <v>46319.0</v>
      </c>
      <c r="D29" s="113" t="s">
        <v>199</v>
      </c>
      <c r="E29" s="115">
        <v>46319.0</v>
      </c>
      <c r="F29" s="114" t="s">
        <v>200</v>
      </c>
      <c r="G29" s="117"/>
      <c r="H29" s="111"/>
      <c r="I29" s="111"/>
      <c r="J29" s="111"/>
      <c r="K29" s="111"/>
    </row>
    <row r="30">
      <c r="A30" s="113">
        <v>397.0</v>
      </c>
      <c r="B30" s="114" t="s">
        <v>204</v>
      </c>
      <c r="C30" s="115">
        <v>46319.0</v>
      </c>
      <c r="D30" s="113" t="s">
        <v>199</v>
      </c>
      <c r="E30" s="115">
        <v>46319.0</v>
      </c>
      <c r="F30" s="114" t="s">
        <v>200</v>
      </c>
      <c r="G30" s="117"/>
      <c r="H30" s="111"/>
      <c r="I30" s="111"/>
      <c r="J30" s="111"/>
      <c r="K30" s="111"/>
    </row>
    <row r="31">
      <c r="A31" s="120"/>
      <c r="B31" s="117"/>
      <c r="C31" s="116"/>
      <c r="D31" s="120"/>
      <c r="E31" s="116"/>
      <c r="F31" s="117"/>
      <c r="G31" s="117"/>
      <c r="H31" s="111"/>
      <c r="I31" s="111"/>
      <c r="J31" s="111"/>
      <c r="K31" s="111"/>
    </row>
    <row r="32">
      <c r="A32" s="120"/>
      <c r="B32" s="117"/>
      <c r="C32" s="116"/>
      <c r="D32" s="120"/>
      <c r="E32" s="116"/>
      <c r="F32" s="117"/>
      <c r="G32" s="117"/>
      <c r="H32" s="111"/>
      <c r="I32" s="111"/>
      <c r="J32" s="111"/>
      <c r="K32" s="111"/>
    </row>
    <row r="33">
      <c r="A33" s="120"/>
      <c r="B33" s="117"/>
      <c r="C33" s="116"/>
      <c r="D33" s="120"/>
      <c r="E33" s="116"/>
      <c r="F33" s="117"/>
      <c r="G33" s="117"/>
      <c r="H33" s="111"/>
      <c r="I33" s="111"/>
      <c r="J33" s="111"/>
      <c r="K33" s="111"/>
    </row>
    <row r="34">
      <c r="A34" s="120"/>
      <c r="B34" s="117"/>
      <c r="C34" s="116"/>
      <c r="D34" s="120"/>
      <c r="E34" s="116"/>
      <c r="F34" s="117"/>
      <c r="G34" s="117"/>
      <c r="H34" s="111"/>
      <c r="I34" s="111"/>
      <c r="J34" s="111"/>
      <c r="K34" s="111"/>
    </row>
    <row r="35">
      <c r="A35" s="120"/>
      <c r="B35" s="117"/>
      <c r="C35" s="116"/>
      <c r="D35" s="120"/>
      <c r="E35" s="116"/>
      <c r="F35" s="117"/>
      <c r="G35" s="117"/>
      <c r="H35" s="111"/>
      <c r="I35" s="111"/>
      <c r="J35" s="111"/>
      <c r="K35" s="111"/>
    </row>
    <row r="36">
      <c r="A36" s="120"/>
      <c r="B36" s="117"/>
      <c r="C36" s="116"/>
      <c r="D36" s="120"/>
      <c r="E36" s="116"/>
      <c r="F36" s="117"/>
      <c r="G36" s="117"/>
      <c r="H36" s="111"/>
      <c r="I36" s="111"/>
      <c r="J36" s="111"/>
      <c r="K36" s="111"/>
    </row>
    <row r="37">
      <c r="A37" s="120"/>
      <c r="B37" s="117"/>
      <c r="C37" s="116"/>
      <c r="D37" s="120"/>
      <c r="E37" s="116"/>
      <c r="F37" s="117"/>
      <c r="G37" s="117"/>
      <c r="H37" s="111"/>
      <c r="I37" s="111"/>
      <c r="J37" s="111"/>
      <c r="K37" s="111"/>
    </row>
    <row r="38">
      <c r="A38" s="120"/>
      <c r="B38" s="117"/>
      <c r="C38" s="116"/>
      <c r="D38" s="120"/>
      <c r="E38" s="116"/>
      <c r="F38" s="117"/>
      <c r="G38" s="117"/>
      <c r="H38" s="111"/>
      <c r="I38" s="111"/>
      <c r="J38" s="111"/>
      <c r="K38" s="111"/>
    </row>
    <row r="39">
      <c r="A39" s="120"/>
      <c r="B39" s="117"/>
      <c r="C39" s="116"/>
      <c r="D39" s="120"/>
      <c r="E39" s="116"/>
      <c r="F39" s="117"/>
      <c r="G39" s="117"/>
      <c r="H39" s="111"/>
      <c r="I39" s="111"/>
      <c r="J39" s="111"/>
      <c r="K39" s="111"/>
    </row>
    <row r="40">
      <c r="A40" s="120"/>
      <c r="B40" s="117"/>
      <c r="C40" s="116"/>
      <c r="D40" s="120"/>
      <c r="E40" s="116"/>
      <c r="F40" s="117"/>
      <c r="G40" s="117"/>
      <c r="H40" s="111"/>
      <c r="I40" s="111"/>
      <c r="J40" s="111"/>
      <c r="K40" s="111"/>
    </row>
    <row r="41">
      <c r="A41" s="120"/>
      <c r="B41" s="117"/>
      <c r="C41" s="116"/>
      <c r="D41" s="120"/>
      <c r="E41" s="116"/>
      <c r="F41" s="117"/>
      <c r="G41" s="117"/>
      <c r="H41" s="111"/>
      <c r="I41" s="111"/>
      <c r="J41" s="111"/>
      <c r="K41" s="111"/>
    </row>
    <row r="42">
      <c r="A42" s="120"/>
      <c r="B42" s="117"/>
      <c r="C42" s="116"/>
      <c r="D42" s="120"/>
      <c r="E42" s="116"/>
      <c r="F42" s="117"/>
      <c r="G42" s="117"/>
      <c r="H42" s="111"/>
      <c r="I42" s="111"/>
      <c r="J42" s="111"/>
      <c r="K42" s="111"/>
    </row>
    <row r="43">
      <c r="A43" s="120"/>
      <c r="B43" s="117"/>
      <c r="C43" s="116"/>
      <c r="D43" s="120"/>
      <c r="E43" s="116"/>
      <c r="F43" s="117"/>
      <c r="G43" s="117"/>
      <c r="H43" s="111"/>
      <c r="I43" s="111"/>
      <c r="J43" s="111"/>
      <c r="K43" s="111"/>
    </row>
    <row r="44">
      <c r="A44" s="120"/>
      <c r="B44" s="117"/>
      <c r="C44" s="116"/>
      <c r="D44" s="120"/>
      <c r="E44" s="116"/>
      <c r="F44" s="117"/>
      <c r="G44" s="117"/>
      <c r="H44" s="111"/>
      <c r="I44" s="111"/>
      <c r="J44" s="111"/>
      <c r="K44" s="111"/>
    </row>
    <row r="45">
      <c r="A45" s="120"/>
      <c r="B45" s="117"/>
      <c r="C45" s="116"/>
      <c r="D45" s="120"/>
      <c r="E45" s="116"/>
      <c r="F45" s="117"/>
      <c r="G45" s="117"/>
      <c r="H45" s="111"/>
      <c r="I45" s="111"/>
      <c r="J45" s="111"/>
      <c r="K45" s="111"/>
    </row>
    <row r="46">
      <c r="A46" s="120"/>
      <c r="B46" s="117"/>
      <c r="C46" s="116"/>
      <c r="D46" s="120"/>
      <c r="E46" s="116"/>
      <c r="F46" s="117"/>
      <c r="G46" s="117"/>
      <c r="H46" s="111"/>
      <c r="I46" s="111"/>
      <c r="J46" s="111"/>
      <c r="K46" s="111"/>
    </row>
    <row r="47">
      <c r="A47" s="120"/>
      <c r="B47" s="117"/>
      <c r="C47" s="116"/>
      <c r="D47" s="120"/>
      <c r="E47" s="116"/>
      <c r="F47" s="117"/>
      <c r="G47" s="117"/>
      <c r="H47" s="111"/>
      <c r="I47" s="111"/>
      <c r="J47" s="111"/>
      <c r="K47" s="111"/>
    </row>
    <row r="48">
      <c r="A48" s="120"/>
      <c r="B48" s="117"/>
      <c r="C48" s="116"/>
      <c r="D48" s="120"/>
      <c r="E48" s="116"/>
      <c r="F48" s="117"/>
      <c r="G48" s="117"/>
      <c r="H48" s="111"/>
      <c r="I48" s="111"/>
      <c r="J48" s="111"/>
      <c r="K48" s="111"/>
    </row>
    <row r="49">
      <c r="A49" s="120"/>
      <c r="B49" s="117"/>
      <c r="C49" s="116"/>
      <c r="D49" s="120"/>
      <c r="E49" s="116"/>
      <c r="F49" s="117"/>
      <c r="G49" s="117"/>
      <c r="H49" s="111"/>
      <c r="I49" s="111"/>
      <c r="J49" s="111"/>
      <c r="K49" s="111"/>
    </row>
    <row r="50">
      <c r="A50" s="120"/>
      <c r="B50" s="117"/>
      <c r="C50" s="116"/>
      <c r="D50" s="120"/>
      <c r="E50" s="116"/>
      <c r="F50" s="117"/>
      <c r="G50" s="117"/>
      <c r="H50" s="111"/>
      <c r="I50" s="111"/>
      <c r="J50" s="111"/>
      <c r="K50" s="111"/>
    </row>
    <row r="51">
      <c r="A51" s="120"/>
      <c r="B51" s="117"/>
      <c r="C51" s="116"/>
      <c r="D51" s="120"/>
      <c r="E51" s="116"/>
      <c r="F51" s="117"/>
      <c r="G51" s="117"/>
      <c r="H51" s="111"/>
      <c r="I51" s="111"/>
      <c r="J51" s="111"/>
      <c r="K51" s="111"/>
    </row>
    <row r="52">
      <c r="A52" s="120"/>
      <c r="B52" s="117"/>
      <c r="C52" s="116"/>
      <c r="D52" s="120"/>
      <c r="E52" s="116"/>
      <c r="F52" s="117"/>
      <c r="G52" s="117"/>
      <c r="H52" s="111"/>
      <c r="I52" s="111"/>
      <c r="J52" s="111"/>
      <c r="K52" s="111"/>
    </row>
    <row r="53">
      <c r="A53" s="120"/>
      <c r="B53" s="117"/>
      <c r="C53" s="116"/>
      <c r="D53" s="120"/>
      <c r="E53" s="116"/>
      <c r="F53" s="117"/>
      <c r="G53" s="117"/>
      <c r="H53" s="111"/>
      <c r="I53" s="111"/>
      <c r="J53" s="111"/>
      <c r="K53" s="111"/>
    </row>
    <row r="54">
      <c r="A54" s="120"/>
      <c r="B54" s="117"/>
      <c r="C54" s="116"/>
      <c r="D54" s="120"/>
      <c r="E54" s="116"/>
      <c r="F54" s="117"/>
      <c r="G54" s="117"/>
      <c r="H54" s="111"/>
      <c r="I54" s="111"/>
      <c r="J54" s="111"/>
      <c r="K54" s="111"/>
    </row>
    <row r="55">
      <c r="A55" s="120"/>
      <c r="B55" s="117"/>
      <c r="C55" s="116"/>
      <c r="D55" s="120"/>
      <c r="E55" s="116"/>
      <c r="F55" s="117"/>
      <c r="G55" s="117"/>
      <c r="H55" s="111"/>
      <c r="I55" s="111"/>
      <c r="J55" s="111"/>
      <c r="K55" s="111"/>
    </row>
    <row r="56">
      <c r="A56" s="120"/>
      <c r="B56" s="117"/>
      <c r="C56" s="116"/>
      <c r="D56" s="120"/>
      <c r="E56" s="116"/>
      <c r="F56" s="117"/>
      <c r="G56" s="117"/>
      <c r="H56" s="111"/>
      <c r="I56" s="111"/>
      <c r="J56" s="111"/>
      <c r="K56" s="111"/>
    </row>
    <row r="57">
      <c r="A57" s="120"/>
      <c r="B57" s="117"/>
      <c r="C57" s="116"/>
      <c r="D57" s="120"/>
      <c r="E57" s="116"/>
      <c r="F57" s="117"/>
      <c r="G57" s="117"/>
      <c r="H57" s="111"/>
      <c r="I57" s="111"/>
      <c r="J57" s="111"/>
      <c r="K57" s="111"/>
    </row>
    <row r="58">
      <c r="A58" s="120"/>
      <c r="B58" s="117"/>
      <c r="C58" s="116"/>
      <c r="D58" s="120"/>
      <c r="E58" s="116"/>
      <c r="F58" s="117"/>
      <c r="G58" s="117"/>
      <c r="H58" s="111"/>
      <c r="I58" s="111"/>
      <c r="J58" s="111"/>
      <c r="K58" s="111"/>
    </row>
    <row r="59">
      <c r="A59" s="120"/>
      <c r="B59" s="117"/>
      <c r="C59" s="116"/>
      <c r="D59" s="120"/>
      <c r="E59" s="116"/>
      <c r="F59" s="117"/>
      <c r="G59" s="117"/>
      <c r="H59" s="111"/>
      <c r="I59" s="111"/>
      <c r="J59" s="111"/>
      <c r="K59" s="111"/>
    </row>
    <row r="60">
      <c r="A60" s="120"/>
      <c r="B60" s="117"/>
      <c r="C60" s="116"/>
      <c r="D60" s="120"/>
      <c r="E60" s="116"/>
      <c r="F60" s="117"/>
      <c r="G60" s="117"/>
      <c r="H60" s="111"/>
      <c r="I60" s="111"/>
      <c r="J60" s="111"/>
      <c r="K60" s="111"/>
    </row>
    <row r="61">
      <c r="A61" s="120"/>
      <c r="B61" s="117"/>
      <c r="C61" s="116"/>
      <c r="D61" s="120"/>
      <c r="E61" s="116"/>
      <c r="F61" s="117"/>
      <c r="G61" s="117"/>
      <c r="H61" s="111"/>
      <c r="I61" s="111"/>
      <c r="J61" s="111"/>
      <c r="K61" s="111"/>
    </row>
    <row r="62">
      <c r="A62" s="120"/>
      <c r="B62" s="117"/>
      <c r="C62" s="116"/>
      <c r="D62" s="120"/>
      <c r="E62" s="116"/>
      <c r="F62" s="117"/>
      <c r="G62" s="117"/>
      <c r="H62" s="111"/>
      <c r="I62" s="111"/>
      <c r="J62" s="111"/>
      <c r="K62" s="111"/>
    </row>
    <row r="63">
      <c r="A63" s="120"/>
      <c r="B63" s="117"/>
      <c r="C63" s="116"/>
      <c r="D63" s="120"/>
      <c r="E63" s="116"/>
      <c r="F63" s="117"/>
      <c r="G63" s="117"/>
      <c r="H63" s="111"/>
      <c r="I63" s="111"/>
      <c r="J63" s="111"/>
      <c r="K63" s="111"/>
    </row>
    <row r="64">
      <c r="A64" s="120"/>
      <c r="B64" s="117"/>
      <c r="C64" s="116"/>
      <c r="D64" s="120"/>
      <c r="E64" s="116"/>
      <c r="F64" s="117"/>
      <c r="G64" s="117"/>
      <c r="H64" s="111"/>
      <c r="I64" s="111"/>
      <c r="J64" s="111"/>
      <c r="K64" s="111"/>
    </row>
    <row r="65">
      <c r="A65" s="120"/>
      <c r="B65" s="117"/>
      <c r="C65" s="116"/>
      <c r="D65" s="120"/>
      <c r="E65" s="116"/>
      <c r="F65" s="117"/>
      <c r="G65" s="117"/>
      <c r="H65" s="111"/>
      <c r="I65" s="111"/>
      <c r="J65" s="111"/>
      <c r="K65" s="111"/>
    </row>
    <row r="66">
      <c r="A66" s="120"/>
      <c r="B66" s="117"/>
      <c r="C66" s="116"/>
      <c r="D66" s="120"/>
      <c r="E66" s="116"/>
      <c r="F66" s="117"/>
      <c r="G66" s="117"/>
      <c r="H66" s="111"/>
      <c r="I66" s="111"/>
      <c r="J66" s="111"/>
      <c r="K66" s="111"/>
    </row>
    <row r="67">
      <c r="A67" s="120"/>
      <c r="B67" s="117"/>
      <c r="C67" s="116"/>
      <c r="D67" s="120"/>
      <c r="E67" s="116"/>
      <c r="F67" s="117"/>
      <c r="G67" s="117"/>
      <c r="H67" s="111"/>
      <c r="I67" s="111"/>
      <c r="J67" s="111"/>
      <c r="K67" s="111"/>
    </row>
    <row r="68">
      <c r="A68" s="120"/>
      <c r="B68" s="117"/>
      <c r="C68" s="116"/>
      <c r="D68" s="120"/>
      <c r="E68" s="116"/>
      <c r="F68" s="117"/>
      <c r="G68" s="117"/>
      <c r="H68" s="111"/>
      <c r="I68" s="111"/>
      <c r="J68" s="111"/>
      <c r="K68" s="111"/>
    </row>
    <row r="69">
      <c r="A69" s="120"/>
      <c r="B69" s="117"/>
      <c r="C69" s="116"/>
      <c r="D69" s="120"/>
      <c r="E69" s="116"/>
      <c r="F69" s="117"/>
      <c r="G69" s="117"/>
      <c r="H69" s="111"/>
      <c r="I69" s="111"/>
      <c r="J69" s="111"/>
      <c r="K69" s="111"/>
    </row>
    <row r="70">
      <c r="A70" s="120"/>
      <c r="B70" s="117"/>
      <c r="C70" s="116"/>
      <c r="D70" s="120"/>
      <c r="E70" s="116"/>
      <c r="F70" s="117"/>
      <c r="G70" s="117"/>
      <c r="H70" s="111"/>
      <c r="I70" s="111"/>
      <c r="J70" s="111"/>
      <c r="K70" s="111"/>
    </row>
    <row r="71">
      <c r="A71" s="120"/>
      <c r="B71" s="117"/>
      <c r="C71" s="116"/>
      <c r="D71" s="120"/>
      <c r="E71" s="116"/>
      <c r="F71" s="117"/>
      <c r="G71" s="117"/>
      <c r="H71" s="111"/>
      <c r="I71" s="111"/>
      <c r="J71" s="111"/>
      <c r="K71" s="111"/>
    </row>
    <row r="72">
      <c r="A72" s="120"/>
      <c r="B72" s="117"/>
      <c r="C72" s="116"/>
      <c r="D72" s="120"/>
      <c r="E72" s="116"/>
      <c r="F72" s="117"/>
      <c r="G72" s="117"/>
      <c r="H72" s="111"/>
      <c r="I72" s="111"/>
      <c r="J72" s="111"/>
      <c r="K72" s="111"/>
    </row>
    <row r="73">
      <c r="A73" s="120"/>
      <c r="B73" s="117"/>
      <c r="C73" s="116"/>
      <c r="D73" s="120"/>
      <c r="E73" s="116"/>
      <c r="F73" s="117"/>
      <c r="G73" s="117"/>
      <c r="H73" s="111"/>
      <c r="I73" s="111"/>
      <c r="J73" s="111"/>
      <c r="K73" s="111"/>
    </row>
    <row r="74">
      <c r="A74" s="120"/>
      <c r="B74" s="117"/>
      <c r="C74" s="116"/>
      <c r="D74" s="120"/>
      <c r="E74" s="116"/>
      <c r="F74" s="117"/>
      <c r="G74" s="117"/>
      <c r="H74" s="111"/>
      <c r="I74" s="111"/>
      <c r="J74" s="111"/>
      <c r="K74" s="111"/>
    </row>
    <row r="75">
      <c r="A75" s="120"/>
      <c r="B75" s="117"/>
      <c r="C75" s="116"/>
      <c r="D75" s="120"/>
      <c r="E75" s="116"/>
      <c r="F75" s="117"/>
      <c r="G75" s="117"/>
      <c r="H75" s="111"/>
      <c r="I75" s="111"/>
      <c r="J75" s="111"/>
      <c r="K75" s="111"/>
    </row>
    <row r="76">
      <c r="A76" s="120"/>
      <c r="B76" s="117"/>
      <c r="C76" s="116"/>
      <c r="D76" s="120"/>
      <c r="E76" s="116"/>
      <c r="F76" s="117"/>
      <c r="G76" s="117"/>
      <c r="H76" s="111"/>
      <c r="I76" s="111"/>
      <c r="J76" s="111"/>
      <c r="K76" s="111"/>
    </row>
    <row r="77">
      <c r="A77" s="120"/>
      <c r="B77" s="117"/>
      <c r="C77" s="116"/>
      <c r="D77" s="120"/>
      <c r="E77" s="116"/>
      <c r="F77" s="117"/>
      <c r="G77" s="117"/>
      <c r="H77" s="111"/>
      <c r="I77" s="111"/>
      <c r="J77" s="111"/>
      <c r="K77" s="111"/>
    </row>
    <row r="78">
      <c r="A78" s="120"/>
      <c r="B78" s="117"/>
      <c r="C78" s="116"/>
      <c r="D78" s="120"/>
      <c r="E78" s="116"/>
      <c r="F78" s="117"/>
      <c r="G78" s="117"/>
      <c r="H78" s="111"/>
      <c r="I78" s="111"/>
      <c r="J78" s="111"/>
      <c r="K78" s="111"/>
    </row>
    <row r="79">
      <c r="A79" s="120"/>
      <c r="B79" s="117"/>
      <c r="C79" s="116"/>
      <c r="D79" s="120"/>
      <c r="E79" s="116"/>
      <c r="F79" s="117"/>
      <c r="G79" s="117"/>
      <c r="H79" s="111"/>
      <c r="I79" s="111"/>
      <c r="J79" s="111"/>
      <c r="K79" s="111"/>
    </row>
    <row r="80">
      <c r="A80" s="120"/>
      <c r="B80" s="117"/>
      <c r="C80" s="116"/>
      <c r="D80" s="120"/>
      <c r="E80" s="116"/>
      <c r="F80" s="117"/>
      <c r="G80" s="117"/>
      <c r="H80" s="111"/>
      <c r="I80" s="111"/>
      <c r="J80" s="111"/>
      <c r="K80" s="111"/>
    </row>
    <row r="81">
      <c r="A81" s="120"/>
      <c r="B81" s="117"/>
      <c r="C81" s="116"/>
      <c r="D81" s="120"/>
      <c r="E81" s="116"/>
      <c r="F81" s="117"/>
      <c r="G81" s="117"/>
      <c r="H81" s="111"/>
      <c r="I81" s="111"/>
      <c r="J81" s="111"/>
      <c r="K81" s="111"/>
    </row>
    <row r="82">
      <c r="A82" s="120"/>
      <c r="B82" s="117"/>
      <c r="C82" s="116"/>
      <c r="D82" s="120"/>
      <c r="E82" s="116"/>
      <c r="F82" s="117"/>
      <c r="G82" s="117"/>
      <c r="H82" s="111"/>
      <c r="I82" s="111"/>
      <c r="J82" s="111"/>
      <c r="K82" s="111"/>
    </row>
    <row r="83">
      <c r="A83" s="120"/>
      <c r="B83" s="117"/>
      <c r="C83" s="116"/>
      <c r="D83" s="120"/>
      <c r="E83" s="116"/>
      <c r="F83" s="117"/>
      <c r="G83" s="117"/>
      <c r="H83" s="111"/>
      <c r="I83" s="111"/>
      <c r="J83" s="111"/>
      <c r="K83" s="111"/>
    </row>
    <row r="84">
      <c r="A84" s="120"/>
      <c r="B84" s="117"/>
      <c r="C84" s="116"/>
      <c r="D84" s="120"/>
      <c r="E84" s="116"/>
      <c r="F84" s="117"/>
      <c r="G84" s="117"/>
      <c r="H84" s="111"/>
      <c r="I84" s="111"/>
      <c r="J84" s="111"/>
      <c r="K84" s="111"/>
    </row>
    <row r="85">
      <c r="A85" s="120"/>
      <c r="B85" s="117"/>
      <c r="C85" s="116"/>
      <c r="D85" s="120"/>
      <c r="E85" s="116"/>
      <c r="F85" s="117"/>
      <c r="G85" s="117"/>
      <c r="H85" s="111"/>
      <c r="I85" s="111"/>
      <c r="J85" s="111"/>
      <c r="K85" s="111"/>
    </row>
    <row r="86">
      <c r="A86" s="120"/>
      <c r="B86" s="117"/>
      <c r="C86" s="116"/>
      <c r="D86" s="120"/>
      <c r="E86" s="116"/>
      <c r="F86" s="117"/>
      <c r="G86" s="117"/>
      <c r="H86" s="111"/>
      <c r="I86" s="111"/>
      <c r="J86" s="111"/>
      <c r="K86" s="111"/>
    </row>
    <row r="87">
      <c r="A87" s="120"/>
      <c r="B87" s="117"/>
      <c r="C87" s="116"/>
      <c r="D87" s="120"/>
      <c r="E87" s="116"/>
      <c r="F87" s="117"/>
      <c r="G87" s="117"/>
      <c r="H87" s="111"/>
      <c r="I87" s="111"/>
      <c r="J87" s="111"/>
      <c r="K87" s="111"/>
    </row>
    <row r="88">
      <c r="A88" s="120"/>
      <c r="B88" s="117"/>
      <c r="C88" s="116"/>
      <c r="D88" s="120"/>
      <c r="E88" s="116"/>
      <c r="F88" s="117"/>
      <c r="G88" s="117"/>
      <c r="H88" s="111"/>
      <c r="I88" s="111"/>
      <c r="J88" s="111"/>
      <c r="K88" s="111"/>
    </row>
    <row r="89">
      <c r="A89" s="120"/>
      <c r="B89" s="117"/>
      <c r="C89" s="116"/>
      <c r="D89" s="120"/>
      <c r="E89" s="116"/>
      <c r="F89" s="117"/>
      <c r="G89" s="117"/>
      <c r="H89" s="111"/>
      <c r="I89" s="111"/>
      <c r="J89" s="111"/>
      <c r="K89" s="111"/>
    </row>
    <row r="90">
      <c r="A90" s="120"/>
      <c r="B90" s="117"/>
      <c r="C90" s="116"/>
      <c r="D90" s="120"/>
      <c r="E90" s="116"/>
      <c r="F90" s="117"/>
      <c r="G90" s="117"/>
      <c r="H90" s="111"/>
      <c r="I90" s="111"/>
      <c r="J90" s="111"/>
      <c r="K90" s="111"/>
    </row>
    <row r="91">
      <c r="A91" s="120"/>
      <c r="B91" s="117"/>
      <c r="C91" s="116"/>
      <c r="D91" s="120"/>
      <c r="E91" s="116"/>
      <c r="F91" s="117"/>
      <c r="G91" s="117"/>
      <c r="H91" s="111"/>
      <c r="I91" s="111"/>
      <c r="J91" s="111"/>
      <c r="K91" s="111"/>
    </row>
    <row r="92">
      <c r="A92" s="120"/>
      <c r="B92" s="117"/>
      <c r="C92" s="116"/>
      <c r="D92" s="120"/>
      <c r="E92" s="116"/>
      <c r="F92" s="117"/>
      <c r="G92" s="117"/>
      <c r="H92" s="111"/>
      <c r="I92" s="111"/>
      <c r="J92" s="111"/>
      <c r="K92" s="111"/>
    </row>
    <row r="93">
      <c r="A93" s="120"/>
      <c r="B93" s="117"/>
      <c r="C93" s="116"/>
      <c r="D93" s="120"/>
      <c r="E93" s="116"/>
      <c r="F93" s="117"/>
      <c r="G93" s="117"/>
      <c r="H93" s="111"/>
      <c r="I93" s="111"/>
      <c r="J93" s="111"/>
      <c r="K93" s="111"/>
    </row>
    <row r="94">
      <c r="A94" s="120"/>
      <c r="B94" s="117"/>
      <c r="C94" s="116"/>
      <c r="D94" s="120"/>
      <c r="E94" s="116"/>
      <c r="F94" s="117"/>
      <c r="G94" s="117"/>
      <c r="H94" s="111"/>
      <c r="I94" s="111"/>
      <c r="J94" s="111"/>
      <c r="K94" s="111"/>
    </row>
    <row r="95">
      <c r="A95" s="120"/>
      <c r="B95" s="117"/>
      <c r="C95" s="116"/>
      <c r="D95" s="120"/>
      <c r="E95" s="116"/>
      <c r="F95" s="117"/>
      <c r="G95" s="117"/>
      <c r="H95" s="111"/>
      <c r="I95" s="111"/>
      <c r="J95" s="111"/>
      <c r="K95" s="111"/>
    </row>
    <row r="96">
      <c r="A96" s="120"/>
      <c r="B96" s="117"/>
      <c r="C96" s="116"/>
      <c r="D96" s="120"/>
      <c r="E96" s="116"/>
      <c r="F96" s="117"/>
      <c r="G96" s="117"/>
      <c r="H96" s="111"/>
      <c r="I96" s="111"/>
      <c r="J96" s="111"/>
      <c r="K96" s="111"/>
    </row>
    <row r="97">
      <c r="A97" s="120"/>
      <c r="B97" s="117"/>
      <c r="C97" s="116"/>
      <c r="D97" s="120"/>
      <c r="E97" s="116"/>
      <c r="F97" s="117"/>
      <c r="G97" s="117"/>
      <c r="H97" s="111"/>
      <c r="I97" s="111"/>
      <c r="J97" s="111"/>
      <c r="K97" s="111"/>
    </row>
    <row r="98">
      <c r="A98" s="120"/>
      <c r="B98" s="117"/>
      <c r="C98" s="116"/>
      <c r="D98" s="120"/>
      <c r="E98" s="116"/>
      <c r="F98" s="117"/>
      <c r="G98" s="117"/>
      <c r="H98" s="111"/>
      <c r="I98" s="111"/>
      <c r="J98" s="111"/>
      <c r="K98" s="111"/>
    </row>
    <row r="99">
      <c r="A99" s="120"/>
      <c r="B99" s="117"/>
      <c r="C99" s="116"/>
      <c r="D99" s="120"/>
      <c r="E99" s="116"/>
      <c r="F99" s="117"/>
      <c r="G99" s="117"/>
      <c r="H99" s="111"/>
      <c r="I99" s="111"/>
      <c r="J99" s="111"/>
      <c r="K99" s="111"/>
    </row>
    <row r="100">
      <c r="A100" s="120"/>
      <c r="B100" s="117"/>
      <c r="C100" s="116"/>
      <c r="D100" s="120"/>
      <c r="E100" s="116"/>
      <c r="F100" s="117"/>
      <c r="G100" s="117"/>
      <c r="H100" s="111"/>
      <c r="I100" s="111"/>
      <c r="J100" s="111"/>
      <c r="K100" s="111"/>
    </row>
    <row r="101">
      <c r="A101" s="120"/>
      <c r="B101" s="117"/>
      <c r="C101" s="116"/>
      <c r="D101" s="120"/>
      <c r="E101" s="116"/>
      <c r="F101" s="117"/>
      <c r="G101" s="117"/>
      <c r="H101" s="111"/>
      <c r="I101" s="111"/>
      <c r="J101" s="111"/>
      <c r="K101" s="111"/>
    </row>
    <row r="102">
      <c r="A102" s="120"/>
      <c r="B102" s="117"/>
      <c r="C102" s="116"/>
      <c r="D102" s="120"/>
      <c r="E102" s="116"/>
      <c r="F102" s="117"/>
      <c r="G102" s="117"/>
      <c r="H102" s="111"/>
      <c r="I102" s="111"/>
      <c r="J102" s="111"/>
      <c r="K102" s="111"/>
    </row>
    <row r="103">
      <c r="A103" s="120"/>
      <c r="B103" s="117"/>
      <c r="C103" s="116"/>
      <c r="D103" s="120"/>
      <c r="E103" s="116"/>
      <c r="F103" s="117"/>
      <c r="G103" s="117"/>
      <c r="H103" s="111"/>
      <c r="I103" s="111"/>
      <c r="J103" s="111"/>
      <c r="K103" s="111"/>
    </row>
    <row r="104">
      <c r="A104" s="120"/>
      <c r="B104" s="117"/>
      <c r="C104" s="116"/>
      <c r="D104" s="120"/>
      <c r="E104" s="116"/>
      <c r="F104" s="117"/>
      <c r="G104" s="117"/>
      <c r="H104" s="111"/>
      <c r="I104" s="111"/>
      <c r="J104" s="111"/>
      <c r="K104" s="111"/>
    </row>
    <row r="105">
      <c r="A105" s="120"/>
      <c r="B105" s="117"/>
      <c r="C105" s="116"/>
      <c r="D105" s="120"/>
      <c r="E105" s="116"/>
      <c r="F105" s="117"/>
      <c r="G105" s="117"/>
      <c r="H105" s="111"/>
      <c r="I105" s="111"/>
      <c r="J105" s="111"/>
      <c r="K105" s="111"/>
    </row>
    <row r="106">
      <c r="A106" s="120"/>
      <c r="B106" s="117"/>
      <c r="C106" s="116"/>
      <c r="D106" s="120"/>
      <c r="E106" s="116"/>
      <c r="F106" s="117"/>
      <c r="G106" s="117"/>
      <c r="H106" s="111"/>
      <c r="I106" s="111"/>
      <c r="J106" s="111"/>
      <c r="K106" s="111"/>
    </row>
    <row r="107">
      <c r="A107" s="120"/>
      <c r="B107" s="117"/>
      <c r="C107" s="116"/>
      <c r="D107" s="120"/>
      <c r="E107" s="116"/>
      <c r="F107" s="117"/>
      <c r="G107" s="117"/>
      <c r="H107" s="111"/>
      <c r="I107" s="111"/>
      <c r="J107" s="111"/>
      <c r="K107" s="111"/>
    </row>
    <row r="108">
      <c r="A108" s="120"/>
      <c r="B108" s="117"/>
      <c r="C108" s="116"/>
      <c r="D108" s="120"/>
      <c r="E108" s="116"/>
      <c r="F108" s="117"/>
      <c r="G108" s="117"/>
      <c r="H108" s="111"/>
      <c r="I108" s="111"/>
      <c r="J108" s="111"/>
      <c r="K108" s="111"/>
    </row>
    <row r="109">
      <c r="A109" s="120"/>
      <c r="B109" s="117"/>
      <c r="C109" s="116"/>
      <c r="D109" s="120"/>
      <c r="E109" s="116"/>
      <c r="F109" s="117"/>
      <c r="G109" s="117"/>
      <c r="H109" s="111"/>
      <c r="I109" s="111"/>
      <c r="J109" s="111"/>
      <c r="K109" s="111"/>
    </row>
    <row r="110">
      <c r="A110" s="120"/>
      <c r="B110" s="117"/>
      <c r="C110" s="116"/>
      <c r="D110" s="120"/>
      <c r="E110" s="116"/>
      <c r="F110" s="117"/>
      <c r="G110" s="117"/>
      <c r="H110" s="111"/>
      <c r="I110" s="111"/>
      <c r="J110" s="111"/>
      <c r="K110" s="111"/>
    </row>
    <row r="111">
      <c r="A111" s="120"/>
      <c r="B111" s="117"/>
      <c r="C111" s="116"/>
      <c r="D111" s="120"/>
      <c r="E111" s="116"/>
      <c r="F111" s="117"/>
      <c r="G111" s="117"/>
      <c r="H111" s="111"/>
      <c r="I111" s="111"/>
      <c r="J111" s="111"/>
      <c r="K111" s="111"/>
    </row>
    <row r="112">
      <c r="A112" s="120"/>
      <c r="B112" s="117"/>
      <c r="C112" s="116"/>
      <c r="D112" s="120"/>
      <c r="E112" s="116"/>
      <c r="F112" s="117"/>
      <c r="G112" s="117"/>
      <c r="H112" s="111"/>
      <c r="I112" s="111"/>
      <c r="J112" s="111"/>
      <c r="K112" s="111"/>
    </row>
    <row r="113">
      <c r="A113" s="120"/>
      <c r="B113" s="117"/>
      <c r="C113" s="116"/>
      <c r="D113" s="120"/>
      <c r="E113" s="116"/>
      <c r="F113" s="117"/>
      <c r="G113" s="117"/>
      <c r="H113" s="111"/>
      <c r="I113" s="111"/>
      <c r="J113" s="111"/>
      <c r="K113" s="111"/>
    </row>
    <row r="114">
      <c r="A114" s="120"/>
      <c r="B114" s="117"/>
      <c r="C114" s="116"/>
      <c r="D114" s="120"/>
      <c r="E114" s="116"/>
      <c r="F114" s="117"/>
      <c r="G114" s="117"/>
      <c r="H114" s="111"/>
      <c r="I114" s="111"/>
      <c r="J114" s="111"/>
      <c r="K114" s="111"/>
    </row>
    <row r="115">
      <c r="A115" s="120"/>
      <c r="B115" s="117"/>
      <c r="C115" s="116"/>
      <c r="D115" s="120"/>
      <c r="E115" s="116"/>
      <c r="F115" s="117"/>
      <c r="G115" s="117"/>
      <c r="H115" s="111"/>
      <c r="I115" s="111"/>
      <c r="J115" s="111"/>
      <c r="K115" s="111"/>
    </row>
    <row r="116">
      <c r="A116" s="120"/>
      <c r="B116" s="117"/>
      <c r="C116" s="116"/>
      <c r="D116" s="120"/>
      <c r="E116" s="116"/>
      <c r="F116" s="117"/>
      <c r="G116" s="117"/>
      <c r="H116" s="111"/>
      <c r="I116" s="111"/>
      <c r="J116" s="111"/>
      <c r="K116" s="111"/>
    </row>
    <row r="117">
      <c r="A117" s="120"/>
      <c r="B117" s="117"/>
      <c r="C117" s="116"/>
      <c r="D117" s="120"/>
      <c r="E117" s="116"/>
      <c r="F117" s="117"/>
      <c r="G117" s="117"/>
      <c r="H117" s="111"/>
      <c r="I117" s="111"/>
      <c r="J117" s="111"/>
      <c r="K117" s="111"/>
    </row>
    <row r="118">
      <c r="A118" s="120"/>
      <c r="B118" s="117"/>
      <c r="C118" s="116"/>
      <c r="D118" s="120"/>
      <c r="E118" s="116"/>
      <c r="F118" s="117"/>
      <c r="G118" s="117"/>
      <c r="H118" s="111"/>
      <c r="I118" s="111"/>
      <c r="J118" s="111"/>
      <c r="K118" s="111"/>
    </row>
    <row r="119">
      <c r="A119" s="120"/>
      <c r="B119" s="117"/>
      <c r="C119" s="116"/>
      <c r="D119" s="120"/>
      <c r="E119" s="116"/>
      <c r="F119" s="117"/>
      <c r="G119" s="117"/>
      <c r="H119" s="111"/>
      <c r="I119" s="111"/>
      <c r="J119" s="111"/>
      <c r="K119" s="111"/>
    </row>
    <row r="120">
      <c r="A120" s="120"/>
      <c r="B120" s="117"/>
      <c r="C120" s="116"/>
      <c r="D120" s="120"/>
      <c r="E120" s="116"/>
      <c r="F120" s="117"/>
      <c r="G120" s="117"/>
      <c r="H120" s="111"/>
      <c r="I120" s="111"/>
      <c r="J120" s="111"/>
      <c r="K120" s="111"/>
    </row>
    <row r="121">
      <c r="A121" s="120"/>
      <c r="B121" s="117"/>
      <c r="C121" s="116"/>
      <c r="D121" s="120"/>
      <c r="E121" s="116"/>
      <c r="F121" s="117"/>
      <c r="G121" s="117"/>
      <c r="H121" s="111"/>
      <c r="I121" s="111"/>
      <c r="J121" s="111"/>
      <c r="K121" s="111"/>
    </row>
    <row r="122">
      <c r="A122" s="120"/>
      <c r="B122" s="117"/>
      <c r="C122" s="116"/>
      <c r="D122" s="120"/>
      <c r="E122" s="116"/>
      <c r="F122" s="117"/>
      <c r="G122" s="117"/>
      <c r="H122" s="111"/>
      <c r="I122" s="111"/>
      <c r="J122" s="111"/>
      <c r="K122" s="111"/>
    </row>
    <row r="123">
      <c r="A123" s="120"/>
      <c r="B123" s="117"/>
      <c r="C123" s="116"/>
      <c r="D123" s="120"/>
      <c r="E123" s="116"/>
      <c r="F123" s="117"/>
      <c r="G123" s="117"/>
      <c r="H123" s="111"/>
      <c r="I123" s="111"/>
      <c r="J123" s="111"/>
      <c r="K123" s="111"/>
    </row>
    <row r="124">
      <c r="A124" s="120"/>
      <c r="B124" s="117"/>
      <c r="C124" s="116"/>
      <c r="D124" s="120"/>
      <c r="E124" s="116"/>
      <c r="F124" s="117"/>
      <c r="G124" s="117"/>
      <c r="H124" s="111"/>
      <c r="I124" s="111"/>
      <c r="J124" s="111"/>
      <c r="K124" s="111"/>
    </row>
    <row r="125">
      <c r="A125" s="120"/>
      <c r="B125" s="117"/>
      <c r="C125" s="116"/>
      <c r="D125" s="120"/>
      <c r="E125" s="116"/>
      <c r="F125" s="117"/>
      <c r="G125" s="117"/>
      <c r="H125" s="111"/>
      <c r="I125" s="111"/>
      <c r="J125" s="111"/>
      <c r="K125" s="111"/>
    </row>
    <row r="126">
      <c r="A126" s="120"/>
      <c r="B126" s="117"/>
      <c r="C126" s="116"/>
      <c r="D126" s="120"/>
      <c r="E126" s="116"/>
      <c r="F126" s="117"/>
      <c r="G126" s="117"/>
      <c r="H126" s="111"/>
      <c r="I126" s="111"/>
      <c r="J126" s="111"/>
      <c r="K126" s="111"/>
    </row>
    <row r="127">
      <c r="A127" s="120"/>
      <c r="B127" s="117"/>
      <c r="C127" s="116"/>
      <c r="D127" s="120"/>
      <c r="E127" s="116"/>
      <c r="F127" s="117"/>
      <c r="G127" s="117"/>
      <c r="H127" s="111"/>
      <c r="I127" s="111"/>
      <c r="J127" s="111"/>
      <c r="K127" s="111"/>
    </row>
    <row r="128">
      <c r="A128" s="120"/>
      <c r="B128" s="117"/>
      <c r="C128" s="116"/>
      <c r="D128" s="120"/>
      <c r="E128" s="116"/>
      <c r="F128" s="117"/>
      <c r="G128" s="117"/>
      <c r="H128" s="111"/>
      <c r="I128" s="111"/>
      <c r="J128" s="111"/>
      <c r="K128" s="111"/>
    </row>
    <row r="129">
      <c r="A129" s="120"/>
      <c r="B129" s="117"/>
      <c r="C129" s="116"/>
      <c r="D129" s="120"/>
      <c r="E129" s="116"/>
      <c r="F129" s="117"/>
      <c r="G129" s="117"/>
      <c r="H129" s="111"/>
      <c r="I129" s="111"/>
      <c r="J129" s="111"/>
      <c r="K129" s="111"/>
    </row>
    <row r="130">
      <c r="A130" s="120"/>
      <c r="B130" s="117"/>
      <c r="C130" s="116"/>
      <c r="D130" s="120"/>
      <c r="E130" s="116"/>
      <c r="F130" s="117"/>
      <c r="G130" s="117"/>
      <c r="H130" s="111"/>
      <c r="I130" s="111"/>
      <c r="J130" s="111"/>
      <c r="K130" s="111"/>
    </row>
    <row r="131">
      <c r="A131" s="120"/>
      <c r="B131" s="117"/>
      <c r="C131" s="116"/>
      <c r="D131" s="120"/>
      <c r="E131" s="116"/>
      <c r="F131" s="117"/>
      <c r="G131" s="117"/>
      <c r="H131" s="111"/>
      <c r="I131" s="111"/>
      <c r="J131" s="111"/>
      <c r="K131" s="111"/>
    </row>
    <row r="132">
      <c r="A132" s="120"/>
      <c r="B132" s="117"/>
      <c r="C132" s="116"/>
      <c r="D132" s="120"/>
      <c r="E132" s="116"/>
      <c r="F132" s="117"/>
      <c r="G132" s="117"/>
      <c r="H132" s="111"/>
      <c r="I132" s="111"/>
      <c r="J132" s="111"/>
      <c r="K132" s="111"/>
    </row>
    <row r="133">
      <c r="A133" s="120"/>
      <c r="B133" s="117"/>
      <c r="C133" s="116"/>
      <c r="D133" s="120"/>
      <c r="E133" s="116"/>
      <c r="F133" s="117"/>
      <c r="G133" s="117"/>
      <c r="H133" s="111"/>
      <c r="I133" s="111"/>
      <c r="J133" s="111"/>
      <c r="K133" s="111"/>
    </row>
    <row r="134">
      <c r="A134" s="120"/>
      <c r="B134" s="117"/>
      <c r="C134" s="116"/>
      <c r="D134" s="120"/>
      <c r="E134" s="116"/>
      <c r="F134" s="117"/>
      <c r="G134" s="117"/>
      <c r="H134" s="111"/>
      <c r="I134" s="111"/>
      <c r="J134" s="111"/>
      <c r="K134" s="111"/>
    </row>
    <row r="135">
      <c r="A135" s="120"/>
      <c r="B135" s="117"/>
      <c r="C135" s="116"/>
      <c r="D135" s="120"/>
      <c r="E135" s="116"/>
      <c r="F135" s="117"/>
      <c r="G135" s="117"/>
      <c r="H135" s="111"/>
      <c r="I135" s="111"/>
      <c r="J135" s="111"/>
      <c r="K135" s="111"/>
    </row>
    <row r="136">
      <c r="A136" s="120"/>
      <c r="B136" s="117"/>
      <c r="C136" s="116"/>
      <c r="D136" s="120"/>
      <c r="E136" s="116"/>
      <c r="F136" s="117"/>
      <c r="G136" s="117"/>
      <c r="H136" s="111"/>
      <c r="I136" s="111"/>
      <c r="J136" s="111"/>
      <c r="K136" s="111"/>
    </row>
    <row r="137">
      <c r="A137" s="120"/>
      <c r="B137" s="117"/>
      <c r="C137" s="116"/>
      <c r="D137" s="120"/>
      <c r="E137" s="116"/>
      <c r="F137" s="117"/>
      <c r="G137" s="117"/>
      <c r="H137" s="111"/>
      <c r="I137" s="111"/>
      <c r="J137" s="111"/>
      <c r="K137" s="111"/>
    </row>
    <row r="138">
      <c r="A138" s="120"/>
      <c r="B138" s="117"/>
      <c r="C138" s="116"/>
      <c r="D138" s="120"/>
      <c r="E138" s="116"/>
      <c r="F138" s="117"/>
      <c r="G138" s="117"/>
      <c r="H138" s="111"/>
      <c r="I138" s="111"/>
      <c r="J138" s="111"/>
      <c r="K138" s="111"/>
    </row>
    <row r="139">
      <c r="A139" s="120"/>
      <c r="B139" s="117"/>
      <c r="C139" s="116"/>
      <c r="D139" s="120"/>
      <c r="E139" s="116"/>
      <c r="F139" s="117"/>
      <c r="G139" s="117"/>
      <c r="H139" s="111"/>
      <c r="I139" s="111"/>
      <c r="J139" s="111"/>
      <c r="K139" s="111"/>
    </row>
    <row r="140">
      <c r="A140" s="120"/>
      <c r="B140" s="117"/>
      <c r="C140" s="116"/>
      <c r="D140" s="120"/>
      <c r="E140" s="116"/>
      <c r="F140" s="117"/>
      <c r="G140" s="117"/>
      <c r="H140" s="111"/>
      <c r="I140" s="111"/>
      <c r="J140" s="111"/>
      <c r="K140" s="111"/>
    </row>
    <row r="141">
      <c r="A141" s="120"/>
      <c r="B141" s="117"/>
      <c r="C141" s="116"/>
      <c r="D141" s="120"/>
      <c r="E141" s="116"/>
      <c r="F141" s="117"/>
      <c r="G141" s="117"/>
      <c r="H141" s="111"/>
      <c r="I141" s="111"/>
      <c r="J141" s="111"/>
      <c r="K141" s="111"/>
    </row>
    <row r="142">
      <c r="A142" s="120"/>
      <c r="B142" s="117"/>
      <c r="C142" s="116"/>
      <c r="D142" s="120"/>
      <c r="E142" s="116"/>
      <c r="F142" s="117"/>
      <c r="G142" s="117"/>
      <c r="H142" s="111"/>
      <c r="I142" s="111"/>
      <c r="J142" s="111"/>
      <c r="K142" s="111"/>
    </row>
    <row r="143">
      <c r="A143" s="120"/>
      <c r="B143" s="117"/>
      <c r="C143" s="116"/>
      <c r="D143" s="120"/>
      <c r="E143" s="116"/>
      <c r="F143" s="117"/>
      <c r="G143" s="117"/>
      <c r="H143" s="111"/>
      <c r="I143" s="111"/>
      <c r="J143" s="111"/>
      <c r="K143" s="111"/>
    </row>
    <row r="144">
      <c r="A144" s="120"/>
      <c r="B144" s="117"/>
      <c r="C144" s="116"/>
      <c r="D144" s="120"/>
      <c r="E144" s="116"/>
      <c r="F144" s="117"/>
      <c r="G144" s="117"/>
      <c r="H144" s="111"/>
      <c r="I144" s="111"/>
      <c r="J144" s="111"/>
      <c r="K144" s="111"/>
    </row>
    <row r="145">
      <c r="A145" s="120"/>
      <c r="B145" s="117"/>
      <c r="C145" s="116"/>
      <c r="D145" s="120"/>
      <c r="E145" s="116"/>
      <c r="F145" s="117"/>
      <c r="G145" s="117"/>
      <c r="H145" s="111"/>
      <c r="I145" s="111"/>
      <c r="J145" s="111"/>
      <c r="K145" s="111"/>
    </row>
    <row r="146">
      <c r="A146" s="120"/>
      <c r="B146" s="117"/>
      <c r="C146" s="116"/>
      <c r="D146" s="120"/>
      <c r="E146" s="116"/>
      <c r="F146" s="117"/>
      <c r="G146" s="117"/>
      <c r="H146" s="111"/>
      <c r="I146" s="111"/>
      <c r="J146" s="111"/>
      <c r="K146" s="111"/>
    </row>
    <row r="147">
      <c r="A147" s="120"/>
      <c r="B147" s="117"/>
      <c r="C147" s="116"/>
      <c r="D147" s="120"/>
      <c r="E147" s="116"/>
      <c r="F147" s="117"/>
      <c r="G147" s="117"/>
      <c r="H147" s="111"/>
      <c r="I147" s="111"/>
      <c r="J147" s="111"/>
      <c r="K147" s="111"/>
    </row>
    <row r="148">
      <c r="A148" s="120"/>
      <c r="B148" s="117"/>
      <c r="C148" s="116"/>
      <c r="D148" s="120"/>
      <c r="E148" s="116"/>
      <c r="F148" s="117"/>
      <c r="G148" s="117"/>
      <c r="H148" s="111"/>
      <c r="I148" s="111"/>
      <c r="J148" s="111"/>
      <c r="K148" s="111"/>
    </row>
    <row r="149">
      <c r="A149" s="120"/>
      <c r="B149" s="117"/>
      <c r="C149" s="116"/>
      <c r="D149" s="120"/>
      <c r="E149" s="116"/>
      <c r="F149" s="117"/>
      <c r="G149" s="117"/>
      <c r="H149" s="111"/>
      <c r="I149" s="111"/>
      <c r="J149" s="111"/>
      <c r="K149" s="111"/>
    </row>
    <row r="150">
      <c r="A150" s="120"/>
      <c r="B150" s="117"/>
      <c r="C150" s="116"/>
      <c r="D150" s="120"/>
      <c r="E150" s="116"/>
      <c r="F150" s="117"/>
      <c r="G150" s="117"/>
      <c r="H150" s="111"/>
      <c r="I150" s="111"/>
      <c r="J150" s="111"/>
      <c r="K150" s="111"/>
    </row>
    <row r="151">
      <c r="A151" s="120"/>
      <c r="B151" s="117"/>
      <c r="C151" s="116"/>
      <c r="D151" s="120"/>
      <c r="E151" s="116"/>
      <c r="F151" s="117"/>
      <c r="G151" s="117"/>
      <c r="H151" s="111"/>
      <c r="I151" s="111"/>
      <c r="J151" s="111"/>
      <c r="K151" s="111"/>
    </row>
    <row r="152">
      <c r="A152" s="120"/>
      <c r="B152" s="117"/>
      <c r="C152" s="116"/>
      <c r="D152" s="120"/>
      <c r="E152" s="116"/>
      <c r="F152" s="117"/>
      <c r="G152" s="117"/>
      <c r="H152" s="111"/>
      <c r="I152" s="111"/>
      <c r="J152" s="111"/>
      <c r="K152" s="111"/>
    </row>
    <row r="153">
      <c r="A153" s="120"/>
      <c r="B153" s="117"/>
      <c r="C153" s="116"/>
      <c r="D153" s="120"/>
      <c r="E153" s="116"/>
      <c r="F153" s="117"/>
      <c r="G153" s="117"/>
      <c r="H153" s="111"/>
      <c r="I153" s="111"/>
      <c r="J153" s="111"/>
      <c r="K153" s="111"/>
    </row>
    <row r="154">
      <c r="A154" s="120"/>
      <c r="B154" s="117"/>
      <c r="C154" s="116"/>
      <c r="D154" s="120"/>
      <c r="E154" s="116"/>
      <c r="F154" s="117"/>
      <c r="G154" s="117"/>
      <c r="H154" s="111"/>
      <c r="I154" s="111"/>
      <c r="J154" s="111"/>
      <c r="K154" s="111"/>
    </row>
    <row r="155">
      <c r="A155" s="120"/>
      <c r="B155" s="117"/>
      <c r="C155" s="116"/>
      <c r="D155" s="120"/>
      <c r="E155" s="116"/>
      <c r="F155" s="117"/>
      <c r="G155" s="117"/>
      <c r="H155" s="111"/>
      <c r="I155" s="111"/>
      <c r="J155" s="111"/>
      <c r="K155" s="111"/>
    </row>
    <row r="156">
      <c r="A156" s="120"/>
      <c r="B156" s="117"/>
      <c r="C156" s="116"/>
      <c r="D156" s="120"/>
      <c r="E156" s="116"/>
      <c r="F156" s="117"/>
      <c r="G156" s="117"/>
      <c r="H156" s="111"/>
      <c r="I156" s="111"/>
      <c r="J156" s="111"/>
      <c r="K156" s="111"/>
    </row>
    <row r="157">
      <c r="A157" s="120"/>
      <c r="B157" s="117"/>
      <c r="C157" s="116"/>
      <c r="D157" s="120"/>
      <c r="E157" s="116"/>
      <c r="F157" s="117"/>
      <c r="G157" s="117"/>
      <c r="H157" s="111"/>
      <c r="I157" s="111"/>
      <c r="J157" s="111"/>
      <c r="K157" s="111"/>
    </row>
    <row r="158">
      <c r="A158" s="120"/>
      <c r="B158" s="117"/>
      <c r="C158" s="116"/>
      <c r="D158" s="120"/>
      <c r="E158" s="116"/>
      <c r="F158" s="117"/>
      <c r="G158" s="117"/>
      <c r="H158" s="111"/>
      <c r="I158" s="111"/>
      <c r="J158" s="111"/>
      <c r="K158" s="111"/>
    </row>
    <row r="159">
      <c r="A159" s="120"/>
      <c r="B159" s="117"/>
      <c r="C159" s="116"/>
      <c r="D159" s="120"/>
      <c r="E159" s="116"/>
      <c r="F159" s="117"/>
      <c r="G159" s="117"/>
      <c r="H159" s="111"/>
      <c r="I159" s="111"/>
      <c r="J159" s="111"/>
      <c r="K159" s="111"/>
    </row>
    <row r="160">
      <c r="A160" s="120"/>
      <c r="B160" s="117"/>
      <c r="C160" s="116"/>
      <c r="D160" s="120"/>
      <c r="E160" s="116"/>
      <c r="F160" s="117"/>
      <c r="G160" s="117"/>
      <c r="H160" s="111"/>
      <c r="I160" s="111"/>
      <c r="J160" s="111"/>
      <c r="K160" s="111"/>
    </row>
    <row r="161">
      <c r="A161" s="120"/>
      <c r="B161" s="117"/>
      <c r="C161" s="116"/>
      <c r="D161" s="120"/>
      <c r="E161" s="116"/>
      <c r="F161" s="117"/>
      <c r="G161" s="117"/>
      <c r="H161" s="111"/>
      <c r="I161" s="111"/>
      <c r="J161" s="111"/>
      <c r="K161" s="111"/>
    </row>
    <row r="162">
      <c r="A162" s="120"/>
      <c r="B162" s="117"/>
      <c r="C162" s="116"/>
      <c r="D162" s="120"/>
      <c r="E162" s="116"/>
      <c r="F162" s="117"/>
      <c r="G162" s="117"/>
      <c r="H162" s="111"/>
      <c r="I162" s="111"/>
      <c r="J162" s="111"/>
      <c r="K162" s="111"/>
    </row>
    <row r="163">
      <c r="A163" s="120"/>
      <c r="B163" s="117"/>
      <c r="C163" s="116"/>
      <c r="D163" s="120"/>
      <c r="E163" s="116"/>
      <c r="F163" s="117"/>
      <c r="G163" s="117"/>
      <c r="H163" s="111"/>
      <c r="I163" s="111"/>
      <c r="J163" s="111"/>
      <c r="K163" s="111"/>
    </row>
    <row r="164">
      <c r="A164" s="120"/>
      <c r="B164" s="117"/>
      <c r="C164" s="116"/>
      <c r="D164" s="120"/>
      <c r="E164" s="116"/>
      <c r="F164" s="117"/>
      <c r="G164" s="117"/>
      <c r="H164" s="111"/>
      <c r="I164" s="111"/>
      <c r="J164" s="111"/>
      <c r="K164" s="111"/>
    </row>
    <row r="165">
      <c r="A165" s="120"/>
      <c r="B165" s="117"/>
      <c r="C165" s="116"/>
      <c r="D165" s="120"/>
      <c r="E165" s="116"/>
      <c r="F165" s="117"/>
      <c r="G165" s="117"/>
      <c r="H165" s="111"/>
      <c r="I165" s="111"/>
      <c r="J165" s="111"/>
      <c r="K165" s="111"/>
    </row>
    <row r="166">
      <c r="A166" s="120"/>
      <c r="B166" s="117"/>
      <c r="C166" s="116"/>
      <c r="D166" s="120"/>
      <c r="E166" s="116"/>
      <c r="F166" s="117"/>
      <c r="G166" s="117"/>
      <c r="H166" s="111"/>
      <c r="I166" s="111"/>
      <c r="J166" s="111"/>
      <c r="K166" s="111"/>
    </row>
    <row r="167">
      <c r="A167" s="120"/>
      <c r="B167" s="117"/>
      <c r="C167" s="116"/>
      <c r="D167" s="120"/>
      <c r="E167" s="116"/>
      <c r="F167" s="117"/>
      <c r="G167" s="117"/>
      <c r="H167" s="111"/>
      <c r="I167" s="111"/>
      <c r="J167" s="111"/>
      <c r="K167" s="111"/>
    </row>
    <row r="168">
      <c r="A168" s="120"/>
      <c r="B168" s="117"/>
      <c r="C168" s="116"/>
      <c r="D168" s="120"/>
      <c r="E168" s="116"/>
      <c r="F168" s="117"/>
      <c r="G168" s="117"/>
      <c r="H168" s="111"/>
      <c r="I168" s="111"/>
      <c r="J168" s="111"/>
      <c r="K168" s="111"/>
    </row>
    <row r="169">
      <c r="A169" s="120"/>
      <c r="B169" s="117"/>
      <c r="C169" s="116"/>
      <c r="D169" s="120"/>
      <c r="E169" s="116"/>
      <c r="F169" s="117"/>
      <c r="G169" s="117"/>
      <c r="H169" s="111"/>
      <c r="I169" s="111"/>
      <c r="J169" s="111"/>
      <c r="K169" s="111"/>
    </row>
    <row r="170">
      <c r="A170" s="120"/>
      <c r="B170" s="117"/>
      <c r="C170" s="116"/>
      <c r="D170" s="120"/>
      <c r="E170" s="116"/>
      <c r="F170" s="117"/>
      <c r="G170" s="117"/>
      <c r="H170" s="111"/>
      <c r="I170" s="111"/>
      <c r="J170" s="111"/>
      <c r="K170" s="111"/>
    </row>
    <row r="171">
      <c r="A171" s="120"/>
      <c r="B171" s="117"/>
      <c r="C171" s="116"/>
      <c r="D171" s="120"/>
      <c r="E171" s="116"/>
      <c r="F171" s="117"/>
      <c r="G171" s="117"/>
      <c r="H171" s="111"/>
      <c r="I171" s="111"/>
      <c r="J171" s="111"/>
      <c r="K171" s="111"/>
    </row>
    <row r="172">
      <c r="A172" s="120"/>
      <c r="B172" s="117"/>
      <c r="C172" s="116"/>
      <c r="D172" s="120"/>
      <c r="E172" s="116"/>
      <c r="F172" s="117"/>
      <c r="G172" s="117"/>
      <c r="H172" s="111"/>
      <c r="I172" s="111"/>
      <c r="J172" s="111"/>
      <c r="K172" s="111"/>
    </row>
    <row r="173">
      <c r="A173" s="120"/>
      <c r="B173" s="117"/>
      <c r="C173" s="116"/>
      <c r="D173" s="120"/>
      <c r="E173" s="116"/>
      <c r="F173" s="117"/>
      <c r="G173" s="117"/>
      <c r="H173" s="111"/>
      <c r="I173" s="111"/>
      <c r="J173" s="111"/>
      <c r="K173" s="111"/>
    </row>
    <row r="174">
      <c r="A174" s="120"/>
      <c r="B174" s="117"/>
      <c r="C174" s="116"/>
      <c r="D174" s="120"/>
      <c r="E174" s="116"/>
      <c r="F174" s="117"/>
      <c r="G174" s="117"/>
      <c r="H174" s="111"/>
      <c r="I174" s="111"/>
      <c r="J174" s="111"/>
      <c r="K174" s="111"/>
    </row>
    <row r="175">
      <c r="A175" s="120"/>
      <c r="B175" s="117"/>
      <c r="C175" s="116"/>
      <c r="D175" s="120"/>
      <c r="E175" s="116"/>
      <c r="F175" s="117"/>
      <c r="G175" s="117"/>
      <c r="H175" s="111"/>
      <c r="I175" s="111"/>
      <c r="J175" s="111"/>
      <c r="K175" s="111"/>
    </row>
    <row r="176">
      <c r="A176" s="120"/>
      <c r="B176" s="117"/>
      <c r="C176" s="116"/>
      <c r="D176" s="120"/>
      <c r="E176" s="116"/>
      <c r="F176" s="117"/>
      <c r="G176" s="117"/>
      <c r="H176" s="111"/>
      <c r="I176" s="111"/>
      <c r="J176" s="111"/>
      <c r="K176" s="111"/>
    </row>
    <row r="177">
      <c r="A177" s="120"/>
      <c r="B177" s="117"/>
      <c r="C177" s="116"/>
      <c r="D177" s="120"/>
      <c r="E177" s="116"/>
      <c r="F177" s="117"/>
      <c r="G177" s="117"/>
      <c r="H177" s="111"/>
      <c r="I177" s="111"/>
      <c r="J177" s="111"/>
      <c r="K177" s="111"/>
    </row>
    <row r="178">
      <c r="A178" s="120"/>
      <c r="B178" s="117"/>
      <c r="C178" s="116"/>
      <c r="D178" s="120"/>
      <c r="E178" s="116"/>
      <c r="F178" s="117"/>
      <c r="G178" s="117"/>
      <c r="H178" s="111"/>
      <c r="I178" s="111"/>
      <c r="J178" s="111"/>
      <c r="K178" s="111"/>
    </row>
    <row r="179">
      <c r="A179" s="120"/>
      <c r="B179" s="117"/>
      <c r="C179" s="116"/>
      <c r="D179" s="120"/>
      <c r="E179" s="116"/>
      <c r="F179" s="117"/>
      <c r="G179" s="117"/>
      <c r="H179" s="111"/>
      <c r="I179" s="111"/>
      <c r="J179" s="111"/>
      <c r="K179" s="111"/>
    </row>
    <row r="180">
      <c r="A180" s="120"/>
      <c r="B180" s="117"/>
      <c r="C180" s="116"/>
      <c r="D180" s="120"/>
      <c r="E180" s="116"/>
      <c r="F180" s="117"/>
      <c r="G180" s="117"/>
      <c r="H180" s="111"/>
      <c r="I180" s="111"/>
      <c r="J180" s="111"/>
      <c r="K180" s="111"/>
    </row>
    <row r="181">
      <c r="A181" s="120"/>
      <c r="B181" s="117"/>
      <c r="C181" s="116"/>
      <c r="D181" s="120"/>
      <c r="E181" s="116"/>
      <c r="F181" s="117"/>
      <c r="G181" s="117"/>
      <c r="H181" s="111"/>
      <c r="I181" s="111"/>
      <c r="J181" s="111"/>
      <c r="K181" s="111"/>
    </row>
    <row r="182">
      <c r="A182" s="120"/>
      <c r="B182" s="117"/>
      <c r="C182" s="116"/>
      <c r="D182" s="120"/>
      <c r="E182" s="116"/>
      <c r="F182" s="117"/>
      <c r="G182" s="117"/>
      <c r="H182" s="111"/>
      <c r="I182" s="111"/>
      <c r="J182" s="111"/>
      <c r="K182" s="111"/>
    </row>
    <row r="183">
      <c r="A183" s="120"/>
      <c r="B183" s="117"/>
      <c r="C183" s="116"/>
      <c r="D183" s="120"/>
      <c r="E183" s="116"/>
      <c r="F183" s="117"/>
      <c r="G183" s="117"/>
      <c r="H183" s="111"/>
      <c r="I183" s="111"/>
      <c r="J183" s="111"/>
      <c r="K183" s="111"/>
    </row>
    <row r="184">
      <c r="A184" s="120"/>
      <c r="B184" s="117"/>
      <c r="C184" s="116"/>
      <c r="D184" s="120"/>
      <c r="E184" s="116"/>
      <c r="F184" s="117"/>
      <c r="G184" s="117"/>
      <c r="H184" s="111"/>
      <c r="I184" s="111"/>
      <c r="J184" s="111"/>
      <c r="K184" s="111"/>
    </row>
    <row r="185">
      <c r="A185" s="120"/>
      <c r="B185" s="117"/>
      <c r="C185" s="116"/>
      <c r="D185" s="120"/>
      <c r="E185" s="116"/>
      <c r="F185" s="117"/>
      <c r="G185" s="117"/>
      <c r="H185" s="111"/>
      <c r="I185" s="111"/>
      <c r="J185" s="111"/>
      <c r="K185" s="111"/>
    </row>
    <row r="186">
      <c r="A186" s="120"/>
      <c r="B186" s="117"/>
      <c r="C186" s="116"/>
      <c r="D186" s="120"/>
      <c r="E186" s="116"/>
      <c r="F186" s="117"/>
      <c r="G186" s="117"/>
      <c r="H186" s="111"/>
      <c r="I186" s="111"/>
      <c r="J186" s="111"/>
      <c r="K186" s="111"/>
    </row>
    <row r="187">
      <c r="A187" s="120"/>
      <c r="B187" s="117"/>
      <c r="C187" s="116"/>
      <c r="D187" s="120"/>
      <c r="E187" s="116"/>
      <c r="F187" s="117"/>
      <c r="G187" s="117"/>
      <c r="H187" s="111"/>
      <c r="I187" s="111"/>
      <c r="J187" s="111"/>
      <c r="K187" s="111"/>
    </row>
    <row r="188">
      <c r="A188" s="120"/>
      <c r="B188" s="117"/>
      <c r="C188" s="116"/>
      <c r="D188" s="120"/>
      <c r="E188" s="116"/>
      <c r="F188" s="117"/>
      <c r="G188" s="117"/>
      <c r="H188" s="111"/>
      <c r="I188" s="111"/>
      <c r="J188" s="111"/>
      <c r="K188" s="111"/>
    </row>
    <row r="189">
      <c r="A189" s="120"/>
      <c r="B189" s="117"/>
      <c r="C189" s="116"/>
      <c r="D189" s="120"/>
      <c r="E189" s="116"/>
      <c r="F189" s="117"/>
      <c r="G189" s="117"/>
      <c r="H189" s="111"/>
      <c r="I189" s="111"/>
      <c r="J189" s="111"/>
      <c r="K189" s="111"/>
    </row>
    <row r="190">
      <c r="A190" s="120"/>
      <c r="B190" s="117"/>
      <c r="C190" s="116"/>
      <c r="D190" s="120"/>
      <c r="E190" s="116"/>
      <c r="F190" s="117"/>
      <c r="G190" s="117"/>
      <c r="H190" s="111"/>
      <c r="I190" s="111"/>
      <c r="J190" s="111"/>
      <c r="K190" s="111"/>
    </row>
    <row r="191">
      <c r="A191" s="120"/>
      <c r="B191" s="117"/>
      <c r="C191" s="116"/>
      <c r="D191" s="120"/>
      <c r="E191" s="116"/>
      <c r="F191" s="117"/>
      <c r="G191" s="117"/>
      <c r="H191" s="111"/>
      <c r="I191" s="111"/>
      <c r="J191" s="111"/>
      <c r="K191" s="111"/>
    </row>
    <row r="192">
      <c r="A192" s="120"/>
      <c r="B192" s="117"/>
      <c r="C192" s="116"/>
      <c r="D192" s="120"/>
      <c r="E192" s="116"/>
      <c r="F192" s="117"/>
      <c r="G192" s="117"/>
      <c r="H192" s="111"/>
      <c r="I192" s="111"/>
      <c r="J192" s="111"/>
      <c r="K192" s="111"/>
    </row>
    <row r="193">
      <c r="A193" s="120"/>
      <c r="B193" s="117"/>
      <c r="C193" s="116"/>
      <c r="D193" s="120"/>
      <c r="E193" s="116"/>
      <c r="F193" s="117"/>
      <c r="G193" s="117"/>
      <c r="H193" s="111"/>
      <c r="I193" s="111"/>
      <c r="J193" s="111"/>
      <c r="K193" s="111"/>
    </row>
    <row r="194">
      <c r="A194" s="120"/>
      <c r="B194" s="117"/>
      <c r="C194" s="116"/>
      <c r="D194" s="120"/>
      <c r="E194" s="116"/>
      <c r="F194" s="117"/>
      <c r="G194" s="117"/>
      <c r="H194" s="111"/>
      <c r="I194" s="111"/>
      <c r="J194" s="111"/>
      <c r="K194" s="111"/>
    </row>
    <row r="195">
      <c r="A195" s="120"/>
      <c r="B195" s="117"/>
      <c r="C195" s="116"/>
      <c r="D195" s="120"/>
      <c r="E195" s="116"/>
      <c r="F195" s="117"/>
      <c r="G195" s="117"/>
      <c r="H195" s="111"/>
      <c r="I195" s="111"/>
      <c r="J195" s="111"/>
      <c r="K195" s="111"/>
    </row>
    <row r="196">
      <c r="A196" s="120"/>
      <c r="B196" s="117"/>
      <c r="C196" s="116"/>
      <c r="D196" s="120"/>
      <c r="E196" s="116"/>
      <c r="F196" s="117"/>
      <c r="G196" s="117"/>
      <c r="H196" s="111"/>
      <c r="I196" s="111"/>
      <c r="J196" s="111"/>
      <c r="K196" s="111"/>
    </row>
    <row r="197">
      <c r="A197" s="120"/>
      <c r="B197" s="117"/>
      <c r="C197" s="116"/>
      <c r="D197" s="120"/>
      <c r="E197" s="116"/>
      <c r="F197" s="117"/>
      <c r="G197" s="117"/>
      <c r="H197" s="111"/>
      <c r="I197" s="111"/>
      <c r="J197" s="111"/>
      <c r="K197" s="111"/>
    </row>
    <row r="198">
      <c r="A198" s="120"/>
      <c r="B198" s="117"/>
      <c r="C198" s="116"/>
      <c r="D198" s="120"/>
      <c r="E198" s="116"/>
      <c r="F198" s="117"/>
      <c r="G198" s="117"/>
      <c r="H198" s="111"/>
      <c r="I198" s="111"/>
      <c r="J198" s="111"/>
      <c r="K198" s="111"/>
    </row>
    <row r="199">
      <c r="A199" s="120"/>
      <c r="B199" s="117"/>
      <c r="C199" s="116"/>
      <c r="D199" s="120"/>
      <c r="E199" s="116"/>
      <c r="F199" s="117"/>
      <c r="G199" s="117"/>
      <c r="H199" s="111"/>
      <c r="I199" s="111"/>
      <c r="J199" s="111"/>
      <c r="K199" s="111"/>
    </row>
    <row r="200">
      <c r="A200" s="120"/>
      <c r="B200" s="117"/>
      <c r="C200" s="116"/>
      <c r="D200" s="120"/>
      <c r="E200" s="116"/>
      <c r="F200" s="117"/>
      <c r="G200" s="117"/>
      <c r="H200" s="111"/>
      <c r="I200" s="111"/>
      <c r="J200" s="111"/>
      <c r="K200" s="111"/>
    </row>
    <row r="201">
      <c r="A201" s="120"/>
      <c r="B201" s="117"/>
      <c r="C201" s="116"/>
      <c r="D201" s="120"/>
      <c r="E201" s="116"/>
      <c r="F201" s="117"/>
      <c r="G201" s="117"/>
      <c r="H201" s="111"/>
      <c r="I201" s="111"/>
      <c r="J201" s="111"/>
      <c r="K201" s="111"/>
    </row>
    <row r="202">
      <c r="A202" s="120"/>
      <c r="B202" s="117"/>
      <c r="C202" s="116"/>
      <c r="D202" s="120"/>
      <c r="E202" s="116"/>
      <c r="F202" s="117"/>
      <c r="G202" s="117"/>
      <c r="H202" s="111"/>
      <c r="I202" s="111"/>
      <c r="J202" s="111"/>
      <c r="K202" s="111"/>
    </row>
    <row r="203">
      <c r="A203" s="120"/>
      <c r="B203" s="117"/>
      <c r="C203" s="116"/>
      <c r="D203" s="120"/>
      <c r="E203" s="116"/>
      <c r="F203" s="117"/>
      <c r="G203" s="117"/>
      <c r="H203" s="111"/>
      <c r="I203" s="111"/>
      <c r="J203" s="111"/>
      <c r="K203" s="111"/>
    </row>
    <row r="204">
      <c r="A204" s="120"/>
      <c r="B204" s="117"/>
      <c r="C204" s="116"/>
      <c r="D204" s="120"/>
      <c r="E204" s="116"/>
      <c r="F204" s="117"/>
      <c r="G204" s="117"/>
      <c r="H204" s="111"/>
      <c r="I204" s="111"/>
      <c r="J204" s="111"/>
      <c r="K204" s="111"/>
    </row>
    <row r="205">
      <c r="A205" s="120"/>
      <c r="B205" s="117"/>
      <c r="C205" s="116"/>
      <c r="D205" s="120"/>
      <c r="E205" s="116"/>
      <c r="F205" s="117"/>
      <c r="G205" s="117"/>
      <c r="H205" s="111"/>
      <c r="I205" s="111"/>
      <c r="J205" s="111"/>
      <c r="K205" s="111"/>
    </row>
    <row r="206">
      <c r="A206" s="120"/>
      <c r="B206" s="117"/>
      <c r="C206" s="116"/>
      <c r="D206" s="120"/>
      <c r="E206" s="116"/>
      <c r="F206" s="117"/>
      <c r="G206" s="117"/>
      <c r="H206" s="111"/>
      <c r="I206" s="111"/>
      <c r="J206" s="111"/>
      <c r="K206" s="111"/>
    </row>
    <row r="207">
      <c r="A207" s="120"/>
      <c r="B207" s="117"/>
      <c r="C207" s="116"/>
      <c r="D207" s="120"/>
      <c r="E207" s="116"/>
      <c r="F207" s="117"/>
      <c r="G207" s="117"/>
      <c r="H207" s="111"/>
      <c r="I207" s="111"/>
      <c r="J207" s="111"/>
      <c r="K207" s="111"/>
    </row>
    <row r="208">
      <c r="A208" s="120"/>
      <c r="B208" s="117"/>
      <c r="C208" s="116"/>
      <c r="D208" s="120"/>
      <c r="E208" s="116"/>
      <c r="F208" s="117"/>
      <c r="G208" s="117"/>
      <c r="H208" s="111"/>
      <c r="I208" s="111"/>
      <c r="J208" s="111"/>
      <c r="K208" s="111"/>
    </row>
    <row r="209">
      <c r="A209" s="120"/>
      <c r="B209" s="117"/>
      <c r="C209" s="116"/>
      <c r="D209" s="120"/>
      <c r="E209" s="116"/>
      <c r="F209" s="117"/>
      <c r="G209" s="117"/>
      <c r="H209" s="111"/>
      <c r="I209" s="111"/>
      <c r="J209" s="111"/>
      <c r="K209" s="111"/>
    </row>
    <row r="210">
      <c r="A210" s="120"/>
      <c r="B210" s="117"/>
      <c r="C210" s="116"/>
      <c r="D210" s="120"/>
      <c r="E210" s="116"/>
      <c r="F210" s="117"/>
      <c r="G210" s="117"/>
      <c r="H210" s="111"/>
      <c r="I210" s="111"/>
      <c r="J210" s="111"/>
      <c r="K210" s="111"/>
    </row>
    <row r="211">
      <c r="A211" s="120"/>
      <c r="B211" s="117"/>
      <c r="C211" s="116"/>
      <c r="D211" s="120"/>
      <c r="E211" s="116"/>
      <c r="F211" s="117"/>
      <c r="G211" s="117"/>
      <c r="H211" s="111"/>
      <c r="I211" s="111"/>
      <c r="J211" s="111"/>
      <c r="K211" s="111"/>
    </row>
    <row r="212">
      <c r="A212" s="120"/>
      <c r="B212" s="117"/>
      <c r="C212" s="116"/>
      <c r="D212" s="120"/>
      <c r="E212" s="116"/>
      <c r="F212" s="117"/>
      <c r="G212" s="117"/>
      <c r="H212" s="111"/>
      <c r="I212" s="111"/>
      <c r="J212" s="111"/>
      <c r="K212" s="111"/>
    </row>
    <row r="213">
      <c r="A213" s="120"/>
      <c r="B213" s="117"/>
      <c r="C213" s="116"/>
      <c r="D213" s="120"/>
      <c r="E213" s="116"/>
      <c r="F213" s="117"/>
      <c r="G213" s="117"/>
      <c r="H213" s="111"/>
      <c r="I213" s="111"/>
      <c r="J213" s="111"/>
      <c r="K213" s="111"/>
    </row>
    <row r="214">
      <c r="A214" s="120"/>
      <c r="B214" s="117"/>
      <c r="C214" s="116"/>
      <c r="D214" s="120"/>
      <c r="E214" s="116"/>
      <c r="F214" s="117"/>
      <c r="G214" s="117"/>
      <c r="H214" s="111"/>
      <c r="I214" s="111"/>
      <c r="J214" s="111"/>
      <c r="K214" s="111"/>
    </row>
    <row r="215">
      <c r="A215" s="120"/>
      <c r="B215" s="117"/>
      <c r="C215" s="116"/>
      <c r="D215" s="120"/>
      <c r="E215" s="116"/>
      <c r="F215" s="117"/>
      <c r="G215" s="117"/>
      <c r="H215" s="111"/>
      <c r="I215" s="111"/>
      <c r="J215" s="111"/>
      <c r="K215" s="111"/>
    </row>
    <row r="216">
      <c r="A216" s="120"/>
      <c r="B216" s="117"/>
      <c r="C216" s="116"/>
      <c r="D216" s="120"/>
      <c r="E216" s="116"/>
      <c r="F216" s="117"/>
      <c r="G216" s="117"/>
      <c r="H216" s="111"/>
      <c r="I216" s="111"/>
      <c r="J216" s="111"/>
      <c r="K216" s="111"/>
    </row>
    <row r="217">
      <c r="A217" s="120"/>
      <c r="B217" s="117"/>
      <c r="C217" s="116"/>
      <c r="D217" s="120"/>
      <c r="E217" s="116"/>
      <c r="F217" s="117"/>
      <c r="G217" s="117"/>
      <c r="H217" s="111"/>
      <c r="I217" s="111"/>
      <c r="J217" s="111"/>
      <c r="K217" s="111"/>
    </row>
    <row r="218">
      <c r="A218" s="120"/>
      <c r="B218" s="117"/>
      <c r="C218" s="116"/>
      <c r="D218" s="120"/>
      <c r="E218" s="116"/>
      <c r="F218" s="117"/>
      <c r="G218" s="117"/>
      <c r="H218" s="111"/>
      <c r="I218" s="111"/>
      <c r="J218" s="111"/>
      <c r="K218" s="111"/>
    </row>
    <row r="219">
      <c r="A219" s="120"/>
      <c r="B219" s="117"/>
      <c r="C219" s="116"/>
      <c r="D219" s="120"/>
      <c r="E219" s="116"/>
      <c r="F219" s="117"/>
      <c r="G219" s="117"/>
      <c r="H219" s="111"/>
      <c r="I219" s="111"/>
      <c r="J219" s="111"/>
      <c r="K219" s="111"/>
    </row>
    <row r="220">
      <c r="A220" s="120"/>
      <c r="B220" s="117"/>
      <c r="C220" s="116"/>
      <c r="D220" s="120"/>
      <c r="E220" s="116"/>
      <c r="F220" s="117"/>
      <c r="G220" s="117"/>
      <c r="H220" s="111"/>
      <c r="I220" s="111"/>
      <c r="J220" s="111"/>
      <c r="K220" s="111"/>
    </row>
    <row r="221">
      <c r="A221" s="120"/>
      <c r="B221" s="117"/>
      <c r="C221" s="116"/>
      <c r="D221" s="120"/>
      <c r="E221" s="116"/>
      <c r="F221" s="117"/>
      <c r="G221" s="117"/>
      <c r="H221" s="111"/>
      <c r="I221" s="111"/>
      <c r="J221" s="111"/>
      <c r="K221" s="111"/>
    </row>
    <row r="222">
      <c r="A222" s="120"/>
      <c r="B222" s="117"/>
      <c r="C222" s="116"/>
      <c r="D222" s="120"/>
      <c r="E222" s="116"/>
      <c r="F222" s="117"/>
      <c r="G222" s="117"/>
      <c r="H222" s="111"/>
      <c r="I222" s="111"/>
      <c r="J222" s="111"/>
      <c r="K222" s="111"/>
    </row>
    <row r="223">
      <c r="A223" s="120"/>
      <c r="B223" s="117"/>
      <c r="C223" s="116"/>
      <c r="D223" s="120"/>
      <c r="E223" s="116"/>
      <c r="F223" s="117"/>
      <c r="G223" s="117"/>
      <c r="H223" s="111"/>
      <c r="I223" s="111"/>
      <c r="J223" s="111"/>
      <c r="K223" s="111"/>
    </row>
    <row r="224">
      <c r="A224" s="120"/>
      <c r="B224" s="117"/>
      <c r="C224" s="116"/>
      <c r="D224" s="120"/>
      <c r="E224" s="116"/>
      <c r="F224" s="117"/>
      <c r="G224" s="117"/>
      <c r="H224" s="111"/>
      <c r="I224" s="111"/>
      <c r="J224" s="111"/>
      <c r="K224" s="111"/>
    </row>
    <row r="225">
      <c r="A225" s="120"/>
      <c r="B225" s="117"/>
      <c r="C225" s="116"/>
      <c r="D225" s="120"/>
      <c r="E225" s="116"/>
      <c r="F225" s="117"/>
      <c r="G225" s="117"/>
      <c r="H225" s="111"/>
      <c r="I225" s="111"/>
      <c r="J225" s="111"/>
      <c r="K225" s="111"/>
    </row>
    <row r="226">
      <c r="A226" s="120"/>
      <c r="B226" s="117"/>
      <c r="C226" s="116"/>
      <c r="D226" s="120"/>
      <c r="E226" s="116"/>
      <c r="F226" s="117"/>
      <c r="G226" s="117"/>
      <c r="H226" s="111"/>
      <c r="I226" s="111"/>
      <c r="J226" s="111"/>
      <c r="K226" s="111"/>
    </row>
    <row r="227">
      <c r="A227" s="120"/>
      <c r="B227" s="117"/>
      <c r="C227" s="116"/>
      <c r="D227" s="120"/>
      <c r="E227" s="116"/>
      <c r="F227" s="117"/>
      <c r="G227" s="117"/>
      <c r="H227" s="111"/>
      <c r="I227" s="111"/>
      <c r="J227" s="111"/>
      <c r="K227" s="111"/>
    </row>
    <row r="228">
      <c r="A228" s="120"/>
      <c r="B228" s="117"/>
      <c r="C228" s="116"/>
      <c r="D228" s="120"/>
      <c r="E228" s="116"/>
      <c r="F228" s="117"/>
      <c r="G228" s="117"/>
      <c r="H228" s="111"/>
      <c r="I228" s="111"/>
      <c r="J228" s="111"/>
      <c r="K228" s="111"/>
    </row>
    <row r="229">
      <c r="A229" s="120"/>
      <c r="B229" s="117"/>
      <c r="C229" s="116"/>
      <c r="D229" s="120"/>
      <c r="E229" s="116"/>
      <c r="F229" s="117"/>
      <c r="G229" s="117"/>
      <c r="H229" s="111"/>
      <c r="I229" s="111"/>
      <c r="J229" s="111"/>
      <c r="K229" s="111"/>
    </row>
    <row r="230">
      <c r="A230" s="120"/>
      <c r="B230" s="117"/>
      <c r="C230" s="116"/>
      <c r="D230" s="120"/>
      <c r="E230" s="116"/>
      <c r="F230" s="117"/>
      <c r="G230" s="117"/>
      <c r="H230" s="111"/>
      <c r="I230" s="111"/>
      <c r="J230" s="111"/>
      <c r="K230" s="111"/>
    </row>
    <row r="231">
      <c r="A231" s="120"/>
      <c r="B231" s="117"/>
      <c r="C231" s="116"/>
      <c r="D231" s="120"/>
      <c r="E231" s="116"/>
      <c r="F231" s="117"/>
      <c r="G231" s="117"/>
      <c r="H231" s="111"/>
      <c r="I231" s="111"/>
      <c r="J231" s="111"/>
      <c r="K231" s="111"/>
    </row>
    <row r="232">
      <c r="A232" s="120"/>
      <c r="B232" s="117"/>
      <c r="C232" s="116"/>
      <c r="D232" s="120"/>
      <c r="E232" s="116"/>
      <c r="F232" s="117"/>
      <c r="G232" s="117"/>
      <c r="H232" s="111"/>
      <c r="I232" s="111"/>
      <c r="J232" s="111"/>
      <c r="K232" s="111"/>
    </row>
    <row r="233">
      <c r="A233" s="120"/>
      <c r="B233" s="117"/>
      <c r="C233" s="116"/>
      <c r="D233" s="120"/>
      <c r="E233" s="116"/>
      <c r="F233" s="117"/>
      <c r="G233" s="117"/>
      <c r="H233" s="111"/>
      <c r="I233" s="111"/>
      <c r="J233" s="111"/>
      <c r="K233" s="111"/>
    </row>
    <row r="234">
      <c r="A234" s="120"/>
      <c r="B234" s="117"/>
      <c r="C234" s="116"/>
      <c r="D234" s="120"/>
      <c r="E234" s="116"/>
      <c r="F234" s="117"/>
      <c r="G234" s="117"/>
      <c r="H234" s="111"/>
      <c r="I234" s="111"/>
      <c r="J234" s="111"/>
      <c r="K234" s="111"/>
    </row>
    <row r="235">
      <c r="A235" s="120"/>
      <c r="B235" s="117"/>
      <c r="C235" s="116"/>
      <c r="D235" s="120"/>
      <c r="E235" s="116"/>
      <c r="F235" s="117"/>
      <c r="G235" s="117"/>
      <c r="H235" s="111"/>
      <c r="I235" s="111"/>
      <c r="J235" s="111"/>
      <c r="K235" s="111"/>
    </row>
    <row r="236">
      <c r="A236" s="120"/>
      <c r="B236" s="117"/>
      <c r="C236" s="116"/>
      <c r="D236" s="120"/>
      <c r="E236" s="116"/>
      <c r="F236" s="117"/>
      <c r="G236" s="117"/>
      <c r="H236" s="111"/>
      <c r="I236" s="111"/>
      <c r="J236" s="111"/>
      <c r="K236" s="111"/>
    </row>
    <row r="237">
      <c r="A237" s="120"/>
      <c r="B237" s="117"/>
      <c r="C237" s="116"/>
      <c r="D237" s="120"/>
      <c r="E237" s="116"/>
      <c r="F237" s="117"/>
      <c r="G237" s="117"/>
      <c r="H237" s="111"/>
      <c r="I237" s="111"/>
      <c r="J237" s="111"/>
      <c r="K237" s="111"/>
    </row>
    <row r="238">
      <c r="A238" s="120"/>
      <c r="B238" s="117"/>
      <c r="C238" s="116"/>
      <c r="D238" s="120"/>
      <c r="E238" s="116"/>
      <c r="F238" s="117"/>
      <c r="G238" s="117"/>
      <c r="H238" s="111"/>
      <c r="I238" s="111"/>
      <c r="J238" s="111"/>
      <c r="K238" s="111"/>
    </row>
    <row r="239">
      <c r="A239" s="120"/>
      <c r="B239" s="117"/>
      <c r="C239" s="116"/>
      <c r="D239" s="120"/>
      <c r="E239" s="116"/>
      <c r="F239" s="117"/>
      <c r="G239" s="117"/>
      <c r="H239" s="111"/>
      <c r="I239" s="111"/>
      <c r="J239" s="111"/>
      <c r="K239" s="111"/>
    </row>
    <row r="240">
      <c r="A240" s="120"/>
      <c r="B240" s="117"/>
      <c r="C240" s="116"/>
      <c r="D240" s="120"/>
      <c r="E240" s="116"/>
      <c r="F240" s="117"/>
      <c r="G240" s="117"/>
      <c r="H240" s="111"/>
      <c r="I240" s="111"/>
      <c r="J240" s="111"/>
      <c r="K240" s="111"/>
    </row>
    <row r="241">
      <c r="A241" s="120"/>
      <c r="B241" s="117"/>
      <c r="C241" s="116"/>
      <c r="D241" s="120"/>
      <c r="E241" s="116"/>
      <c r="F241" s="117"/>
      <c r="G241" s="117"/>
      <c r="H241" s="111"/>
      <c r="I241" s="111"/>
      <c r="J241" s="111"/>
      <c r="K241" s="111"/>
    </row>
    <row r="242">
      <c r="A242" s="120"/>
      <c r="B242" s="117"/>
      <c r="C242" s="116"/>
      <c r="D242" s="120"/>
      <c r="E242" s="116"/>
      <c r="F242" s="117"/>
      <c r="G242" s="117"/>
      <c r="H242" s="111"/>
      <c r="I242" s="111"/>
      <c r="J242" s="111"/>
      <c r="K242" s="111"/>
    </row>
    <row r="243">
      <c r="A243" s="120"/>
      <c r="B243" s="117"/>
      <c r="C243" s="116"/>
      <c r="D243" s="120"/>
      <c r="E243" s="116"/>
      <c r="F243" s="117"/>
      <c r="G243" s="117"/>
      <c r="H243" s="111"/>
      <c r="I243" s="111"/>
      <c r="J243" s="111"/>
      <c r="K243" s="111"/>
    </row>
    <row r="244">
      <c r="A244" s="120"/>
      <c r="B244" s="117"/>
      <c r="C244" s="116"/>
      <c r="D244" s="120"/>
      <c r="E244" s="116"/>
      <c r="F244" s="117"/>
      <c r="G244" s="117"/>
      <c r="H244" s="111"/>
      <c r="I244" s="111"/>
      <c r="J244" s="111"/>
      <c r="K244" s="111"/>
    </row>
    <row r="245">
      <c r="A245" s="120"/>
      <c r="B245" s="117"/>
      <c r="C245" s="116"/>
      <c r="D245" s="120"/>
      <c r="E245" s="116"/>
      <c r="F245" s="117"/>
      <c r="G245" s="117"/>
      <c r="H245" s="111"/>
      <c r="I245" s="111"/>
      <c r="J245" s="111"/>
      <c r="K245" s="111"/>
    </row>
    <row r="246">
      <c r="A246" s="120"/>
      <c r="B246" s="117"/>
      <c r="C246" s="116"/>
      <c r="D246" s="120"/>
      <c r="E246" s="116"/>
      <c r="F246" s="117"/>
      <c r="G246" s="117"/>
      <c r="H246" s="111"/>
      <c r="I246" s="111"/>
      <c r="J246" s="111"/>
      <c r="K246" s="111"/>
    </row>
    <row r="247">
      <c r="A247" s="120"/>
      <c r="B247" s="117"/>
      <c r="C247" s="116"/>
      <c r="D247" s="120"/>
      <c r="E247" s="116"/>
      <c r="F247" s="117"/>
      <c r="G247" s="117"/>
      <c r="H247" s="111"/>
      <c r="I247" s="111"/>
      <c r="J247" s="111"/>
      <c r="K247" s="111"/>
    </row>
    <row r="248">
      <c r="A248" s="120"/>
      <c r="B248" s="117"/>
      <c r="C248" s="116"/>
      <c r="D248" s="120"/>
      <c r="E248" s="116"/>
      <c r="F248" s="117"/>
      <c r="G248" s="117"/>
      <c r="H248" s="111"/>
      <c r="I248" s="111"/>
      <c r="J248" s="111"/>
      <c r="K248" s="111"/>
    </row>
    <row r="249">
      <c r="A249" s="120"/>
      <c r="B249" s="117"/>
      <c r="C249" s="116"/>
      <c r="D249" s="120"/>
      <c r="E249" s="116"/>
      <c r="F249" s="117"/>
      <c r="G249" s="117"/>
      <c r="H249" s="111"/>
      <c r="I249" s="111"/>
      <c r="J249" s="111"/>
      <c r="K249" s="111"/>
    </row>
    <row r="250">
      <c r="A250" s="120"/>
      <c r="B250" s="117"/>
      <c r="C250" s="116"/>
      <c r="D250" s="120"/>
      <c r="E250" s="116"/>
      <c r="F250" s="117"/>
      <c r="G250" s="117"/>
      <c r="H250" s="111"/>
      <c r="I250" s="111"/>
      <c r="J250" s="111"/>
      <c r="K250" s="111"/>
    </row>
    <row r="251">
      <c r="A251" s="120"/>
      <c r="B251" s="117"/>
      <c r="C251" s="116"/>
      <c r="D251" s="120"/>
      <c r="E251" s="116"/>
      <c r="F251" s="117"/>
      <c r="G251" s="117"/>
      <c r="H251" s="111"/>
      <c r="I251" s="111"/>
      <c r="J251" s="111"/>
      <c r="K251" s="111"/>
    </row>
    <row r="252">
      <c r="A252" s="120"/>
      <c r="B252" s="117"/>
      <c r="C252" s="116"/>
      <c r="D252" s="120"/>
      <c r="E252" s="116"/>
      <c r="F252" s="117"/>
      <c r="G252" s="117"/>
      <c r="H252" s="111"/>
      <c r="I252" s="111"/>
      <c r="J252" s="111"/>
      <c r="K252" s="111"/>
    </row>
    <row r="253">
      <c r="A253" s="120"/>
      <c r="B253" s="117"/>
      <c r="C253" s="116"/>
      <c r="D253" s="120"/>
      <c r="E253" s="116"/>
      <c r="F253" s="117"/>
      <c r="G253" s="117"/>
      <c r="H253" s="111"/>
      <c r="I253" s="111"/>
      <c r="J253" s="111"/>
      <c r="K253" s="111"/>
    </row>
    <row r="254">
      <c r="A254" s="120"/>
      <c r="B254" s="117"/>
      <c r="C254" s="116"/>
      <c r="D254" s="120"/>
      <c r="E254" s="116"/>
      <c r="F254" s="117"/>
      <c r="G254" s="117"/>
      <c r="H254" s="111"/>
      <c r="I254" s="111"/>
      <c r="J254" s="111"/>
      <c r="K254" s="111"/>
    </row>
    <row r="255">
      <c r="A255" s="120"/>
      <c r="B255" s="117"/>
      <c r="C255" s="116"/>
      <c r="D255" s="120"/>
      <c r="E255" s="116"/>
      <c r="F255" s="117"/>
      <c r="G255" s="117"/>
      <c r="H255" s="111"/>
      <c r="I255" s="111"/>
      <c r="J255" s="111"/>
      <c r="K255" s="111"/>
    </row>
    <row r="256">
      <c r="A256" s="120"/>
      <c r="B256" s="117"/>
      <c r="C256" s="116"/>
      <c r="D256" s="120"/>
      <c r="E256" s="116"/>
      <c r="F256" s="117"/>
      <c r="G256" s="117"/>
      <c r="H256" s="111"/>
      <c r="I256" s="111"/>
      <c r="J256" s="111"/>
      <c r="K256" s="111"/>
    </row>
    <row r="257">
      <c r="A257" s="120"/>
      <c r="B257" s="117"/>
      <c r="C257" s="116"/>
      <c r="D257" s="120"/>
      <c r="E257" s="116"/>
      <c r="F257" s="117"/>
      <c r="G257" s="117"/>
      <c r="H257" s="111"/>
      <c r="I257" s="111"/>
      <c r="J257" s="111"/>
      <c r="K257" s="111"/>
    </row>
    <row r="258">
      <c r="A258" s="120"/>
      <c r="B258" s="117"/>
      <c r="C258" s="116"/>
      <c r="D258" s="120"/>
      <c r="E258" s="116"/>
      <c r="F258" s="117"/>
      <c r="G258" s="117"/>
      <c r="H258" s="111"/>
      <c r="I258" s="111"/>
      <c r="J258" s="111"/>
      <c r="K258" s="111"/>
    </row>
    <row r="259">
      <c r="A259" s="120"/>
      <c r="B259" s="117"/>
      <c r="C259" s="116"/>
      <c r="D259" s="120"/>
      <c r="E259" s="116"/>
      <c r="F259" s="117"/>
      <c r="G259" s="117"/>
      <c r="H259" s="111"/>
      <c r="I259" s="111"/>
      <c r="J259" s="111"/>
      <c r="K259" s="111"/>
    </row>
    <row r="260">
      <c r="A260" s="120"/>
      <c r="B260" s="117"/>
      <c r="C260" s="116"/>
      <c r="D260" s="120"/>
      <c r="E260" s="116"/>
      <c r="F260" s="117"/>
      <c r="G260" s="117"/>
      <c r="H260" s="111"/>
      <c r="I260" s="111"/>
      <c r="J260" s="111"/>
      <c r="K260" s="111"/>
    </row>
    <row r="261">
      <c r="A261" s="120"/>
      <c r="B261" s="117"/>
      <c r="C261" s="116"/>
      <c r="D261" s="120"/>
      <c r="E261" s="116"/>
      <c r="F261" s="117"/>
      <c r="G261" s="117"/>
      <c r="H261" s="111"/>
      <c r="I261" s="111"/>
      <c r="J261" s="111"/>
      <c r="K261" s="111"/>
    </row>
    <row r="262">
      <c r="A262" s="120"/>
      <c r="B262" s="117"/>
      <c r="C262" s="116"/>
      <c r="D262" s="120"/>
      <c r="E262" s="116"/>
      <c r="F262" s="117"/>
      <c r="G262" s="117"/>
      <c r="H262" s="111"/>
      <c r="I262" s="111"/>
      <c r="J262" s="111"/>
      <c r="K262" s="111"/>
    </row>
    <row r="263">
      <c r="A263" s="120"/>
      <c r="B263" s="117"/>
      <c r="C263" s="116"/>
      <c r="D263" s="120"/>
      <c r="E263" s="116"/>
      <c r="F263" s="117"/>
      <c r="G263" s="117"/>
      <c r="H263" s="111"/>
      <c r="I263" s="111"/>
      <c r="J263" s="111"/>
      <c r="K263" s="111"/>
    </row>
    <row r="264">
      <c r="A264" s="120"/>
      <c r="B264" s="117"/>
      <c r="C264" s="116"/>
      <c r="D264" s="120"/>
      <c r="E264" s="116"/>
      <c r="F264" s="117"/>
      <c r="G264" s="117"/>
      <c r="H264" s="111"/>
      <c r="I264" s="111"/>
      <c r="J264" s="111"/>
      <c r="K264" s="111"/>
    </row>
    <row r="265">
      <c r="A265" s="120"/>
      <c r="B265" s="117"/>
      <c r="C265" s="116"/>
      <c r="D265" s="120"/>
      <c r="E265" s="116"/>
      <c r="F265" s="117"/>
      <c r="G265" s="117"/>
      <c r="H265" s="111"/>
      <c r="I265" s="111"/>
      <c r="J265" s="111"/>
      <c r="K265" s="111"/>
    </row>
    <row r="266">
      <c r="A266" s="120"/>
      <c r="B266" s="117"/>
      <c r="C266" s="116"/>
      <c r="D266" s="120"/>
      <c r="E266" s="116"/>
      <c r="F266" s="117"/>
      <c r="G266" s="117"/>
      <c r="H266" s="111"/>
      <c r="I266" s="111"/>
      <c r="J266" s="111"/>
      <c r="K266" s="111"/>
    </row>
    <row r="267">
      <c r="A267" s="120"/>
      <c r="B267" s="117"/>
      <c r="C267" s="116"/>
      <c r="D267" s="120"/>
      <c r="E267" s="116"/>
      <c r="F267" s="117"/>
      <c r="G267" s="117"/>
      <c r="H267" s="111"/>
      <c r="I267" s="111"/>
      <c r="J267" s="111"/>
      <c r="K267" s="111"/>
    </row>
    <row r="268">
      <c r="A268" s="120"/>
      <c r="B268" s="117"/>
      <c r="C268" s="116"/>
      <c r="D268" s="120"/>
      <c r="E268" s="116"/>
      <c r="F268" s="117"/>
      <c r="G268" s="117"/>
      <c r="H268" s="111"/>
      <c r="I268" s="111"/>
      <c r="J268" s="111"/>
      <c r="K268" s="111"/>
    </row>
    <row r="269">
      <c r="A269" s="120"/>
      <c r="B269" s="117"/>
      <c r="C269" s="116"/>
      <c r="D269" s="120"/>
      <c r="E269" s="116"/>
      <c r="F269" s="117"/>
      <c r="G269" s="117"/>
      <c r="H269" s="111"/>
      <c r="I269" s="111"/>
      <c r="J269" s="111"/>
      <c r="K269" s="111"/>
    </row>
    <row r="270">
      <c r="A270" s="120"/>
      <c r="B270" s="117"/>
      <c r="C270" s="116"/>
      <c r="D270" s="120"/>
      <c r="E270" s="116"/>
      <c r="F270" s="117"/>
      <c r="G270" s="117"/>
      <c r="H270" s="111"/>
      <c r="I270" s="111"/>
      <c r="J270" s="111"/>
      <c r="K270" s="111"/>
    </row>
    <row r="271">
      <c r="A271" s="120"/>
      <c r="B271" s="117"/>
      <c r="C271" s="116"/>
      <c r="D271" s="120"/>
      <c r="E271" s="116"/>
      <c r="F271" s="117"/>
      <c r="G271" s="117"/>
      <c r="H271" s="111"/>
      <c r="I271" s="111"/>
      <c r="J271" s="111"/>
      <c r="K271" s="111"/>
    </row>
    <row r="272">
      <c r="A272" s="120"/>
      <c r="B272" s="117"/>
      <c r="C272" s="116"/>
      <c r="D272" s="120"/>
      <c r="E272" s="116"/>
      <c r="F272" s="117"/>
      <c r="G272" s="117"/>
      <c r="H272" s="111"/>
      <c r="I272" s="111"/>
      <c r="J272" s="111"/>
      <c r="K272" s="111"/>
    </row>
    <row r="273">
      <c r="A273" s="120"/>
      <c r="B273" s="117"/>
      <c r="C273" s="116"/>
      <c r="D273" s="120"/>
      <c r="E273" s="116"/>
      <c r="F273" s="117"/>
      <c r="G273" s="117"/>
      <c r="H273" s="111"/>
      <c r="I273" s="111"/>
      <c r="J273" s="111"/>
      <c r="K273" s="111"/>
    </row>
    <row r="274">
      <c r="A274" s="120"/>
      <c r="B274" s="117"/>
      <c r="C274" s="116"/>
      <c r="D274" s="120"/>
      <c r="E274" s="116"/>
      <c r="F274" s="117"/>
      <c r="G274" s="117"/>
      <c r="H274" s="111"/>
      <c r="I274" s="111"/>
      <c r="J274" s="111"/>
      <c r="K274" s="111"/>
    </row>
    <row r="275">
      <c r="A275" s="120"/>
      <c r="B275" s="117"/>
      <c r="C275" s="116"/>
      <c r="D275" s="120"/>
      <c r="E275" s="116"/>
      <c r="F275" s="117"/>
      <c r="G275" s="117"/>
      <c r="H275" s="111"/>
      <c r="I275" s="111"/>
      <c r="J275" s="111"/>
      <c r="K275" s="111"/>
    </row>
    <row r="276">
      <c r="A276" s="120"/>
      <c r="B276" s="117"/>
      <c r="C276" s="116"/>
      <c r="D276" s="120"/>
      <c r="E276" s="116"/>
      <c r="F276" s="117"/>
      <c r="G276" s="117"/>
      <c r="H276" s="111"/>
      <c r="I276" s="111"/>
      <c r="J276" s="111"/>
      <c r="K276" s="111"/>
    </row>
    <row r="277">
      <c r="A277" s="120"/>
      <c r="B277" s="117"/>
      <c r="C277" s="116"/>
      <c r="D277" s="120"/>
      <c r="E277" s="116"/>
      <c r="F277" s="117"/>
      <c r="G277" s="117"/>
      <c r="H277" s="111"/>
      <c r="I277" s="111"/>
      <c r="J277" s="111"/>
      <c r="K277" s="111"/>
    </row>
    <row r="278">
      <c r="A278" s="120"/>
      <c r="B278" s="117"/>
      <c r="C278" s="116"/>
      <c r="D278" s="120"/>
      <c r="E278" s="116"/>
      <c r="F278" s="117"/>
      <c r="G278" s="117"/>
      <c r="H278" s="111"/>
      <c r="I278" s="111"/>
      <c r="J278" s="111"/>
      <c r="K278" s="111"/>
    </row>
    <row r="279">
      <c r="A279" s="120"/>
      <c r="B279" s="117"/>
      <c r="C279" s="116"/>
      <c r="D279" s="120"/>
      <c r="E279" s="116"/>
      <c r="F279" s="117"/>
      <c r="G279" s="117"/>
      <c r="H279" s="111"/>
      <c r="I279" s="111"/>
      <c r="J279" s="111"/>
      <c r="K279" s="111"/>
    </row>
    <row r="280">
      <c r="A280" s="120"/>
      <c r="B280" s="117"/>
      <c r="C280" s="116"/>
      <c r="D280" s="120"/>
      <c r="E280" s="116"/>
      <c r="F280" s="117"/>
      <c r="G280" s="117"/>
      <c r="H280" s="111"/>
      <c r="I280" s="111"/>
      <c r="J280" s="111"/>
      <c r="K280" s="111"/>
    </row>
    <row r="281">
      <c r="A281" s="120"/>
      <c r="B281" s="117"/>
      <c r="C281" s="116"/>
      <c r="D281" s="120"/>
      <c r="E281" s="116"/>
      <c r="F281" s="117"/>
      <c r="G281" s="117"/>
      <c r="H281" s="111"/>
      <c r="I281" s="111"/>
      <c r="J281" s="111"/>
      <c r="K281" s="111"/>
    </row>
    <row r="282">
      <c r="A282" s="120"/>
      <c r="B282" s="117"/>
      <c r="C282" s="116"/>
      <c r="D282" s="120"/>
      <c r="E282" s="116"/>
      <c r="F282" s="117"/>
      <c r="G282" s="117"/>
      <c r="H282" s="111"/>
      <c r="I282" s="111"/>
      <c r="J282" s="111"/>
      <c r="K282" s="111"/>
    </row>
    <row r="283">
      <c r="A283" s="120"/>
      <c r="B283" s="117"/>
      <c r="C283" s="116"/>
      <c r="D283" s="120"/>
      <c r="E283" s="116"/>
      <c r="F283" s="117"/>
      <c r="G283" s="117"/>
      <c r="H283" s="111"/>
      <c r="I283" s="111"/>
      <c r="J283" s="111"/>
      <c r="K283" s="111"/>
    </row>
    <row r="284">
      <c r="A284" s="120"/>
      <c r="B284" s="117"/>
      <c r="C284" s="116"/>
      <c r="D284" s="120"/>
      <c r="E284" s="116"/>
      <c r="F284" s="117"/>
      <c r="G284" s="117"/>
      <c r="H284" s="111"/>
      <c r="I284" s="111"/>
      <c r="J284" s="111"/>
      <c r="K284" s="111"/>
    </row>
    <row r="285">
      <c r="A285" s="120"/>
      <c r="B285" s="117"/>
      <c r="C285" s="116"/>
      <c r="D285" s="120"/>
      <c r="E285" s="116"/>
      <c r="F285" s="117"/>
      <c r="G285" s="117"/>
      <c r="H285" s="111"/>
      <c r="I285" s="111"/>
      <c r="J285" s="111"/>
      <c r="K285" s="111"/>
    </row>
    <row r="286">
      <c r="A286" s="120"/>
      <c r="B286" s="117"/>
      <c r="C286" s="116"/>
      <c r="D286" s="120"/>
      <c r="E286" s="116"/>
      <c r="F286" s="117"/>
      <c r="G286" s="117"/>
      <c r="H286" s="111"/>
      <c r="I286" s="111"/>
      <c r="J286" s="111"/>
      <c r="K286" s="111"/>
    </row>
    <row r="287">
      <c r="A287" s="120"/>
      <c r="B287" s="117"/>
      <c r="C287" s="116"/>
      <c r="D287" s="120"/>
      <c r="E287" s="116"/>
      <c r="F287" s="117"/>
      <c r="G287" s="117"/>
      <c r="H287" s="111"/>
      <c r="I287" s="111"/>
      <c r="J287" s="111"/>
      <c r="K287" s="111"/>
    </row>
    <row r="288">
      <c r="A288" s="120"/>
      <c r="B288" s="117"/>
      <c r="C288" s="116"/>
      <c r="D288" s="120"/>
      <c r="E288" s="116"/>
      <c r="F288" s="117"/>
      <c r="G288" s="117"/>
      <c r="H288" s="111"/>
      <c r="I288" s="111"/>
      <c r="J288" s="111"/>
      <c r="K288" s="111"/>
    </row>
    <row r="289">
      <c r="A289" s="120"/>
      <c r="B289" s="117"/>
      <c r="C289" s="116"/>
      <c r="D289" s="120"/>
      <c r="E289" s="116"/>
      <c r="F289" s="117"/>
      <c r="G289" s="117"/>
      <c r="H289" s="111"/>
      <c r="I289" s="111"/>
      <c r="J289" s="111"/>
      <c r="K289" s="111"/>
    </row>
    <row r="290">
      <c r="A290" s="120"/>
      <c r="B290" s="117"/>
      <c r="C290" s="116"/>
      <c r="D290" s="120"/>
      <c r="E290" s="116"/>
      <c r="F290" s="117"/>
      <c r="G290" s="117"/>
      <c r="H290" s="111"/>
      <c r="I290" s="111"/>
      <c r="J290" s="111"/>
      <c r="K290" s="111"/>
    </row>
    <row r="291">
      <c r="A291" s="120"/>
      <c r="B291" s="117"/>
      <c r="C291" s="116"/>
      <c r="D291" s="120"/>
      <c r="E291" s="116"/>
      <c r="F291" s="117"/>
      <c r="G291" s="117"/>
      <c r="H291" s="111"/>
      <c r="I291" s="111"/>
      <c r="J291" s="111"/>
      <c r="K291" s="111"/>
    </row>
    <row r="292">
      <c r="A292" s="120"/>
      <c r="B292" s="117"/>
      <c r="C292" s="116"/>
      <c r="D292" s="120"/>
      <c r="E292" s="116"/>
      <c r="F292" s="117"/>
      <c r="G292" s="117"/>
      <c r="H292" s="111"/>
      <c r="I292" s="111"/>
      <c r="J292" s="111"/>
      <c r="K292" s="111"/>
    </row>
    <row r="293">
      <c r="A293" s="120"/>
      <c r="B293" s="117"/>
      <c r="C293" s="116"/>
      <c r="D293" s="120"/>
      <c r="E293" s="116"/>
      <c r="F293" s="117"/>
      <c r="G293" s="117"/>
      <c r="H293" s="111"/>
      <c r="I293" s="111"/>
      <c r="J293" s="111"/>
      <c r="K293" s="111"/>
    </row>
    <row r="294">
      <c r="A294" s="120"/>
      <c r="B294" s="117"/>
      <c r="C294" s="116"/>
      <c r="D294" s="120"/>
      <c r="E294" s="116"/>
      <c r="F294" s="117"/>
      <c r="G294" s="117"/>
      <c r="H294" s="111"/>
      <c r="I294" s="111"/>
      <c r="J294" s="111"/>
      <c r="K294" s="111"/>
    </row>
    <row r="295">
      <c r="A295" s="120"/>
      <c r="B295" s="117"/>
      <c r="C295" s="116"/>
      <c r="D295" s="120"/>
      <c r="E295" s="116"/>
      <c r="F295" s="117"/>
      <c r="G295" s="117"/>
      <c r="H295" s="111"/>
      <c r="I295" s="111"/>
      <c r="J295" s="111"/>
      <c r="K295" s="111"/>
    </row>
    <row r="296">
      <c r="A296" s="120"/>
      <c r="B296" s="117"/>
      <c r="C296" s="116"/>
      <c r="D296" s="120"/>
      <c r="E296" s="116"/>
      <c r="F296" s="117"/>
      <c r="G296" s="117"/>
      <c r="H296" s="111"/>
      <c r="I296" s="111"/>
      <c r="J296" s="111"/>
      <c r="K296" s="111"/>
    </row>
    <row r="297">
      <c r="A297" s="120"/>
      <c r="B297" s="117"/>
      <c r="C297" s="116"/>
      <c r="D297" s="120"/>
      <c r="E297" s="116"/>
      <c r="F297" s="117"/>
      <c r="G297" s="117"/>
      <c r="H297" s="111"/>
      <c r="I297" s="111"/>
      <c r="J297" s="111"/>
      <c r="K297" s="111"/>
    </row>
    <row r="298">
      <c r="A298" s="120"/>
      <c r="B298" s="117"/>
      <c r="C298" s="116"/>
      <c r="D298" s="120"/>
      <c r="E298" s="116"/>
      <c r="F298" s="117"/>
      <c r="G298" s="117"/>
      <c r="H298" s="111"/>
      <c r="I298" s="111"/>
      <c r="J298" s="111"/>
      <c r="K298" s="111"/>
    </row>
    <row r="299">
      <c r="A299" s="120"/>
      <c r="B299" s="117"/>
      <c r="C299" s="116"/>
      <c r="D299" s="120"/>
      <c r="E299" s="116"/>
      <c r="F299" s="117"/>
      <c r="G299" s="117"/>
      <c r="H299" s="111"/>
      <c r="I299" s="111"/>
      <c r="J299" s="111"/>
      <c r="K299" s="111"/>
    </row>
    <row r="300">
      <c r="A300" s="120"/>
      <c r="B300" s="117"/>
      <c r="C300" s="116"/>
      <c r="D300" s="120"/>
      <c r="E300" s="116"/>
      <c r="F300" s="117"/>
      <c r="G300" s="117"/>
      <c r="H300" s="111"/>
      <c r="I300" s="111"/>
      <c r="J300" s="111"/>
      <c r="K300" s="111"/>
    </row>
    <row r="301">
      <c r="A301" s="120"/>
      <c r="B301" s="117"/>
      <c r="C301" s="116"/>
      <c r="D301" s="120"/>
      <c r="E301" s="116"/>
      <c r="F301" s="117"/>
      <c r="G301" s="117"/>
      <c r="H301" s="111"/>
      <c r="I301" s="111"/>
      <c r="J301" s="111"/>
      <c r="K301" s="111"/>
    </row>
    <row r="302">
      <c r="A302" s="120"/>
      <c r="B302" s="117"/>
      <c r="C302" s="116"/>
      <c r="D302" s="120"/>
      <c r="E302" s="116"/>
      <c r="F302" s="117"/>
      <c r="G302" s="117"/>
      <c r="H302" s="111"/>
      <c r="I302" s="111"/>
      <c r="J302" s="111"/>
      <c r="K302" s="111"/>
    </row>
    <row r="303">
      <c r="A303" s="120"/>
      <c r="B303" s="117"/>
      <c r="C303" s="116"/>
      <c r="D303" s="120"/>
      <c r="E303" s="116"/>
      <c r="F303" s="117"/>
      <c r="G303" s="117"/>
      <c r="H303" s="111"/>
      <c r="I303" s="111"/>
      <c r="J303" s="111"/>
      <c r="K303" s="111"/>
    </row>
    <row r="304">
      <c r="A304" s="120"/>
      <c r="B304" s="117"/>
      <c r="C304" s="116"/>
      <c r="D304" s="120"/>
      <c r="E304" s="116"/>
      <c r="F304" s="117"/>
      <c r="G304" s="117"/>
      <c r="H304" s="111"/>
      <c r="I304" s="111"/>
      <c r="J304" s="111"/>
      <c r="K304" s="111"/>
    </row>
    <row r="305">
      <c r="A305" s="120"/>
      <c r="B305" s="117"/>
      <c r="C305" s="116"/>
      <c r="D305" s="120"/>
      <c r="E305" s="116"/>
      <c r="F305" s="117"/>
      <c r="G305" s="117"/>
      <c r="H305" s="111"/>
      <c r="I305" s="111"/>
      <c r="J305" s="111"/>
      <c r="K305" s="111"/>
    </row>
    <row r="306">
      <c r="A306" s="120"/>
      <c r="B306" s="117"/>
      <c r="C306" s="116"/>
      <c r="D306" s="120"/>
      <c r="E306" s="116"/>
      <c r="F306" s="117"/>
      <c r="G306" s="117"/>
      <c r="H306" s="111"/>
      <c r="I306" s="111"/>
      <c r="J306" s="111"/>
      <c r="K306" s="111"/>
    </row>
    <row r="307">
      <c r="A307" s="120"/>
      <c r="B307" s="117"/>
      <c r="C307" s="116"/>
      <c r="D307" s="120"/>
      <c r="E307" s="116"/>
      <c r="F307" s="117"/>
      <c r="G307" s="117"/>
      <c r="H307" s="111"/>
      <c r="I307" s="111"/>
      <c r="J307" s="111"/>
      <c r="K307" s="111"/>
    </row>
    <row r="308">
      <c r="A308" s="120"/>
      <c r="B308" s="117"/>
      <c r="C308" s="116"/>
      <c r="D308" s="120"/>
      <c r="E308" s="116"/>
      <c r="F308" s="117"/>
      <c r="G308" s="117"/>
      <c r="H308" s="111"/>
      <c r="I308" s="111"/>
      <c r="J308" s="111"/>
      <c r="K308" s="111"/>
    </row>
    <row r="309">
      <c r="A309" s="120"/>
      <c r="B309" s="117"/>
      <c r="C309" s="116"/>
      <c r="D309" s="120"/>
      <c r="E309" s="116"/>
      <c r="F309" s="117"/>
      <c r="G309" s="117"/>
      <c r="H309" s="111"/>
      <c r="I309" s="111"/>
      <c r="J309" s="111"/>
      <c r="K309" s="111"/>
    </row>
    <row r="310">
      <c r="A310" s="120"/>
      <c r="B310" s="117"/>
      <c r="C310" s="116"/>
      <c r="D310" s="120"/>
      <c r="E310" s="116"/>
      <c r="F310" s="117"/>
      <c r="G310" s="117"/>
      <c r="H310" s="111"/>
      <c r="I310" s="111"/>
      <c r="J310" s="111"/>
      <c r="K310" s="111"/>
    </row>
    <row r="311">
      <c r="A311" s="120"/>
      <c r="B311" s="117"/>
      <c r="C311" s="116"/>
      <c r="D311" s="120"/>
      <c r="E311" s="116"/>
      <c r="F311" s="117"/>
      <c r="G311" s="117"/>
      <c r="H311" s="111"/>
      <c r="I311" s="111"/>
      <c r="J311" s="111"/>
      <c r="K311" s="111"/>
    </row>
    <row r="312">
      <c r="A312" s="120"/>
      <c r="B312" s="117"/>
      <c r="C312" s="116"/>
      <c r="D312" s="120"/>
      <c r="E312" s="116"/>
      <c r="F312" s="117"/>
      <c r="G312" s="117"/>
      <c r="H312" s="111"/>
      <c r="I312" s="111"/>
      <c r="J312" s="111"/>
      <c r="K312" s="111"/>
    </row>
    <row r="313">
      <c r="A313" s="120"/>
      <c r="B313" s="117"/>
      <c r="C313" s="116"/>
      <c r="D313" s="120"/>
      <c r="E313" s="116"/>
      <c r="F313" s="117"/>
      <c r="G313" s="117"/>
      <c r="H313" s="111"/>
      <c r="I313" s="111"/>
      <c r="J313" s="111"/>
      <c r="K313" s="111"/>
    </row>
    <row r="314">
      <c r="A314" s="120"/>
      <c r="B314" s="117"/>
      <c r="C314" s="116"/>
      <c r="D314" s="120"/>
      <c r="E314" s="116"/>
      <c r="F314" s="117"/>
      <c r="G314" s="117"/>
      <c r="H314" s="111"/>
      <c r="I314" s="111"/>
      <c r="J314" s="111"/>
      <c r="K314" s="111"/>
    </row>
    <row r="315">
      <c r="A315" s="120"/>
      <c r="B315" s="117"/>
      <c r="C315" s="116"/>
      <c r="D315" s="120"/>
      <c r="E315" s="116"/>
      <c r="F315" s="117"/>
      <c r="G315" s="117"/>
      <c r="H315" s="111"/>
      <c r="I315" s="111"/>
      <c r="J315" s="111"/>
      <c r="K315" s="111"/>
    </row>
    <row r="316">
      <c r="A316" s="120"/>
      <c r="B316" s="117"/>
      <c r="C316" s="116"/>
      <c r="D316" s="120"/>
      <c r="E316" s="116"/>
      <c r="F316" s="117"/>
      <c r="G316" s="117"/>
      <c r="H316" s="111"/>
      <c r="I316" s="111"/>
      <c r="J316" s="111"/>
      <c r="K316" s="111"/>
    </row>
    <row r="317">
      <c r="A317" s="120"/>
      <c r="B317" s="117"/>
      <c r="C317" s="116"/>
      <c r="D317" s="120"/>
      <c r="E317" s="116"/>
      <c r="F317" s="117"/>
      <c r="G317" s="117"/>
      <c r="H317" s="111"/>
      <c r="I317" s="111"/>
      <c r="J317" s="111"/>
      <c r="K317" s="111"/>
    </row>
    <row r="318">
      <c r="A318" s="120"/>
      <c r="B318" s="117"/>
      <c r="C318" s="116"/>
      <c r="D318" s="120"/>
      <c r="E318" s="116"/>
      <c r="F318" s="117"/>
      <c r="G318" s="117"/>
      <c r="H318" s="111"/>
      <c r="I318" s="111"/>
      <c r="J318" s="111"/>
      <c r="K318" s="111"/>
    </row>
    <row r="319">
      <c r="A319" s="120"/>
      <c r="B319" s="117"/>
      <c r="C319" s="116"/>
      <c r="D319" s="120"/>
      <c r="E319" s="116"/>
      <c r="F319" s="117"/>
      <c r="G319" s="117"/>
      <c r="H319" s="111"/>
      <c r="I319" s="111"/>
      <c r="J319" s="111"/>
      <c r="K319" s="111"/>
    </row>
    <row r="320">
      <c r="A320" s="120"/>
      <c r="B320" s="117"/>
      <c r="C320" s="116"/>
      <c r="D320" s="120"/>
      <c r="E320" s="116"/>
      <c r="F320" s="117"/>
      <c r="G320" s="117"/>
      <c r="H320" s="111"/>
      <c r="I320" s="111"/>
      <c r="J320" s="111"/>
      <c r="K320" s="111"/>
    </row>
    <row r="321">
      <c r="A321" s="120"/>
      <c r="B321" s="117"/>
      <c r="C321" s="116"/>
      <c r="D321" s="120"/>
      <c r="E321" s="116"/>
      <c r="F321" s="117"/>
      <c r="G321" s="117"/>
      <c r="H321" s="111"/>
      <c r="I321" s="111"/>
      <c r="J321" s="111"/>
      <c r="K321" s="111"/>
    </row>
    <row r="322">
      <c r="A322" s="120"/>
      <c r="B322" s="117"/>
      <c r="C322" s="116"/>
      <c r="D322" s="120"/>
      <c r="E322" s="116"/>
      <c r="F322" s="117"/>
      <c r="G322" s="117"/>
      <c r="H322" s="111"/>
      <c r="I322" s="111"/>
      <c r="J322" s="111"/>
      <c r="K322" s="111"/>
    </row>
    <row r="323">
      <c r="A323" s="120"/>
      <c r="B323" s="117"/>
      <c r="C323" s="116"/>
      <c r="D323" s="120"/>
      <c r="E323" s="116"/>
      <c r="F323" s="117"/>
      <c r="G323" s="117"/>
      <c r="H323" s="111"/>
      <c r="I323" s="111"/>
      <c r="J323" s="111"/>
      <c r="K323" s="111"/>
    </row>
    <row r="324">
      <c r="A324" s="120"/>
      <c r="B324" s="117"/>
      <c r="C324" s="116"/>
      <c r="D324" s="120"/>
      <c r="E324" s="116"/>
      <c r="F324" s="117"/>
      <c r="G324" s="117"/>
      <c r="H324" s="111"/>
      <c r="I324" s="111"/>
      <c r="J324" s="111"/>
      <c r="K324" s="111"/>
    </row>
    <row r="325">
      <c r="A325" s="120"/>
      <c r="B325" s="117"/>
      <c r="C325" s="116"/>
      <c r="D325" s="120"/>
      <c r="E325" s="116"/>
      <c r="F325" s="117"/>
      <c r="G325" s="117"/>
      <c r="H325" s="111"/>
      <c r="I325" s="111"/>
      <c r="J325" s="111"/>
      <c r="K325" s="111"/>
    </row>
    <row r="326">
      <c r="A326" s="120"/>
      <c r="B326" s="117"/>
      <c r="C326" s="116"/>
      <c r="D326" s="120"/>
      <c r="E326" s="116"/>
      <c r="F326" s="117"/>
      <c r="G326" s="117"/>
      <c r="H326" s="111"/>
      <c r="I326" s="111"/>
      <c r="J326" s="111"/>
      <c r="K326" s="111"/>
    </row>
    <row r="327">
      <c r="A327" s="120"/>
      <c r="B327" s="117"/>
      <c r="C327" s="116"/>
      <c r="D327" s="120"/>
      <c r="E327" s="116"/>
      <c r="F327" s="117"/>
      <c r="G327" s="117"/>
      <c r="H327" s="111"/>
      <c r="I327" s="111"/>
      <c r="J327" s="111"/>
      <c r="K327" s="111"/>
    </row>
    <row r="328">
      <c r="A328" s="120"/>
      <c r="B328" s="117"/>
      <c r="C328" s="116"/>
      <c r="D328" s="120"/>
      <c r="E328" s="116"/>
      <c r="F328" s="117"/>
      <c r="G328" s="117"/>
      <c r="H328" s="111"/>
      <c r="I328" s="111"/>
      <c r="J328" s="111"/>
      <c r="K328" s="111"/>
    </row>
    <row r="329">
      <c r="A329" s="120"/>
      <c r="B329" s="117"/>
      <c r="C329" s="116"/>
      <c r="D329" s="120"/>
      <c r="E329" s="116"/>
      <c r="F329" s="117"/>
      <c r="G329" s="117"/>
      <c r="H329" s="111"/>
      <c r="I329" s="111"/>
      <c r="J329" s="111"/>
      <c r="K329" s="111"/>
    </row>
    <row r="330">
      <c r="A330" s="120"/>
      <c r="B330" s="117"/>
      <c r="C330" s="116"/>
      <c r="D330" s="120"/>
      <c r="E330" s="116"/>
      <c r="F330" s="117"/>
      <c r="G330" s="117"/>
      <c r="H330" s="111"/>
      <c r="I330" s="111"/>
      <c r="J330" s="111"/>
      <c r="K330" s="111"/>
    </row>
    <row r="331">
      <c r="A331" s="120"/>
      <c r="B331" s="117"/>
      <c r="C331" s="116"/>
      <c r="D331" s="120"/>
      <c r="E331" s="116"/>
      <c r="F331" s="117"/>
      <c r="G331" s="117"/>
      <c r="H331" s="111"/>
      <c r="I331" s="111"/>
      <c r="J331" s="111"/>
      <c r="K331" s="111"/>
    </row>
    <row r="332">
      <c r="A332" s="120"/>
      <c r="B332" s="117"/>
      <c r="C332" s="116"/>
      <c r="D332" s="120"/>
      <c r="E332" s="116"/>
      <c r="F332" s="117"/>
      <c r="G332" s="117"/>
      <c r="H332" s="111"/>
      <c r="I332" s="111"/>
      <c r="J332" s="111"/>
      <c r="K332" s="111"/>
    </row>
    <row r="333">
      <c r="A333" s="120"/>
      <c r="B333" s="117"/>
      <c r="C333" s="116"/>
      <c r="D333" s="120"/>
      <c r="E333" s="116"/>
      <c r="F333" s="117"/>
      <c r="G333" s="117"/>
      <c r="H333" s="111"/>
      <c r="I333" s="111"/>
      <c r="J333" s="111"/>
      <c r="K333" s="111"/>
    </row>
    <row r="334">
      <c r="A334" s="120"/>
      <c r="B334" s="117"/>
      <c r="C334" s="116"/>
      <c r="D334" s="120"/>
      <c r="E334" s="116"/>
      <c r="F334" s="117"/>
      <c r="G334" s="117"/>
      <c r="H334" s="111"/>
      <c r="I334" s="111"/>
      <c r="J334" s="111"/>
      <c r="K334" s="111"/>
    </row>
    <row r="335">
      <c r="A335" s="120"/>
      <c r="B335" s="117"/>
      <c r="C335" s="116"/>
      <c r="D335" s="120"/>
      <c r="E335" s="116"/>
      <c r="F335" s="117"/>
      <c r="G335" s="117"/>
      <c r="H335" s="111"/>
      <c r="I335" s="111"/>
      <c r="J335" s="111"/>
      <c r="K335" s="111"/>
    </row>
    <row r="336">
      <c r="A336" s="120"/>
      <c r="B336" s="117"/>
      <c r="C336" s="116"/>
      <c r="D336" s="120"/>
      <c r="E336" s="116"/>
      <c r="F336" s="117"/>
      <c r="G336" s="117"/>
      <c r="H336" s="111"/>
      <c r="I336" s="111"/>
      <c r="J336" s="111"/>
      <c r="K336" s="111"/>
    </row>
    <row r="337">
      <c r="A337" s="120"/>
      <c r="B337" s="117"/>
      <c r="C337" s="116"/>
      <c r="D337" s="120"/>
      <c r="E337" s="116"/>
      <c r="F337" s="117"/>
      <c r="G337" s="117"/>
      <c r="H337" s="111"/>
      <c r="I337" s="111"/>
      <c r="J337" s="111"/>
      <c r="K337" s="111"/>
    </row>
    <row r="338">
      <c r="A338" s="120"/>
      <c r="B338" s="117"/>
      <c r="C338" s="116"/>
      <c r="D338" s="120"/>
      <c r="E338" s="116"/>
      <c r="F338" s="117"/>
      <c r="G338" s="117"/>
      <c r="H338" s="111"/>
      <c r="I338" s="111"/>
      <c r="J338" s="111"/>
      <c r="K338" s="111"/>
    </row>
    <row r="339">
      <c r="A339" s="120"/>
      <c r="B339" s="117"/>
      <c r="C339" s="116"/>
      <c r="D339" s="120"/>
      <c r="E339" s="116"/>
      <c r="F339" s="117"/>
      <c r="G339" s="117"/>
      <c r="H339" s="111"/>
      <c r="I339" s="111"/>
      <c r="J339" s="111"/>
      <c r="K339" s="111"/>
    </row>
    <row r="340">
      <c r="A340" s="120"/>
      <c r="B340" s="117"/>
      <c r="C340" s="116"/>
      <c r="D340" s="120"/>
      <c r="E340" s="116"/>
      <c r="F340" s="117"/>
      <c r="G340" s="117"/>
      <c r="H340" s="111"/>
      <c r="I340" s="111"/>
      <c r="J340" s="111"/>
      <c r="K340" s="111"/>
    </row>
    <row r="341">
      <c r="A341" s="120"/>
      <c r="B341" s="117"/>
      <c r="C341" s="116"/>
      <c r="D341" s="120"/>
      <c r="E341" s="116"/>
      <c r="F341" s="117"/>
      <c r="G341" s="117"/>
      <c r="H341" s="111"/>
      <c r="I341" s="111"/>
      <c r="J341" s="111"/>
      <c r="K341" s="111"/>
    </row>
    <row r="342">
      <c r="A342" s="120"/>
      <c r="B342" s="117"/>
      <c r="C342" s="116"/>
      <c r="D342" s="120"/>
      <c r="E342" s="116"/>
      <c r="F342" s="117"/>
      <c r="G342" s="117"/>
      <c r="H342" s="111"/>
      <c r="I342" s="111"/>
      <c r="J342" s="111"/>
      <c r="K342" s="111"/>
    </row>
    <row r="343">
      <c r="A343" s="120"/>
      <c r="B343" s="117"/>
      <c r="C343" s="116"/>
      <c r="D343" s="120"/>
      <c r="E343" s="116"/>
      <c r="F343" s="117"/>
      <c r="G343" s="117"/>
      <c r="H343" s="111"/>
      <c r="I343" s="111"/>
      <c r="J343" s="111"/>
      <c r="K343" s="111"/>
    </row>
    <row r="344">
      <c r="A344" s="120"/>
      <c r="B344" s="117"/>
      <c r="C344" s="116"/>
      <c r="D344" s="120"/>
      <c r="E344" s="116"/>
      <c r="F344" s="117"/>
      <c r="G344" s="117"/>
      <c r="H344" s="111"/>
      <c r="I344" s="111"/>
      <c r="J344" s="111"/>
      <c r="K344" s="111"/>
    </row>
    <row r="345">
      <c r="A345" s="120"/>
      <c r="B345" s="117"/>
      <c r="C345" s="116"/>
      <c r="D345" s="120"/>
      <c r="E345" s="116"/>
      <c r="F345" s="117"/>
      <c r="G345" s="117"/>
      <c r="H345" s="111"/>
      <c r="I345" s="111"/>
      <c r="J345" s="111"/>
      <c r="K345" s="111"/>
    </row>
    <row r="346">
      <c r="A346" s="120"/>
      <c r="B346" s="117"/>
      <c r="C346" s="116"/>
      <c r="D346" s="120"/>
      <c r="E346" s="116"/>
      <c r="F346" s="117"/>
      <c r="G346" s="117"/>
      <c r="H346" s="111"/>
      <c r="I346" s="111"/>
      <c r="J346" s="111"/>
      <c r="K346" s="111"/>
    </row>
    <row r="347">
      <c r="A347" s="120"/>
      <c r="B347" s="117"/>
      <c r="C347" s="116"/>
      <c r="D347" s="120"/>
      <c r="E347" s="116"/>
      <c r="F347" s="117"/>
      <c r="G347" s="117"/>
      <c r="H347" s="111"/>
      <c r="I347" s="111"/>
      <c r="J347" s="111"/>
      <c r="K347" s="111"/>
    </row>
    <row r="348">
      <c r="A348" s="120"/>
      <c r="B348" s="117"/>
      <c r="C348" s="116"/>
      <c r="D348" s="120"/>
      <c r="E348" s="116"/>
      <c r="F348" s="117"/>
      <c r="G348" s="117"/>
      <c r="H348" s="111"/>
      <c r="I348" s="111"/>
      <c r="J348" s="111"/>
      <c r="K348" s="111"/>
    </row>
    <row r="349">
      <c r="A349" s="120"/>
      <c r="B349" s="117"/>
      <c r="C349" s="116"/>
      <c r="D349" s="120"/>
      <c r="E349" s="116"/>
      <c r="F349" s="117"/>
      <c r="G349" s="117"/>
      <c r="H349" s="111"/>
      <c r="I349" s="111"/>
      <c r="J349" s="111"/>
      <c r="K349" s="111"/>
    </row>
    <row r="350">
      <c r="A350" s="120"/>
      <c r="B350" s="117"/>
      <c r="C350" s="116"/>
      <c r="D350" s="120"/>
      <c r="E350" s="116"/>
      <c r="F350" s="117"/>
      <c r="G350" s="117"/>
      <c r="H350" s="111"/>
      <c r="I350" s="111"/>
      <c r="J350" s="111"/>
      <c r="K350" s="111"/>
    </row>
    <row r="351">
      <c r="A351" s="120"/>
      <c r="B351" s="117"/>
      <c r="C351" s="116"/>
      <c r="D351" s="120"/>
      <c r="E351" s="116"/>
      <c r="F351" s="117"/>
      <c r="G351" s="117"/>
      <c r="H351" s="111"/>
      <c r="I351" s="111"/>
      <c r="J351" s="111"/>
      <c r="K351" s="111"/>
    </row>
    <row r="352">
      <c r="A352" s="120"/>
      <c r="B352" s="117"/>
      <c r="C352" s="116"/>
      <c r="D352" s="120"/>
      <c r="E352" s="116"/>
      <c r="F352" s="117"/>
      <c r="G352" s="117"/>
      <c r="H352" s="111"/>
      <c r="I352" s="111"/>
      <c r="J352" s="111"/>
      <c r="K352" s="111"/>
    </row>
    <row r="353">
      <c r="A353" s="120"/>
      <c r="B353" s="117"/>
      <c r="C353" s="116"/>
      <c r="D353" s="120"/>
      <c r="E353" s="116"/>
      <c r="F353" s="117"/>
      <c r="G353" s="117"/>
      <c r="H353" s="111"/>
      <c r="I353" s="111"/>
      <c r="J353" s="111"/>
      <c r="K353" s="111"/>
    </row>
    <row r="354">
      <c r="A354" s="120"/>
      <c r="B354" s="117"/>
      <c r="C354" s="116"/>
      <c r="D354" s="120"/>
      <c r="E354" s="116"/>
      <c r="F354" s="117"/>
      <c r="G354" s="117"/>
      <c r="H354" s="111"/>
      <c r="I354" s="111"/>
      <c r="J354" s="111"/>
      <c r="K354" s="111"/>
    </row>
    <row r="355">
      <c r="A355" s="120"/>
      <c r="B355" s="117"/>
      <c r="C355" s="116"/>
      <c r="D355" s="120"/>
      <c r="E355" s="116"/>
      <c r="F355" s="117"/>
      <c r="G355" s="117"/>
      <c r="H355" s="111"/>
      <c r="I355" s="111"/>
      <c r="J355" s="111"/>
      <c r="K355" s="111"/>
    </row>
    <row r="356">
      <c r="A356" s="120"/>
      <c r="B356" s="117"/>
      <c r="C356" s="116"/>
      <c r="D356" s="120"/>
      <c r="E356" s="116"/>
      <c r="F356" s="117"/>
      <c r="G356" s="117"/>
      <c r="H356" s="111"/>
      <c r="I356" s="111"/>
      <c r="J356" s="111"/>
      <c r="K356" s="111"/>
    </row>
    <row r="357">
      <c r="A357" s="120"/>
      <c r="B357" s="117"/>
      <c r="C357" s="116"/>
      <c r="D357" s="120"/>
      <c r="E357" s="116"/>
      <c r="F357" s="117"/>
      <c r="G357" s="117"/>
      <c r="H357" s="111"/>
      <c r="I357" s="111"/>
      <c r="J357" s="111"/>
      <c r="K357" s="111"/>
    </row>
    <row r="358">
      <c r="A358" s="120"/>
      <c r="B358" s="117"/>
      <c r="C358" s="116"/>
      <c r="D358" s="120"/>
      <c r="E358" s="116"/>
      <c r="F358" s="117"/>
      <c r="G358" s="117"/>
      <c r="H358" s="111"/>
      <c r="I358" s="111"/>
      <c r="J358" s="111"/>
      <c r="K358" s="111"/>
    </row>
    <row r="359">
      <c r="A359" s="120"/>
      <c r="B359" s="117"/>
      <c r="C359" s="116"/>
      <c r="D359" s="120"/>
      <c r="E359" s="116"/>
      <c r="F359" s="117"/>
      <c r="G359" s="117"/>
      <c r="H359" s="111"/>
      <c r="I359" s="111"/>
      <c r="J359" s="111"/>
      <c r="K359" s="111"/>
    </row>
    <row r="360">
      <c r="A360" s="120"/>
      <c r="B360" s="117"/>
      <c r="C360" s="116"/>
      <c r="D360" s="120"/>
      <c r="E360" s="116"/>
      <c r="F360" s="117"/>
      <c r="G360" s="117"/>
      <c r="H360" s="111"/>
      <c r="I360" s="111"/>
      <c r="J360" s="111"/>
      <c r="K360" s="111"/>
    </row>
    <row r="361">
      <c r="A361" s="120"/>
      <c r="B361" s="117"/>
      <c r="C361" s="116"/>
      <c r="D361" s="120"/>
      <c r="E361" s="116"/>
      <c r="F361" s="117"/>
      <c r="G361" s="117"/>
      <c r="H361" s="111"/>
      <c r="I361" s="111"/>
      <c r="J361" s="111"/>
      <c r="K361" s="111"/>
    </row>
    <row r="362">
      <c r="A362" s="120"/>
      <c r="B362" s="117"/>
      <c r="C362" s="116"/>
      <c r="D362" s="120"/>
      <c r="E362" s="116"/>
      <c r="F362" s="117"/>
      <c r="G362" s="117"/>
      <c r="H362" s="111"/>
      <c r="I362" s="111"/>
      <c r="J362" s="111"/>
      <c r="K362" s="111"/>
    </row>
    <row r="363">
      <c r="A363" s="120"/>
      <c r="B363" s="117"/>
      <c r="C363" s="116"/>
      <c r="D363" s="120"/>
      <c r="E363" s="116"/>
      <c r="F363" s="117"/>
      <c r="G363" s="117"/>
      <c r="H363" s="111"/>
      <c r="I363" s="111"/>
      <c r="J363" s="111"/>
      <c r="K363" s="111"/>
    </row>
    <row r="364">
      <c r="A364" s="120"/>
      <c r="B364" s="117"/>
      <c r="C364" s="116"/>
      <c r="D364" s="120"/>
      <c r="E364" s="116"/>
      <c r="F364" s="117"/>
      <c r="G364" s="117"/>
      <c r="H364" s="111"/>
      <c r="I364" s="111"/>
      <c r="J364" s="111"/>
      <c r="K364" s="111"/>
    </row>
    <row r="365">
      <c r="A365" s="120"/>
      <c r="B365" s="117"/>
      <c r="C365" s="116"/>
      <c r="D365" s="120"/>
      <c r="E365" s="116"/>
      <c r="F365" s="117"/>
      <c r="G365" s="117"/>
      <c r="H365" s="111"/>
      <c r="I365" s="111"/>
      <c r="J365" s="111"/>
      <c r="K365" s="111"/>
    </row>
    <row r="366">
      <c r="A366" s="120"/>
      <c r="B366" s="117"/>
      <c r="C366" s="116"/>
      <c r="D366" s="120"/>
      <c r="E366" s="116"/>
      <c r="F366" s="117"/>
      <c r="G366" s="117"/>
      <c r="H366" s="111"/>
      <c r="I366" s="111"/>
      <c r="J366" s="111"/>
      <c r="K366" s="111"/>
    </row>
    <row r="367">
      <c r="A367" s="120"/>
      <c r="B367" s="117"/>
      <c r="C367" s="116"/>
      <c r="D367" s="120"/>
      <c r="E367" s="116"/>
      <c r="F367" s="117"/>
      <c r="G367" s="117"/>
      <c r="H367" s="111"/>
      <c r="I367" s="111"/>
      <c r="J367" s="111"/>
      <c r="K367" s="111"/>
    </row>
    <row r="368">
      <c r="A368" s="120"/>
      <c r="B368" s="117"/>
      <c r="C368" s="116"/>
      <c r="D368" s="120"/>
      <c r="E368" s="116"/>
      <c r="F368" s="117"/>
      <c r="G368" s="117"/>
      <c r="H368" s="111"/>
      <c r="I368" s="111"/>
      <c r="J368" s="111"/>
      <c r="K368" s="111"/>
    </row>
    <row r="369">
      <c r="A369" s="120"/>
      <c r="B369" s="117"/>
      <c r="C369" s="116"/>
      <c r="D369" s="120"/>
      <c r="E369" s="116"/>
      <c r="F369" s="117"/>
      <c r="G369" s="117"/>
      <c r="H369" s="111"/>
      <c r="I369" s="111"/>
      <c r="J369" s="111"/>
      <c r="K369" s="111"/>
    </row>
    <row r="370">
      <c r="A370" s="120"/>
      <c r="B370" s="117"/>
      <c r="C370" s="116"/>
      <c r="D370" s="120"/>
      <c r="E370" s="116"/>
      <c r="F370" s="117"/>
      <c r="G370" s="117"/>
      <c r="H370" s="111"/>
      <c r="I370" s="111"/>
      <c r="J370" s="111"/>
      <c r="K370" s="111"/>
    </row>
    <row r="371">
      <c r="A371" s="120"/>
      <c r="B371" s="117"/>
      <c r="C371" s="116"/>
      <c r="D371" s="120"/>
      <c r="E371" s="116"/>
      <c r="F371" s="117"/>
      <c r="G371" s="117"/>
      <c r="H371" s="111"/>
      <c r="I371" s="111"/>
      <c r="J371" s="111"/>
      <c r="K371" s="111"/>
    </row>
    <row r="372">
      <c r="A372" s="120"/>
      <c r="B372" s="117"/>
      <c r="C372" s="116"/>
      <c r="D372" s="120"/>
      <c r="E372" s="116"/>
      <c r="F372" s="117"/>
      <c r="G372" s="117"/>
      <c r="H372" s="111"/>
      <c r="I372" s="111"/>
      <c r="J372" s="111"/>
      <c r="K372" s="111"/>
    </row>
    <row r="373">
      <c r="A373" s="120"/>
      <c r="B373" s="117"/>
      <c r="C373" s="116"/>
      <c r="D373" s="120"/>
      <c r="E373" s="116"/>
      <c r="F373" s="117"/>
      <c r="G373" s="117"/>
      <c r="H373" s="111"/>
      <c r="I373" s="111"/>
      <c r="J373" s="111"/>
      <c r="K373" s="111"/>
    </row>
    <row r="374">
      <c r="A374" s="120"/>
      <c r="B374" s="117"/>
      <c r="C374" s="116"/>
      <c r="D374" s="120"/>
      <c r="E374" s="116"/>
      <c r="F374" s="117"/>
      <c r="G374" s="117"/>
      <c r="H374" s="111"/>
      <c r="I374" s="111"/>
      <c r="J374" s="111"/>
      <c r="K374" s="111"/>
    </row>
    <row r="375">
      <c r="A375" s="120"/>
      <c r="B375" s="117"/>
      <c r="C375" s="116"/>
      <c r="D375" s="120"/>
      <c r="E375" s="116"/>
      <c r="F375" s="117"/>
      <c r="G375" s="117"/>
      <c r="H375" s="111"/>
      <c r="I375" s="111"/>
      <c r="J375" s="111"/>
      <c r="K375" s="111"/>
    </row>
    <row r="376">
      <c r="A376" s="120"/>
      <c r="B376" s="117"/>
      <c r="C376" s="116"/>
      <c r="D376" s="120"/>
      <c r="E376" s="116"/>
      <c r="F376" s="117"/>
      <c r="G376" s="117"/>
      <c r="H376" s="111"/>
      <c r="I376" s="111"/>
      <c r="J376" s="111"/>
      <c r="K376" s="111"/>
    </row>
    <row r="377">
      <c r="A377" s="120"/>
      <c r="B377" s="117"/>
      <c r="C377" s="116"/>
      <c r="D377" s="120"/>
      <c r="E377" s="116"/>
      <c r="F377" s="117"/>
      <c r="G377" s="117"/>
      <c r="H377" s="111"/>
      <c r="I377" s="111"/>
      <c r="J377" s="111"/>
      <c r="K377" s="111"/>
    </row>
    <row r="378">
      <c r="A378" s="120"/>
      <c r="B378" s="117"/>
      <c r="C378" s="116"/>
      <c r="D378" s="120"/>
      <c r="E378" s="116"/>
      <c r="F378" s="117"/>
      <c r="G378" s="117"/>
      <c r="H378" s="111"/>
      <c r="I378" s="111"/>
      <c r="J378" s="111"/>
      <c r="K378" s="111"/>
    </row>
    <row r="379">
      <c r="A379" s="120"/>
      <c r="B379" s="117"/>
      <c r="C379" s="116"/>
      <c r="D379" s="120"/>
      <c r="E379" s="116"/>
      <c r="F379" s="117"/>
      <c r="G379" s="117"/>
      <c r="H379" s="111"/>
      <c r="I379" s="111"/>
      <c r="J379" s="111"/>
      <c r="K379" s="111"/>
    </row>
    <row r="380">
      <c r="A380" s="120"/>
      <c r="B380" s="117"/>
      <c r="C380" s="116"/>
      <c r="D380" s="120"/>
      <c r="E380" s="116"/>
      <c r="F380" s="117"/>
      <c r="G380" s="117"/>
      <c r="H380" s="111"/>
      <c r="I380" s="111"/>
      <c r="J380" s="111"/>
      <c r="K380" s="111"/>
    </row>
    <row r="381">
      <c r="A381" s="120"/>
      <c r="B381" s="117"/>
      <c r="C381" s="116"/>
      <c r="D381" s="120"/>
      <c r="E381" s="116"/>
      <c r="F381" s="117"/>
      <c r="G381" s="117"/>
      <c r="H381" s="111"/>
      <c r="I381" s="111"/>
      <c r="J381" s="111"/>
      <c r="K381" s="111"/>
    </row>
    <row r="382">
      <c r="A382" s="120"/>
      <c r="B382" s="117"/>
      <c r="C382" s="116"/>
      <c r="D382" s="120"/>
      <c r="E382" s="116"/>
      <c r="F382" s="117"/>
      <c r="G382" s="117"/>
      <c r="H382" s="111"/>
      <c r="I382" s="111"/>
      <c r="J382" s="111"/>
      <c r="K382" s="111"/>
    </row>
    <row r="383">
      <c r="A383" s="120"/>
      <c r="B383" s="117"/>
      <c r="C383" s="116"/>
      <c r="D383" s="120"/>
      <c r="E383" s="116"/>
      <c r="F383" s="117"/>
      <c r="G383" s="117"/>
      <c r="H383" s="111"/>
      <c r="I383" s="111"/>
      <c r="J383" s="111"/>
      <c r="K383" s="111"/>
    </row>
    <row r="384">
      <c r="A384" s="120"/>
      <c r="B384" s="117"/>
      <c r="C384" s="116"/>
      <c r="D384" s="120"/>
      <c r="E384" s="116"/>
      <c r="F384" s="117"/>
      <c r="G384" s="117"/>
      <c r="H384" s="111"/>
      <c r="I384" s="111"/>
      <c r="J384" s="111"/>
      <c r="K384" s="111"/>
    </row>
    <row r="385">
      <c r="A385" s="120"/>
      <c r="B385" s="117"/>
      <c r="C385" s="116"/>
      <c r="D385" s="120"/>
      <c r="E385" s="116"/>
      <c r="F385" s="117"/>
      <c r="G385" s="117"/>
      <c r="H385" s="111"/>
      <c r="I385" s="111"/>
      <c r="J385" s="111"/>
      <c r="K385" s="111"/>
    </row>
    <row r="386">
      <c r="A386" s="120"/>
      <c r="B386" s="117"/>
      <c r="C386" s="116"/>
      <c r="D386" s="120"/>
      <c r="E386" s="116"/>
      <c r="F386" s="117"/>
      <c r="G386" s="117"/>
      <c r="H386" s="111"/>
      <c r="I386" s="111"/>
      <c r="J386" s="111"/>
      <c r="K386" s="111"/>
    </row>
    <row r="387">
      <c r="A387" s="120"/>
      <c r="B387" s="117"/>
      <c r="C387" s="116"/>
      <c r="D387" s="120"/>
      <c r="E387" s="116"/>
      <c r="F387" s="117"/>
      <c r="G387" s="117"/>
      <c r="H387" s="111"/>
      <c r="I387" s="111"/>
      <c r="J387" s="111"/>
      <c r="K387" s="111"/>
    </row>
    <row r="388">
      <c r="A388" s="120"/>
      <c r="B388" s="117"/>
      <c r="C388" s="116"/>
      <c r="D388" s="120"/>
      <c r="E388" s="116"/>
      <c r="F388" s="117"/>
      <c r="G388" s="117"/>
      <c r="H388" s="111"/>
      <c r="I388" s="111"/>
      <c r="J388" s="111"/>
      <c r="K388" s="111"/>
    </row>
    <row r="389">
      <c r="A389" s="120"/>
      <c r="B389" s="117"/>
      <c r="C389" s="116"/>
      <c r="D389" s="120"/>
      <c r="E389" s="116"/>
      <c r="F389" s="117"/>
      <c r="G389" s="117"/>
      <c r="H389" s="111"/>
      <c r="I389" s="111"/>
      <c r="J389" s="111"/>
      <c r="K389" s="111"/>
    </row>
    <row r="390">
      <c r="A390" s="120"/>
      <c r="B390" s="117"/>
      <c r="C390" s="116"/>
      <c r="D390" s="120"/>
      <c r="E390" s="116"/>
      <c r="F390" s="117"/>
      <c r="G390" s="117"/>
      <c r="H390" s="111"/>
      <c r="I390" s="111"/>
      <c r="J390" s="111"/>
      <c r="K390" s="111"/>
    </row>
    <row r="391">
      <c r="A391" s="120"/>
      <c r="B391" s="117"/>
      <c r="C391" s="116"/>
      <c r="D391" s="120"/>
      <c r="E391" s="116"/>
      <c r="F391" s="117"/>
      <c r="G391" s="117"/>
      <c r="H391" s="111"/>
      <c r="I391" s="111"/>
      <c r="J391" s="111"/>
      <c r="K391" s="111"/>
    </row>
    <row r="392">
      <c r="A392" s="120"/>
      <c r="B392" s="117"/>
      <c r="C392" s="116"/>
      <c r="D392" s="120"/>
      <c r="E392" s="116"/>
      <c r="F392" s="117"/>
      <c r="G392" s="117"/>
      <c r="H392" s="111"/>
      <c r="I392" s="111"/>
      <c r="J392" s="111"/>
      <c r="K392" s="111"/>
    </row>
    <row r="393">
      <c r="A393" s="120"/>
      <c r="B393" s="117"/>
      <c r="C393" s="116"/>
      <c r="D393" s="120"/>
      <c r="E393" s="116"/>
      <c r="F393" s="117"/>
      <c r="G393" s="117"/>
      <c r="H393" s="111"/>
      <c r="I393" s="111"/>
      <c r="J393" s="111"/>
      <c r="K393" s="111"/>
    </row>
    <row r="394">
      <c r="A394" s="120"/>
      <c r="B394" s="117"/>
      <c r="C394" s="116"/>
      <c r="D394" s="120"/>
      <c r="E394" s="116"/>
      <c r="F394" s="117"/>
      <c r="G394" s="117"/>
      <c r="H394" s="111"/>
      <c r="I394" s="111"/>
      <c r="J394" s="111"/>
      <c r="K394" s="111"/>
    </row>
    <row r="395">
      <c r="A395" s="120"/>
      <c r="B395" s="117"/>
      <c r="C395" s="116"/>
      <c r="D395" s="120"/>
      <c r="E395" s="116"/>
      <c r="F395" s="117"/>
      <c r="G395" s="117"/>
      <c r="H395" s="111"/>
      <c r="I395" s="111"/>
      <c r="J395" s="111"/>
      <c r="K395" s="111"/>
    </row>
    <row r="396">
      <c r="A396" s="120"/>
      <c r="B396" s="117"/>
      <c r="C396" s="116"/>
      <c r="D396" s="120"/>
      <c r="E396" s="116"/>
      <c r="F396" s="117"/>
      <c r="G396" s="117"/>
      <c r="H396" s="111"/>
      <c r="I396" s="111"/>
      <c r="J396" s="111"/>
      <c r="K396" s="111"/>
    </row>
    <row r="397">
      <c r="A397" s="120"/>
      <c r="B397" s="117"/>
      <c r="C397" s="116"/>
      <c r="D397" s="120"/>
      <c r="E397" s="116"/>
      <c r="F397" s="117"/>
      <c r="G397" s="117"/>
      <c r="H397" s="111"/>
      <c r="I397" s="111"/>
      <c r="J397" s="111"/>
      <c r="K397" s="111"/>
    </row>
    <row r="398">
      <c r="A398" s="120"/>
      <c r="B398" s="117"/>
      <c r="C398" s="116"/>
      <c r="D398" s="120"/>
      <c r="E398" s="116"/>
      <c r="F398" s="117"/>
      <c r="G398" s="117"/>
      <c r="H398" s="111"/>
      <c r="I398" s="111"/>
      <c r="J398" s="111"/>
      <c r="K398" s="111"/>
    </row>
    <row r="399">
      <c r="A399" s="120"/>
      <c r="B399" s="117"/>
      <c r="C399" s="116"/>
      <c r="D399" s="120"/>
      <c r="E399" s="116"/>
      <c r="F399" s="117"/>
      <c r="G399" s="117"/>
      <c r="H399" s="111"/>
      <c r="I399" s="111"/>
      <c r="J399" s="111"/>
      <c r="K399" s="111"/>
    </row>
    <row r="400">
      <c r="A400" s="120"/>
      <c r="B400" s="117"/>
      <c r="C400" s="116"/>
      <c r="D400" s="120"/>
      <c r="E400" s="116"/>
      <c r="F400" s="117"/>
      <c r="G400" s="117"/>
      <c r="H400" s="111"/>
      <c r="I400" s="111"/>
      <c r="J400" s="111"/>
      <c r="K400" s="111"/>
    </row>
    <row r="401">
      <c r="A401" s="120"/>
      <c r="B401" s="117"/>
      <c r="C401" s="116"/>
      <c r="D401" s="120"/>
      <c r="E401" s="116"/>
      <c r="F401" s="117"/>
      <c r="G401" s="117"/>
      <c r="H401" s="111"/>
      <c r="I401" s="111"/>
      <c r="J401" s="111"/>
      <c r="K401" s="111"/>
    </row>
    <row r="402">
      <c r="A402" s="120"/>
      <c r="B402" s="117"/>
      <c r="C402" s="116"/>
      <c r="D402" s="120"/>
      <c r="E402" s="116"/>
      <c r="F402" s="117"/>
      <c r="G402" s="117"/>
      <c r="H402" s="111"/>
      <c r="I402" s="111"/>
      <c r="J402" s="111"/>
      <c r="K402" s="111"/>
    </row>
    <row r="403">
      <c r="A403" s="120"/>
      <c r="B403" s="117"/>
      <c r="C403" s="116"/>
      <c r="D403" s="120"/>
      <c r="E403" s="116"/>
      <c r="F403" s="117"/>
      <c r="G403" s="117"/>
      <c r="H403" s="111"/>
      <c r="I403" s="111"/>
      <c r="J403" s="111"/>
      <c r="K403" s="111"/>
    </row>
    <row r="404">
      <c r="A404" s="120"/>
      <c r="B404" s="117"/>
      <c r="C404" s="116"/>
      <c r="D404" s="120"/>
      <c r="E404" s="116"/>
      <c r="F404" s="117"/>
      <c r="G404" s="117"/>
      <c r="H404" s="111"/>
      <c r="I404" s="111"/>
      <c r="J404" s="111"/>
      <c r="K404" s="111"/>
    </row>
    <row r="405">
      <c r="A405" s="120"/>
      <c r="B405" s="117"/>
      <c r="C405" s="116"/>
      <c r="D405" s="120"/>
      <c r="E405" s="116"/>
      <c r="F405" s="117"/>
      <c r="G405" s="117"/>
      <c r="H405" s="111"/>
      <c r="I405" s="111"/>
      <c r="J405" s="111"/>
      <c r="K405" s="111"/>
    </row>
    <row r="406">
      <c r="A406" s="120"/>
      <c r="B406" s="117"/>
      <c r="C406" s="116"/>
      <c r="D406" s="120"/>
      <c r="E406" s="116"/>
      <c r="F406" s="117"/>
      <c r="G406" s="117"/>
      <c r="H406" s="111"/>
      <c r="I406" s="111"/>
      <c r="J406" s="111"/>
      <c r="K406" s="111"/>
    </row>
    <row r="407">
      <c r="A407" s="120"/>
      <c r="B407" s="117"/>
      <c r="C407" s="116"/>
      <c r="D407" s="120"/>
      <c r="E407" s="116"/>
      <c r="F407" s="117"/>
      <c r="G407" s="117"/>
      <c r="H407" s="111"/>
      <c r="I407" s="111"/>
      <c r="J407" s="111"/>
      <c r="K407" s="111"/>
    </row>
    <row r="408">
      <c r="A408" s="120"/>
      <c r="B408" s="117"/>
      <c r="C408" s="116"/>
      <c r="D408" s="120"/>
      <c r="E408" s="116"/>
      <c r="F408" s="117"/>
      <c r="G408" s="117"/>
      <c r="H408" s="111"/>
      <c r="I408" s="111"/>
      <c r="J408" s="111"/>
      <c r="K408" s="111"/>
    </row>
    <row r="409">
      <c r="A409" s="120"/>
      <c r="B409" s="117"/>
      <c r="C409" s="116"/>
      <c r="D409" s="120"/>
      <c r="E409" s="116"/>
      <c r="F409" s="117"/>
      <c r="G409" s="117"/>
      <c r="H409" s="111"/>
      <c r="I409" s="111"/>
      <c r="J409" s="111"/>
      <c r="K409" s="111"/>
    </row>
    <row r="410">
      <c r="A410" s="120"/>
      <c r="B410" s="117"/>
      <c r="C410" s="116"/>
      <c r="D410" s="120"/>
      <c r="E410" s="116"/>
      <c r="F410" s="117"/>
      <c r="G410" s="117"/>
      <c r="H410" s="111"/>
      <c r="I410" s="111"/>
      <c r="J410" s="111"/>
      <c r="K410" s="111"/>
    </row>
    <row r="411">
      <c r="A411" s="120"/>
      <c r="B411" s="117"/>
      <c r="C411" s="116"/>
      <c r="D411" s="120"/>
      <c r="E411" s="116"/>
      <c r="F411" s="117"/>
      <c r="G411" s="117"/>
      <c r="H411" s="111"/>
      <c r="I411" s="111"/>
      <c r="J411" s="111"/>
      <c r="K411" s="111"/>
    </row>
    <row r="412">
      <c r="A412" s="120"/>
      <c r="B412" s="117"/>
      <c r="C412" s="116"/>
      <c r="D412" s="120"/>
      <c r="E412" s="116"/>
      <c r="F412" s="117"/>
      <c r="G412" s="117"/>
      <c r="H412" s="111"/>
      <c r="I412" s="111"/>
      <c r="J412" s="111"/>
      <c r="K412" s="111"/>
    </row>
    <row r="413">
      <c r="A413" s="120"/>
      <c r="B413" s="117"/>
      <c r="C413" s="116"/>
      <c r="D413" s="120"/>
      <c r="E413" s="116"/>
      <c r="F413" s="117"/>
      <c r="G413" s="117"/>
      <c r="H413" s="111"/>
      <c r="I413" s="111"/>
      <c r="J413" s="111"/>
      <c r="K413" s="111"/>
    </row>
    <row r="414">
      <c r="A414" s="120"/>
      <c r="B414" s="117"/>
      <c r="C414" s="116"/>
      <c r="D414" s="120"/>
      <c r="E414" s="116"/>
      <c r="F414" s="117"/>
      <c r="G414" s="117"/>
      <c r="H414" s="111"/>
      <c r="I414" s="111"/>
      <c r="J414" s="111"/>
      <c r="K414" s="111"/>
    </row>
    <row r="415">
      <c r="A415" s="120"/>
      <c r="B415" s="117"/>
      <c r="C415" s="116"/>
      <c r="D415" s="120"/>
      <c r="E415" s="116"/>
      <c r="F415" s="117"/>
      <c r="G415" s="117"/>
      <c r="H415" s="111"/>
      <c r="I415" s="111"/>
      <c r="J415" s="111"/>
      <c r="K415" s="111"/>
    </row>
    <row r="416">
      <c r="A416" s="120"/>
      <c r="B416" s="117"/>
      <c r="C416" s="116"/>
      <c r="D416" s="120"/>
      <c r="E416" s="116"/>
      <c r="F416" s="117"/>
      <c r="G416" s="117"/>
      <c r="H416" s="111"/>
      <c r="I416" s="111"/>
      <c r="J416" s="111"/>
      <c r="K416" s="111"/>
    </row>
    <row r="417">
      <c r="A417" s="120"/>
      <c r="B417" s="117"/>
      <c r="C417" s="116"/>
      <c r="D417" s="120"/>
      <c r="E417" s="116"/>
      <c r="F417" s="117"/>
      <c r="G417" s="117"/>
      <c r="H417" s="111"/>
      <c r="I417" s="111"/>
      <c r="J417" s="111"/>
      <c r="K417" s="111"/>
    </row>
    <row r="418">
      <c r="A418" s="120"/>
      <c r="B418" s="117"/>
      <c r="C418" s="116"/>
      <c r="D418" s="120"/>
      <c r="E418" s="116"/>
      <c r="F418" s="117"/>
      <c r="G418" s="117"/>
      <c r="H418" s="111"/>
      <c r="I418" s="111"/>
      <c r="J418" s="111"/>
      <c r="K418" s="111"/>
    </row>
    <row r="419">
      <c r="A419" s="120"/>
      <c r="B419" s="117"/>
      <c r="C419" s="116"/>
      <c r="D419" s="120"/>
      <c r="E419" s="116"/>
      <c r="F419" s="117"/>
      <c r="G419" s="117"/>
      <c r="H419" s="111"/>
      <c r="I419" s="111"/>
      <c r="J419" s="111"/>
      <c r="K419" s="111"/>
    </row>
    <row r="420">
      <c r="A420" s="120"/>
      <c r="B420" s="117"/>
      <c r="C420" s="116"/>
      <c r="D420" s="120"/>
      <c r="E420" s="116"/>
      <c r="F420" s="117"/>
      <c r="G420" s="117"/>
      <c r="H420" s="111"/>
      <c r="I420" s="111"/>
      <c r="J420" s="111"/>
      <c r="K420" s="111"/>
    </row>
    <row r="421">
      <c r="A421" s="120"/>
      <c r="B421" s="117"/>
      <c r="C421" s="116"/>
      <c r="D421" s="120"/>
      <c r="E421" s="116"/>
      <c r="F421" s="117"/>
      <c r="G421" s="117"/>
      <c r="H421" s="111"/>
      <c r="I421" s="111"/>
      <c r="J421" s="111"/>
      <c r="K421" s="111"/>
    </row>
    <row r="422">
      <c r="A422" s="120"/>
      <c r="B422" s="117"/>
      <c r="C422" s="116"/>
      <c r="D422" s="120"/>
      <c r="E422" s="116"/>
      <c r="F422" s="117"/>
      <c r="G422" s="117"/>
      <c r="H422" s="111"/>
      <c r="I422" s="111"/>
      <c r="J422" s="111"/>
      <c r="K422" s="111"/>
    </row>
    <row r="423">
      <c r="A423" s="120"/>
      <c r="B423" s="117"/>
      <c r="C423" s="116"/>
      <c r="D423" s="120"/>
      <c r="E423" s="116"/>
      <c r="F423" s="117"/>
      <c r="G423" s="117"/>
      <c r="H423" s="111"/>
      <c r="I423" s="111"/>
      <c r="J423" s="111"/>
      <c r="K423" s="111"/>
    </row>
    <row r="424">
      <c r="A424" s="120"/>
      <c r="B424" s="117"/>
      <c r="C424" s="116"/>
      <c r="D424" s="120"/>
      <c r="E424" s="116"/>
      <c r="F424" s="117"/>
      <c r="G424" s="117"/>
      <c r="H424" s="111"/>
      <c r="I424" s="111"/>
      <c r="J424" s="111"/>
      <c r="K424" s="111"/>
    </row>
    <row r="425">
      <c r="A425" s="120"/>
      <c r="B425" s="117"/>
      <c r="C425" s="116"/>
      <c r="D425" s="120"/>
      <c r="E425" s="116"/>
      <c r="F425" s="117"/>
      <c r="G425" s="117"/>
      <c r="H425" s="111"/>
      <c r="I425" s="111"/>
      <c r="J425" s="111"/>
      <c r="K425" s="111"/>
    </row>
    <row r="426">
      <c r="A426" s="120"/>
      <c r="B426" s="117"/>
      <c r="C426" s="116"/>
      <c r="D426" s="120"/>
      <c r="E426" s="116"/>
      <c r="F426" s="117"/>
      <c r="G426" s="117"/>
      <c r="H426" s="111"/>
      <c r="I426" s="111"/>
      <c r="J426" s="111"/>
      <c r="K426" s="111"/>
    </row>
    <row r="427">
      <c r="A427" s="120"/>
      <c r="B427" s="117"/>
      <c r="C427" s="116"/>
      <c r="D427" s="120"/>
      <c r="E427" s="116"/>
      <c r="F427" s="117"/>
      <c r="G427" s="117"/>
      <c r="H427" s="111"/>
      <c r="I427" s="111"/>
      <c r="J427" s="111"/>
      <c r="K427" s="111"/>
    </row>
    <row r="428">
      <c r="A428" s="120"/>
      <c r="B428" s="117"/>
      <c r="C428" s="116"/>
      <c r="D428" s="120"/>
      <c r="E428" s="116"/>
      <c r="F428" s="117"/>
      <c r="G428" s="117"/>
      <c r="H428" s="111"/>
      <c r="I428" s="111"/>
      <c r="J428" s="111"/>
      <c r="K428" s="111"/>
    </row>
    <row r="429">
      <c r="A429" s="120"/>
      <c r="B429" s="117"/>
      <c r="C429" s="116"/>
      <c r="D429" s="120"/>
      <c r="E429" s="116"/>
      <c r="F429" s="117"/>
      <c r="G429" s="117"/>
      <c r="H429" s="111"/>
      <c r="I429" s="111"/>
      <c r="J429" s="111"/>
      <c r="K429" s="111"/>
    </row>
    <row r="430">
      <c r="A430" s="120"/>
      <c r="B430" s="117"/>
      <c r="C430" s="116"/>
      <c r="D430" s="120"/>
      <c r="E430" s="116"/>
      <c r="F430" s="117"/>
      <c r="G430" s="117"/>
      <c r="H430" s="111"/>
      <c r="I430" s="111"/>
      <c r="J430" s="111"/>
      <c r="K430" s="111"/>
    </row>
    <row r="431">
      <c r="A431" s="120"/>
      <c r="B431" s="117"/>
      <c r="C431" s="116"/>
      <c r="D431" s="120"/>
      <c r="E431" s="116"/>
      <c r="F431" s="117"/>
      <c r="G431" s="117"/>
      <c r="H431" s="111"/>
      <c r="I431" s="111"/>
      <c r="J431" s="111"/>
      <c r="K431" s="111"/>
    </row>
    <row r="432">
      <c r="A432" s="120"/>
      <c r="B432" s="117"/>
      <c r="C432" s="116"/>
      <c r="D432" s="120"/>
      <c r="E432" s="116"/>
      <c r="F432" s="117"/>
      <c r="G432" s="117"/>
      <c r="H432" s="111"/>
      <c r="I432" s="111"/>
      <c r="J432" s="111"/>
      <c r="K432" s="111"/>
    </row>
    <row r="433">
      <c r="A433" s="120"/>
      <c r="B433" s="117"/>
      <c r="C433" s="116"/>
      <c r="D433" s="120"/>
      <c r="E433" s="116"/>
      <c r="F433" s="117"/>
      <c r="G433" s="117"/>
      <c r="H433" s="111"/>
      <c r="I433" s="111"/>
      <c r="J433" s="111"/>
      <c r="K433" s="111"/>
    </row>
    <row r="434">
      <c r="A434" s="120"/>
      <c r="B434" s="117"/>
      <c r="C434" s="116"/>
      <c r="D434" s="120"/>
      <c r="E434" s="116"/>
      <c r="F434" s="117"/>
      <c r="G434" s="117"/>
      <c r="H434" s="111"/>
      <c r="I434" s="111"/>
      <c r="J434" s="111"/>
      <c r="K434" s="111"/>
    </row>
    <row r="435">
      <c r="A435" s="120"/>
      <c r="B435" s="117"/>
      <c r="C435" s="116"/>
      <c r="D435" s="120"/>
      <c r="E435" s="116"/>
      <c r="F435" s="117"/>
      <c r="G435" s="117"/>
      <c r="H435" s="111"/>
      <c r="I435" s="111"/>
      <c r="J435" s="111"/>
      <c r="K435" s="111"/>
    </row>
    <row r="436">
      <c r="A436" s="120"/>
      <c r="B436" s="117"/>
      <c r="C436" s="116"/>
      <c r="D436" s="120"/>
      <c r="E436" s="116"/>
      <c r="F436" s="117"/>
      <c r="G436" s="117"/>
      <c r="H436" s="111"/>
      <c r="I436" s="111"/>
      <c r="J436" s="111"/>
      <c r="K436" s="111"/>
    </row>
    <row r="437">
      <c r="A437" s="120"/>
      <c r="B437" s="117"/>
      <c r="C437" s="116"/>
      <c r="D437" s="120"/>
      <c r="E437" s="116"/>
      <c r="F437" s="117"/>
      <c r="G437" s="117"/>
      <c r="H437" s="111"/>
      <c r="I437" s="111"/>
      <c r="J437" s="111"/>
      <c r="K437" s="111"/>
    </row>
    <row r="438">
      <c r="A438" s="120"/>
      <c r="B438" s="117"/>
      <c r="C438" s="116"/>
      <c r="D438" s="120"/>
      <c r="E438" s="116"/>
      <c r="F438" s="117"/>
      <c r="G438" s="117"/>
      <c r="H438" s="111"/>
      <c r="I438" s="111"/>
      <c r="J438" s="111"/>
      <c r="K438" s="111"/>
    </row>
    <row r="439">
      <c r="A439" s="120"/>
      <c r="B439" s="117"/>
      <c r="C439" s="116"/>
      <c r="D439" s="120"/>
      <c r="E439" s="116"/>
      <c r="F439" s="117"/>
      <c r="G439" s="117"/>
      <c r="H439" s="111"/>
      <c r="I439" s="111"/>
      <c r="J439" s="111"/>
      <c r="K439" s="111"/>
    </row>
    <row r="440">
      <c r="A440" s="120"/>
      <c r="B440" s="117"/>
      <c r="C440" s="116"/>
      <c r="D440" s="120"/>
      <c r="E440" s="116"/>
      <c r="F440" s="117"/>
      <c r="G440" s="117"/>
      <c r="H440" s="111"/>
      <c r="I440" s="111"/>
      <c r="J440" s="111"/>
      <c r="K440" s="111"/>
    </row>
    <row r="441">
      <c r="A441" s="120"/>
      <c r="B441" s="117"/>
      <c r="C441" s="116"/>
      <c r="D441" s="120"/>
      <c r="E441" s="116"/>
      <c r="F441" s="117"/>
      <c r="G441" s="117"/>
      <c r="H441" s="111"/>
      <c r="I441" s="111"/>
      <c r="J441" s="111"/>
      <c r="K441" s="111"/>
    </row>
    <row r="442">
      <c r="A442" s="120"/>
      <c r="B442" s="117"/>
      <c r="C442" s="116"/>
      <c r="D442" s="120"/>
      <c r="E442" s="116"/>
      <c r="F442" s="117"/>
      <c r="G442" s="117"/>
      <c r="H442" s="111"/>
      <c r="I442" s="111"/>
      <c r="J442" s="111"/>
      <c r="K442" s="111"/>
    </row>
    <row r="443">
      <c r="A443" s="120"/>
      <c r="B443" s="117"/>
      <c r="C443" s="116"/>
      <c r="D443" s="120"/>
      <c r="E443" s="116"/>
      <c r="F443" s="117"/>
      <c r="G443" s="117"/>
      <c r="H443" s="111"/>
      <c r="I443" s="111"/>
      <c r="J443" s="111"/>
      <c r="K443" s="111"/>
    </row>
    <row r="444">
      <c r="A444" s="120"/>
      <c r="B444" s="117"/>
      <c r="C444" s="116"/>
      <c r="D444" s="120"/>
      <c r="E444" s="116"/>
      <c r="F444" s="117"/>
      <c r="G444" s="117"/>
      <c r="H444" s="111"/>
      <c r="I444" s="111"/>
      <c r="J444" s="111"/>
      <c r="K444" s="111"/>
    </row>
    <row r="445">
      <c r="A445" s="120"/>
      <c r="B445" s="117"/>
      <c r="C445" s="116"/>
      <c r="D445" s="120"/>
      <c r="E445" s="116"/>
      <c r="F445" s="117"/>
      <c r="G445" s="117"/>
      <c r="H445" s="111"/>
      <c r="I445" s="111"/>
      <c r="J445" s="111"/>
      <c r="K445" s="111"/>
    </row>
    <row r="446">
      <c r="A446" s="120"/>
      <c r="B446" s="117"/>
      <c r="C446" s="116"/>
      <c r="D446" s="120"/>
      <c r="E446" s="116"/>
      <c r="F446" s="117"/>
      <c r="G446" s="117"/>
      <c r="H446" s="111"/>
      <c r="I446" s="111"/>
      <c r="J446" s="111"/>
      <c r="K446" s="111"/>
    </row>
    <row r="447">
      <c r="A447" s="120"/>
      <c r="B447" s="117"/>
      <c r="C447" s="116"/>
      <c r="D447" s="120"/>
      <c r="E447" s="116"/>
      <c r="F447" s="117"/>
      <c r="G447" s="117"/>
      <c r="H447" s="111"/>
      <c r="I447" s="111"/>
      <c r="J447" s="111"/>
      <c r="K447" s="111"/>
    </row>
    <row r="448">
      <c r="A448" s="120"/>
      <c r="B448" s="117"/>
      <c r="C448" s="116"/>
      <c r="D448" s="120"/>
      <c r="E448" s="116"/>
      <c r="F448" s="117"/>
      <c r="G448" s="117"/>
      <c r="H448" s="111"/>
      <c r="I448" s="111"/>
      <c r="J448" s="111"/>
      <c r="K448" s="111"/>
    </row>
    <row r="449">
      <c r="A449" s="120"/>
      <c r="B449" s="117"/>
      <c r="C449" s="116"/>
      <c r="D449" s="120"/>
      <c r="E449" s="116"/>
      <c r="F449" s="117"/>
      <c r="G449" s="117"/>
      <c r="H449" s="111"/>
      <c r="I449" s="111"/>
      <c r="J449" s="111"/>
      <c r="K449" s="111"/>
    </row>
    <row r="450">
      <c r="A450" s="120"/>
      <c r="B450" s="117"/>
      <c r="C450" s="116"/>
      <c r="D450" s="120"/>
      <c r="E450" s="116"/>
      <c r="F450" s="117"/>
      <c r="G450" s="117"/>
      <c r="H450" s="111"/>
      <c r="I450" s="111"/>
      <c r="J450" s="111"/>
      <c r="K450" s="111"/>
    </row>
    <row r="451">
      <c r="A451" s="120"/>
      <c r="B451" s="117"/>
      <c r="C451" s="116"/>
      <c r="D451" s="120"/>
      <c r="E451" s="116"/>
      <c r="F451" s="117"/>
      <c r="G451" s="117"/>
      <c r="H451" s="111"/>
      <c r="I451" s="111"/>
      <c r="J451" s="111"/>
      <c r="K451" s="111"/>
    </row>
    <row r="452">
      <c r="A452" s="120"/>
      <c r="B452" s="117"/>
      <c r="C452" s="116"/>
      <c r="D452" s="120"/>
      <c r="E452" s="116"/>
      <c r="F452" s="117"/>
      <c r="G452" s="117"/>
      <c r="H452" s="111"/>
      <c r="I452" s="111"/>
      <c r="J452" s="111"/>
      <c r="K452" s="111"/>
    </row>
    <row r="453">
      <c r="A453" s="120"/>
      <c r="B453" s="117"/>
      <c r="C453" s="116"/>
      <c r="D453" s="120"/>
      <c r="E453" s="116"/>
      <c r="F453" s="117"/>
      <c r="G453" s="117"/>
      <c r="H453" s="111"/>
      <c r="I453" s="111"/>
      <c r="J453" s="111"/>
      <c r="K453" s="111"/>
    </row>
    <row r="454">
      <c r="A454" s="120"/>
      <c r="B454" s="117"/>
      <c r="C454" s="116"/>
      <c r="D454" s="120"/>
      <c r="E454" s="116"/>
      <c r="F454" s="117"/>
      <c r="G454" s="117"/>
      <c r="H454" s="111"/>
      <c r="I454" s="111"/>
      <c r="J454" s="111"/>
      <c r="K454" s="111"/>
    </row>
    <row r="455">
      <c r="A455" s="120"/>
      <c r="B455" s="117"/>
      <c r="C455" s="116"/>
      <c r="D455" s="120"/>
      <c r="E455" s="116"/>
      <c r="F455" s="117"/>
      <c r="G455" s="117"/>
      <c r="H455" s="111"/>
      <c r="I455" s="111"/>
      <c r="J455" s="111"/>
      <c r="K455" s="111"/>
    </row>
    <row r="456">
      <c r="A456" s="120"/>
      <c r="B456" s="117"/>
      <c r="C456" s="116"/>
      <c r="D456" s="120"/>
      <c r="E456" s="116"/>
      <c r="F456" s="117"/>
      <c r="G456" s="117"/>
      <c r="H456" s="111"/>
      <c r="I456" s="111"/>
      <c r="J456" s="111"/>
      <c r="K456" s="111"/>
    </row>
    <row r="457">
      <c r="A457" s="120"/>
      <c r="B457" s="117"/>
      <c r="C457" s="116"/>
      <c r="D457" s="120"/>
      <c r="E457" s="116"/>
      <c r="F457" s="117"/>
      <c r="G457" s="117"/>
      <c r="H457" s="111"/>
      <c r="I457" s="111"/>
      <c r="J457" s="111"/>
      <c r="K457" s="111"/>
    </row>
    <row r="458">
      <c r="A458" s="120"/>
      <c r="B458" s="117"/>
      <c r="C458" s="116"/>
      <c r="D458" s="120"/>
      <c r="E458" s="116"/>
      <c r="F458" s="117"/>
      <c r="G458" s="117"/>
      <c r="H458" s="111"/>
      <c r="I458" s="111"/>
      <c r="J458" s="111"/>
      <c r="K458" s="111"/>
    </row>
    <row r="459">
      <c r="A459" s="120"/>
      <c r="B459" s="117"/>
      <c r="C459" s="116"/>
      <c r="D459" s="120"/>
      <c r="E459" s="116"/>
      <c r="F459" s="117"/>
      <c r="G459" s="117"/>
      <c r="H459" s="111"/>
      <c r="I459" s="111"/>
      <c r="J459" s="111"/>
      <c r="K459" s="111"/>
    </row>
    <row r="460">
      <c r="A460" s="120"/>
      <c r="B460" s="117"/>
      <c r="C460" s="116"/>
      <c r="D460" s="120"/>
      <c r="E460" s="116"/>
      <c r="F460" s="117"/>
      <c r="G460" s="117"/>
      <c r="H460" s="111"/>
      <c r="I460" s="111"/>
      <c r="J460" s="111"/>
      <c r="K460" s="111"/>
    </row>
    <row r="461">
      <c r="A461" s="120"/>
      <c r="B461" s="117"/>
      <c r="C461" s="116"/>
      <c r="D461" s="120"/>
      <c r="E461" s="116"/>
      <c r="F461" s="117"/>
      <c r="G461" s="117"/>
      <c r="H461" s="111"/>
      <c r="I461" s="111"/>
      <c r="J461" s="111"/>
      <c r="K461" s="111"/>
    </row>
    <row r="462">
      <c r="A462" s="120"/>
      <c r="B462" s="117"/>
      <c r="C462" s="116"/>
      <c r="D462" s="120"/>
      <c r="E462" s="116"/>
      <c r="F462" s="117"/>
      <c r="G462" s="117"/>
      <c r="H462" s="111"/>
      <c r="I462" s="111"/>
      <c r="J462" s="111"/>
      <c r="K462" s="111"/>
    </row>
    <row r="463">
      <c r="A463" s="120"/>
      <c r="B463" s="117"/>
      <c r="C463" s="116"/>
      <c r="D463" s="120"/>
      <c r="E463" s="116"/>
      <c r="F463" s="117"/>
      <c r="G463" s="117"/>
      <c r="H463" s="111"/>
      <c r="I463" s="111"/>
      <c r="J463" s="111"/>
      <c r="K463" s="111"/>
    </row>
    <row r="464">
      <c r="A464" s="120"/>
      <c r="B464" s="117"/>
      <c r="C464" s="116"/>
      <c r="D464" s="120"/>
      <c r="E464" s="116"/>
      <c r="F464" s="117"/>
      <c r="G464" s="117"/>
      <c r="H464" s="111"/>
      <c r="I464" s="111"/>
      <c r="J464" s="111"/>
      <c r="K464" s="111"/>
    </row>
    <row r="465">
      <c r="A465" s="120"/>
      <c r="B465" s="117"/>
      <c r="C465" s="116"/>
      <c r="D465" s="120"/>
      <c r="E465" s="116"/>
      <c r="F465" s="117"/>
      <c r="G465" s="117"/>
      <c r="H465" s="111"/>
      <c r="I465" s="111"/>
      <c r="J465" s="111"/>
      <c r="K465" s="111"/>
    </row>
    <row r="466">
      <c r="A466" s="120"/>
      <c r="B466" s="117"/>
      <c r="C466" s="116"/>
      <c r="D466" s="120"/>
      <c r="E466" s="116"/>
      <c r="F466" s="117"/>
      <c r="G466" s="117"/>
      <c r="H466" s="111"/>
      <c r="I466" s="111"/>
      <c r="J466" s="111"/>
      <c r="K466" s="111"/>
    </row>
    <row r="467">
      <c r="A467" s="120"/>
      <c r="B467" s="117"/>
      <c r="C467" s="116"/>
      <c r="D467" s="120"/>
      <c r="E467" s="116"/>
      <c r="F467" s="117"/>
      <c r="G467" s="117"/>
      <c r="H467" s="111"/>
      <c r="I467" s="111"/>
      <c r="J467" s="111"/>
      <c r="K467" s="111"/>
    </row>
    <row r="468">
      <c r="A468" s="120"/>
      <c r="B468" s="117"/>
      <c r="C468" s="116"/>
      <c r="D468" s="120"/>
      <c r="E468" s="116"/>
      <c r="F468" s="117"/>
      <c r="G468" s="117"/>
      <c r="H468" s="111"/>
      <c r="I468" s="111"/>
      <c r="J468" s="111"/>
      <c r="K468" s="111"/>
    </row>
    <row r="469">
      <c r="A469" s="120"/>
      <c r="B469" s="117"/>
      <c r="C469" s="116"/>
      <c r="D469" s="120"/>
      <c r="E469" s="116"/>
      <c r="F469" s="117"/>
      <c r="G469" s="117"/>
      <c r="H469" s="111"/>
      <c r="I469" s="111"/>
      <c r="J469" s="111"/>
      <c r="K469" s="111"/>
    </row>
    <row r="470">
      <c r="A470" s="120"/>
      <c r="B470" s="117"/>
      <c r="C470" s="116"/>
      <c r="D470" s="120"/>
      <c r="E470" s="116"/>
      <c r="F470" s="117"/>
      <c r="G470" s="117"/>
      <c r="H470" s="111"/>
      <c r="I470" s="111"/>
      <c r="J470" s="111"/>
      <c r="K470" s="111"/>
    </row>
    <row r="471">
      <c r="A471" s="120"/>
      <c r="B471" s="117"/>
      <c r="C471" s="116"/>
      <c r="D471" s="120"/>
      <c r="E471" s="116"/>
      <c r="F471" s="117"/>
      <c r="G471" s="117"/>
      <c r="H471" s="111"/>
      <c r="I471" s="111"/>
      <c r="J471" s="111"/>
      <c r="K471" s="111"/>
    </row>
    <row r="472">
      <c r="A472" s="120"/>
      <c r="B472" s="117"/>
      <c r="C472" s="116"/>
      <c r="D472" s="120"/>
      <c r="E472" s="116"/>
      <c r="F472" s="117"/>
      <c r="G472" s="117"/>
      <c r="H472" s="111"/>
      <c r="I472" s="111"/>
      <c r="J472" s="111"/>
      <c r="K472" s="111"/>
    </row>
    <row r="473">
      <c r="A473" s="120"/>
      <c r="B473" s="117"/>
      <c r="C473" s="116"/>
      <c r="D473" s="120"/>
      <c r="E473" s="116"/>
      <c r="F473" s="117"/>
      <c r="G473" s="117"/>
      <c r="H473" s="111"/>
      <c r="I473" s="111"/>
      <c r="J473" s="111"/>
      <c r="K473" s="111"/>
    </row>
    <row r="474">
      <c r="A474" s="120"/>
      <c r="B474" s="117"/>
      <c r="C474" s="116"/>
      <c r="D474" s="120"/>
      <c r="E474" s="116"/>
      <c r="F474" s="117"/>
      <c r="G474" s="117"/>
      <c r="H474" s="111"/>
      <c r="I474" s="111"/>
      <c r="J474" s="111"/>
      <c r="K474" s="111"/>
    </row>
    <row r="475">
      <c r="A475" s="120"/>
      <c r="B475" s="117"/>
      <c r="C475" s="116"/>
      <c r="D475" s="120"/>
      <c r="E475" s="116"/>
      <c r="F475" s="117"/>
      <c r="G475" s="117"/>
      <c r="H475" s="111"/>
      <c r="I475" s="111"/>
      <c r="J475" s="111"/>
      <c r="K475" s="111"/>
    </row>
    <row r="476">
      <c r="A476" s="120"/>
      <c r="B476" s="117"/>
      <c r="C476" s="116"/>
      <c r="D476" s="120"/>
      <c r="E476" s="116"/>
      <c r="F476" s="117"/>
      <c r="G476" s="117"/>
      <c r="H476" s="111"/>
      <c r="I476" s="111"/>
      <c r="J476" s="111"/>
      <c r="K476" s="111"/>
    </row>
    <row r="477">
      <c r="A477" s="120"/>
      <c r="B477" s="117"/>
      <c r="C477" s="116"/>
      <c r="D477" s="120"/>
      <c r="E477" s="116"/>
      <c r="F477" s="117"/>
      <c r="G477" s="117"/>
      <c r="H477" s="111"/>
      <c r="I477" s="111"/>
      <c r="J477" s="111"/>
      <c r="K477" s="111"/>
    </row>
    <row r="478">
      <c r="A478" s="120"/>
      <c r="B478" s="117"/>
      <c r="C478" s="116"/>
      <c r="D478" s="120"/>
      <c r="E478" s="116"/>
      <c r="F478" s="117"/>
      <c r="G478" s="117"/>
      <c r="H478" s="111"/>
      <c r="I478" s="111"/>
      <c r="J478" s="111"/>
      <c r="K478" s="111"/>
    </row>
    <row r="479">
      <c r="A479" s="120"/>
      <c r="B479" s="117"/>
      <c r="C479" s="116"/>
      <c r="D479" s="120"/>
      <c r="E479" s="116"/>
      <c r="F479" s="117"/>
      <c r="G479" s="117"/>
      <c r="H479" s="111"/>
      <c r="I479" s="111"/>
      <c r="J479" s="111"/>
      <c r="K479" s="111"/>
    </row>
    <row r="480">
      <c r="A480" s="120"/>
      <c r="B480" s="117"/>
      <c r="C480" s="116"/>
      <c r="D480" s="120"/>
      <c r="E480" s="116"/>
      <c r="F480" s="117"/>
      <c r="G480" s="117"/>
      <c r="H480" s="111"/>
      <c r="I480" s="111"/>
      <c r="J480" s="111"/>
      <c r="K480" s="111"/>
    </row>
    <row r="481">
      <c r="A481" s="120"/>
      <c r="B481" s="117"/>
      <c r="C481" s="116"/>
      <c r="D481" s="120"/>
      <c r="E481" s="116"/>
      <c r="F481" s="117"/>
      <c r="G481" s="117"/>
      <c r="H481" s="111"/>
      <c r="I481" s="111"/>
      <c r="J481" s="111"/>
      <c r="K481" s="111"/>
    </row>
    <row r="482">
      <c r="A482" s="120"/>
      <c r="B482" s="117"/>
      <c r="C482" s="116"/>
      <c r="D482" s="120"/>
      <c r="E482" s="116"/>
      <c r="F482" s="117"/>
      <c r="G482" s="117"/>
      <c r="H482" s="111"/>
      <c r="I482" s="111"/>
      <c r="J482" s="111"/>
      <c r="K482" s="111"/>
    </row>
    <row r="483">
      <c r="A483" s="120"/>
      <c r="B483" s="117"/>
      <c r="C483" s="116"/>
      <c r="D483" s="120"/>
      <c r="E483" s="116"/>
      <c r="F483" s="117"/>
      <c r="G483" s="117"/>
      <c r="H483" s="111"/>
      <c r="I483" s="111"/>
      <c r="J483" s="111"/>
      <c r="K483" s="111"/>
    </row>
    <row r="484">
      <c r="A484" s="120"/>
      <c r="B484" s="117"/>
      <c r="C484" s="116"/>
      <c r="D484" s="120"/>
      <c r="E484" s="116"/>
      <c r="F484" s="117"/>
      <c r="G484" s="117"/>
      <c r="H484" s="111"/>
      <c r="I484" s="111"/>
      <c r="J484" s="111"/>
      <c r="K484" s="111"/>
    </row>
    <row r="485">
      <c r="A485" s="120"/>
      <c r="B485" s="117"/>
      <c r="C485" s="116"/>
      <c r="D485" s="120"/>
      <c r="E485" s="116"/>
      <c r="F485" s="117"/>
      <c r="G485" s="117"/>
      <c r="H485" s="111"/>
      <c r="I485" s="111"/>
      <c r="J485" s="111"/>
      <c r="K485" s="111"/>
    </row>
    <row r="486">
      <c r="A486" s="120"/>
      <c r="B486" s="117"/>
      <c r="C486" s="116"/>
      <c r="D486" s="120"/>
      <c r="E486" s="116"/>
      <c r="F486" s="117"/>
      <c r="G486" s="117"/>
      <c r="H486" s="111"/>
      <c r="I486" s="111"/>
      <c r="J486" s="111"/>
      <c r="K486" s="111"/>
    </row>
    <row r="487">
      <c r="A487" s="120"/>
      <c r="B487" s="117"/>
      <c r="C487" s="116"/>
      <c r="D487" s="120"/>
      <c r="E487" s="116"/>
      <c r="F487" s="117"/>
      <c r="G487" s="117"/>
      <c r="H487" s="111"/>
      <c r="I487" s="111"/>
      <c r="J487" s="111"/>
      <c r="K487" s="111"/>
    </row>
    <row r="488">
      <c r="A488" s="120"/>
      <c r="B488" s="117"/>
      <c r="C488" s="116"/>
      <c r="D488" s="120"/>
      <c r="E488" s="116"/>
      <c r="F488" s="117"/>
      <c r="G488" s="117"/>
      <c r="H488" s="111"/>
      <c r="I488" s="111"/>
      <c r="J488" s="111"/>
      <c r="K488" s="111"/>
    </row>
    <row r="489">
      <c r="A489" s="120"/>
      <c r="B489" s="117"/>
      <c r="C489" s="116"/>
      <c r="D489" s="120"/>
      <c r="E489" s="116"/>
      <c r="F489" s="117"/>
      <c r="G489" s="117"/>
      <c r="H489" s="111"/>
      <c r="I489" s="111"/>
      <c r="J489" s="111"/>
      <c r="K489" s="111"/>
    </row>
    <row r="490">
      <c r="A490" s="120"/>
      <c r="B490" s="117"/>
      <c r="C490" s="116"/>
      <c r="D490" s="120"/>
      <c r="E490" s="116"/>
      <c r="F490" s="117"/>
      <c r="G490" s="117"/>
      <c r="H490" s="111"/>
      <c r="I490" s="111"/>
      <c r="J490" s="111"/>
      <c r="K490" s="111"/>
    </row>
    <row r="491">
      <c r="A491" s="120"/>
      <c r="B491" s="117"/>
      <c r="C491" s="116"/>
      <c r="D491" s="120"/>
      <c r="E491" s="116"/>
      <c r="F491" s="117"/>
      <c r="G491" s="117"/>
      <c r="H491" s="111"/>
      <c r="I491" s="111"/>
      <c r="J491" s="111"/>
      <c r="K491" s="111"/>
    </row>
    <row r="492">
      <c r="A492" s="120"/>
      <c r="B492" s="117"/>
      <c r="C492" s="116"/>
      <c r="D492" s="120"/>
      <c r="E492" s="116"/>
      <c r="F492" s="117"/>
      <c r="G492" s="117"/>
      <c r="H492" s="111"/>
      <c r="I492" s="111"/>
      <c r="J492" s="111"/>
      <c r="K492" s="111"/>
    </row>
    <row r="493">
      <c r="A493" s="120"/>
      <c r="B493" s="117"/>
      <c r="C493" s="116"/>
      <c r="D493" s="120"/>
      <c r="E493" s="116"/>
      <c r="F493" s="117"/>
      <c r="G493" s="117"/>
      <c r="H493" s="111"/>
      <c r="I493" s="111"/>
      <c r="J493" s="111"/>
      <c r="K493" s="111"/>
    </row>
    <row r="494">
      <c r="A494" s="120"/>
      <c r="B494" s="117"/>
      <c r="C494" s="116"/>
      <c r="D494" s="120"/>
      <c r="E494" s="116"/>
      <c r="F494" s="117"/>
      <c r="G494" s="117"/>
      <c r="H494" s="111"/>
      <c r="I494" s="111"/>
      <c r="J494" s="111"/>
      <c r="K494" s="111"/>
    </row>
    <row r="495">
      <c r="A495" s="120"/>
      <c r="B495" s="117"/>
      <c r="C495" s="116"/>
      <c r="D495" s="120"/>
      <c r="E495" s="116"/>
      <c r="F495" s="117"/>
      <c r="G495" s="117"/>
      <c r="H495" s="111"/>
      <c r="I495" s="111"/>
      <c r="J495" s="111"/>
      <c r="K495" s="111"/>
    </row>
    <row r="496">
      <c r="A496" s="120"/>
      <c r="B496" s="117"/>
      <c r="C496" s="116"/>
      <c r="D496" s="120"/>
      <c r="E496" s="116"/>
      <c r="F496" s="117"/>
      <c r="G496" s="117"/>
      <c r="H496" s="111"/>
      <c r="I496" s="111"/>
      <c r="J496" s="111"/>
      <c r="K496" s="111"/>
    </row>
    <row r="497">
      <c r="A497" s="120"/>
      <c r="B497" s="117"/>
      <c r="C497" s="116"/>
      <c r="D497" s="120"/>
      <c r="E497" s="116"/>
      <c r="F497" s="117"/>
      <c r="G497" s="117"/>
      <c r="H497" s="111"/>
      <c r="I497" s="111"/>
      <c r="J497" s="111"/>
      <c r="K497" s="111"/>
    </row>
    <row r="498">
      <c r="A498" s="120"/>
      <c r="B498" s="117"/>
      <c r="C498" s="116"/>
      <c r="D498" s="120"/>
      <c r="E498" s="116"/>
      <c r="F498" s="117"/>
      <c r="G498" s="117"/>
      <c r="H498" s="111"/>
      <c r="I498" s="111"/>
      <c r="J498" s="111"/>
      <c r="K498" s="111"/>
    </row>
    <row r="499">
      <c r="A499" s="120"/>
      <c r="B499" s="117"/>
      <c r="C499" s="116"/>
      <c r="D499" s="120"/>
      <c r="E499" s="116"/>
      <c r="F499" s="117"/>
      <c r="G499" s="117"/>
      <c r="H499" s="111"/>
      <c r="I499" s="111"/>
      <c r="J499" s="111"/>
      <c r="K499" s="111"/>
    </row>
    <row r="500">
      <c r="A500" s="120"/>
      <c r="B500" s="117"/>
      <c r="C500" s="116"/>
      <c r="D500" s="120"/>
      <c r="E500" s="116"/>
      <c r="F500" s="117"/>
      <c r="G500" s="117"/>
      <c r="H500" s="111"/>
      <c r="I500" s="111"/>
      <c r="J500" s="111"/>
      <c r="K500" s="111"/>
    </row>
    <row r="501">
      <c r="A501" s="120"/>
      <c r="B501" s="117"/>
      <c r="C501" s="116"/>
      <c r="D501" s="120"/>
      <c r="E501" s="116"/>
      <c r="F501" s="117"/>
      <c r="G501" s="117"/>
      <c r="H501" s="111"/>
      <c r="I501" s="111"/>
      <c r="J501" s="111"/>
      <c r="K501" s="111"/>
    </row>
    <row r="502">
      <c r="A502" s="120"/>
      <c r="B502" s="117"/>
      <c r="C502" s="116"/>
      <c r="D502" s="120"/>
      <c r="E502" s="116"/>
      <c r="F502" s="117"/>
      <c r="G502" s="117"/>
      <c r="H502" s="111"/>
      <c r="I502" s="111"/>
      <c r="J502" s="111"/>
      <c r="K502" s="111"/>
    </row>
    <row r="503">
      <c r="A503" s="120"/>
      <c r="B503" s="117"/>
      <c r="C503" s="116"/>
      <c r="D503" s="120"/>
      <c r="E503" s="116"/>
      <c r="F503" s="117"/>
      <c r="G503" s="117"/>
      <c r="H503" s="111"/>
      <c r="I503" s="111"/>
      <c r="J503" s="111"/>
      <c r="K503" s="111"/>
    </row>
    <row r="504">
      <c r="A504" s="120"/>
      <c r="B504" s="117"/>
      <c r="C504" s="116"/>
      <c r="D504" s="120"/>
      <c r="E504" s="116"/>
      <c r="F504" s="117"/>
      <c r="G504" s="117"/>
      <c r="H504" s="111"/>
      <c r="I504" s="111"/>
      <c r="J504" s="111"/>
      <c r="K504" s="111"/>
    </row>
    <row r="505">
      <c r="A505" s="120"/>
      <c r="B505" s="117"/>
      <c r="C505" s="116"/>
      <c r="D505" s="120"/>
      <c r="E505" s="116"/>
      <c r="F505" s="117"/>
      <c r="G505" s="117"/>
      <c r="H505" s="111"/>
      <c r="I505" s="111"/>
      <c r="J505" s="111"/>
      <c r="K505" s="111"/>
    </row>
    <row r="506">
      <c r="A506" s="120"/>
      <c r="B506" s="117"/>
      <c r="C506" s="116"/>
      <c r="D506" s="120"/>
      <c r="E506" s="116"/>
      <c r="F506" s="117"/>
      <c r="G506" s="117"/>
      <c r="H506" s="111"/>
      <c r="I506" s="111"/>
      <c r="J506" s="111"/>
      <c r="K506" s="111"/>
    </row>
    <row r="507">
      <c r="A507" s="120"/>
      <c r="B507" s="117"/>
      <c r="C507" s="116"/>
      <c r="D507" s="120"/>
      <c r="E507" s="116"/>
      <c r="F507" s="117"/>
      <c r="G507" s="117"/>
      <c r="H507" s="111"/>
      <c r="I507" s="111"/>
      <c r="J507" s="111"/>
      <c r="K507" s="111"/>
    </row>
    <row r="508">
      <c r="A508" s="120"/>
      <c r="B508" s="117"/>
      <c r="C508" s="116"/>
      <c r="D508" s="120"/>
      <c r="E508" s="116"/>
      <c r="F508" s="117"/>
      <c r="G508" s="117"/>
      <c r="H508" s="111"/>
      <c r="I508" s="111"/>
      <c r="J508" s="111"/>
      <c r="K508" s="111"/>
    </row>
    <row r="509">
      <c r="A509" s="120"/>
      <c r="B509" s="117"/>
      <c r="C509" s="116"/>
      <c r="D509" s="120"/>
      <c r="E509" s="116"/>
      <c r="F509" s="117"/>
      <c r="G509" s="117"/>
      <c r="H509" s="111"/>
      <c r="I509" s="111"/>
      <c r="J509" s="111"/>
      <c r="K509" s="111"/>
    </row>
    <row r="510">
      <c r="A510" s="120"/>
      <c r="B510" s="117"/>
      <c r="C510" s="116"/>
      <c r="D510" s="120"/>
      <c r="E510" s="116"/>
      <c r="F510" s="117"/>
      <c r="G510" s="117"/>
      <c r="H510" s="111"/>
      <c r="I510" s="111"/>
      <c r="J510" s="111"/>
      <c r="K510" s="111"/>
    </row>
    <row r="511">
      <c r="A511" s="120"/>
      <c r="B511" s="117"/>
      <c r="C511" s="116"/>
      <c r="D511" s="120"/>
      <c r="E511" s="116"/>
      <c r="F511" s="117"/>
      <c r="G511" s="117"/>
      <c r="H511" s="111"/>
      <c r="I511" s="111"/>
      <c r="J511" s="111"/>
      <c r="K511" s="111"/>
    </row>
    <row r="512">
      <c r="A512" s="120"/>
      <c r="B512" s="117"/>
      <c r="C512" s="116"/>
      <c r="D512" s="120"/>
      <c r="E512" s="116"/>
      <c r="F512" s="117"/>
      <c r="G512" s="117"/>
      <c r="H512" s="111"/>
      <c r="I512" s="111"/>
      <c r="J512" s="111"/>
      <c r="K512" s="111"/>
    </row>
    <row r="513">
      <c r="A513" s="120"/>
      <c r="B513" s="117"/>
      <c r="C513" s="116"/>
      <c r="D513" s="120"/>
      <c r="E513" s="116"/>
      <c r="F513" s="117"/>
      <c r="G513" s="117"/>
      <c r="H513" s="111"/>
      <c r="I513" s="111"/>
      <c r="J513" s="111"/>
      <c r="K513" s="111"/>
    </row>
    <row r="514">
      <c r="A514" s="120"/>
      <c r="B514" s="117"/>
      <c r="C514" s="116"/>
      <c r="D514" s="120"/>
      <c r="E514" s="116"/>
      <c r="F514" s="117"/>
      <c r="G514" s="117"/>
      <c r="H514" s="111"/>
      <c r="I514" s="111"/>
      <c r="J514" s="111"/>
      <c r="K514" s="111"/>
    </row>
    <row r="515">
      <c r="A515" s="120"/>
      <c r="B515" s="117"/>
      <c r="C515" s="116"/>
      <c r="D515" s="120"/>
      <c r="E515" s="116"/>
      <c r="F515" s="117"/>
      <c r="G515" s="117"/>
      <c r="H515" s="111"/>
      <c r="I515" s="111"/>
      <c r="J515" s="111"/>
      <c r="K515" s="111"/>
    </row>
    <row r="516">
      <c r="A516" s="120"/>
      <c r="B516" s="117"/>
      <c r="C516" s="116"/>
      <c r="D516" s="120"/>
      <c r="E516" s="116"/>
      <c r="F516" s="117"/>
      <c r="G516" s="117"/>
      <c r="H516" s="111"/>
      <c r="I516" s="111"/>
      <c r="J516" s="111"/>
      <c r="K516" s="111"/>
    </row>
    <row r="517">
      <c r="A517" s="120"/>
      <c r="B517" s="117"/>
      <c r="C517" s="116"/>
      <c r="D517" s="120"/>
      <c r="E517" s="116"/>
      <c r="F517" s="117"/>
      <c r="G517" s="117"/>
      <c r="H517" s="111"/>
      <c r="I517" s="111"/>
      <c r="J517" s="111"/>
      <c r="K517" s="111"/>
    </row>
    <row r="518">
      <c r="A518" s="120"/>
      <c r="B518" s="117"/>
      <c r="C518" s="116"/>
      <c r="D518" s="120"/>
      <c r="E518" s="116"/>
      <c r="F518" s="117"/>
      <c r="G518" s="117"/>
      <c r="H518" s="111"/>
      <c r="I518" s="111"/>
      <c r="J518" s="111"/>
      <c r="K518" s="111"/>
    </row>
    <row r="519">
      <c r="A519" s="120"/>
      <c r="B519" s="117"/>
      <c r="C519" s="116"/>
      <c r="D519" s="120"/>
      <c r="E519" s="116"/>
      <c r="F519" s="117"/>
      <c r="G519" s="117"/>
      <c r="H519" s="111"/>
      <c r="I519" s="111"/>
      <c r="J519" s="111"/>
      <c r="K519" s="111"/>
    </row>
    <row r="520">
      <c r="A520" s="120"/>
      <c r="B520" s="117"/>
      <c r="C520" s="116"/>
      <c r="D520" s="120"/>
      <c r="E520" s="116"/>
      <c r="F520" s="117"/>
      <c r="G520" s="117"/>
      <c r="H520" s="111"/>
      <c r="I520" s="111"/>
      <c r="J520" s="111"/>
      <c r="K520" s="111"/>
    </row>
    <row r="521">
      <c r="A521" s="120"/>
      <c r="B521" s="117"/>
      <c r="C521" s="116"/>
      <c r="D521" s="120"/>
      <c r="E521" s="116"/>
      <c r="F521" s="117"/>
      <c r="G521" s="117"/>
      <c r="H521" s="111"/>
      <c r="I521" s="111"/>
      <c r="J521" s="111"/>
      <c r="K521" s="111"/>
    </row>
    <row r="522">
      <c r="A522" s="120"/>
      <c r="B522" s="117"/>
      <c r="C522" s="116"/>
      <c r="D522" s="120"/>
      <c r="E522" s="116"/>
      <c r="F522" s="117"/>
      <c r="G522" s="117"/>
      <c r="H522" s="111"/>
      <c r="I522" s="111"/>
      <c r="J522" s="111"/>
      <c r="K522" s="111"/>
    </row>
    <row r="523">
      <c r="A523" s="120"/>
      <c r="B523" s="117"/>
      <c r="C523" s="116"/>
      <c r="D523" s="120"/>
      <c r="E523" s="116"/>
      <c r="F523" s="117"/>
      <c r="G523" s="117"/>
      <c r="H523" s="111"/>
      <c r="I523" s="111"/>
      <c r="J523" s="111"/>
      <c r="K523" s="111"/>
    </row>
    <row r="524">
      <c r="A524" s="120"/>
      <c r="B524" s="117"/>
      <c r="C524" s="116"/>
      <c r="D524" s="120"/>
      <c r="E524" s="116"/>
      <c r="F524" s="117"/>
      <c r="G524" s="117"/>
      <c r="H524" s="111"/>
      <c r="I524" s="111"/>
      <c r="J524" s="111"/>
      <c r="K524" s="111"/>
    </row>
    <row r="525">
      <c r="A525" s="120"/>
      <c r="B525" s="117"/>
      <c r="C525" s="116"/>
      <c r="D525" s="120"/>
      <c r="E525" s="116"/>
      <c r="F525" s="117"/>
      <c r="G525" s="117"/>
      <c r="H525" s="111"/>
      <c r="I525" s="111"/>
      <c r="J525" s="111"/>
      <c r="K525" s="111"/>
    </row>
    <row r="526">
      <c r="A526" s="120"/>
      <c r="B526" s="117"/>
      <c r="C526" s="116"/>
      <c r="D526" s="120"/>
      <c r="E526" s="116"/>
      <c r="F526" s="117"/>
      <c r="G526" s="117"/>
      <c r="H526" s="111"/>
      <c r="I526" s="111"/>
      <c r="J526" s="111"/>
      <c r="K526" s="111"/>
    </row>
    <row r="527">
      <c r="A527" s="120"/>
      <c r="B527" s="117"/>
      <c r="C527" s="116"/>
      <c r="D527" s="120"/>
      <c r="E527" s="116"/>
      <c r="F527" s="117"/>
      <c r="G527" s="117"/>
      <c r="H527" s="111"/>
      <c r="I527" s="111"/>
      <c r="J527" s="111"/>
      <c r="K527" s="111"/>
    </row>
    <row r="528">
      <c r="A528" s="120"/>
      <c r="B528" s="117"/>
      <c r="C528" s="116"/>
      <c r="D528" s="120"/>
      <c r="E528" s="116"/>
      <c r="F528" s="117"/>
      <c r="G528" s="117"/>
      <c r="H528" s="111"/>
      <c r="I528" s="111"/>
      <c r="J528" s="111"/>
      <c r="K528" s="111"/>
    </row>
    <row r="529">
      <c r="A529" s="120"/>
      <c r="B529" s="117"/>
      <c r="C529" s="116"/>
      <c r="D529" s="120"/>
      <c r="E529" s="116"/>
      <c r="F529" s="117"/>
      <c r="G529" s="117"/>
      <c r="H529" s="111"/>
      <c r="I529" s="111"/>
      <c r="J529" s="111"/>
      <c r="K529" s="111"/>
    </row>
    <row r="530">
      <c r="A530" s="120"/>
      <c r="B530" s="117"/>
      <c r="C530" s="116"/>
      <c r="D530" s="120"/>
      <c r="E530" s="116"/>
      <c r="F530" s="117"/>
      <c r="G530" s="117"/>
      <c r="H530" s="111"/>
      <c r="I530" s="111"/>
      <c r="J530" s="111"/>
      <c r="K530" s="111"/>
    </row>
    <row r="531">
      <c r="A531" s="120"/>
      <c r="B531" s="117"/>
      <c r="C531" s="116"/>
      <c r="D531" s="120"/>
      <c r="E531" s="116"/>
      <c r="F531" s="117"/>
      <c r="G531" s="117"/>
      <c r="H531" s="111"/>
      <c r="I531" s="111"/>
      <c r="J531" s="111"/>
      <c r="K531" s="111"/>
    </row>
    <row r="532">
      <c r="A532" s="120"/>
      <c r="B532" s="117"/>
      <c r="C532" s="116"/>
      <c r="D532" s="120"/>
      <c r="E532" s="116"/>
      <c r="F532" s="117"/>
      <c r="G532" s="117"/>
      <c r="H532" s="111"/>
      <c r="I532" s="111"/>
      <c r="J532" s="111"/>
      <c r="K532" s="111"/>
    </row>
    <row r="533">
      <c r="A533" s="120"/>
      <c r="B533" s="117"/>
      <c r="C533" s="116"/>
      <c r="D533" s="120"/>
      <c r="E533" s="116"/>
      <c r="F533" s="117"/>
      <c r="G533" s="117"/>
      <c r="H533" s="111"/>
      <c r="I533" s="111"/>
      <c r="J533" s="111"/>
      <c r="K533" s="111"/>
    </row>
    <row r="534">
      <c r="A534" s="120"/>
      <c r="B534" s="117"/>
      <c r="C534" s="116"/>
      <c r="D534" s="120"/>
      <c r="E534" s="116"/>
      <c r="F534" s="117"/>
      <c r="G534" s="117"/>
      <c r="H534" s="111"/>
      <c r="I534" s="111"/>
      <c r="J534" s="111"/>
      <c r="K534" s="111"/>
    </row>
    <row r="535">
      <c r="A535" s="120"/>
      <c r="B535" s="117"/>
      <c r="C535" s="116"/>
      <c r="D535" s="120"/>
      <c r="E535" s="116"/>
      <c r="F535" s="117"/>
      <c r="G535" s="117"/>
      <c r="H535" s="111"/>
      <c r="I535" s="111"/>
      <c r="J535" s="111"/>
      <c r="K535" s="111"/>
    </row>
    <row r="536">
      <c r="A536" s="120"/>
      <c r="B536" s="117"/>
      <c r="C536" s="116"/>
      <c r="D536" s="120"/>
      <c r="E536" s="116"/>
      <c r="F536" s="117"/>
      <c r="G536" s="117"/>
      <c r="H536" s="111"/>
      <c r="I536" s="111"/>
      <c r="J536" s="111"/>
      <c r="K536" s="111"/>
    </row>
    <row r="537">
      <c r="A537" s="120"/>
      <c r="B537" s="117"/>
      <c r="C537" s="116"/>
      <c r="D537" s="120"/>
      <c r="E537" s="116"/>
      <c r="F537" s="117"/>
      <c r="G537" s="117"/>
      <c r="H537" s="111"/>
      <c r="I537" s="111"/>
      <c r="J537" s="111"/>
      <c r="K537" s="111"/>
    </row>
    <row r="538">
      <c r="A538" s="120"/>
      <c r="B538" s="117"/>
      <c r="C538" s="116"/>
      <c r="D538" s="120"/>
      <c r="E538" s="116"/>
      <c r="F538" s="117"/>
      <c r="G538" s="117"/>
      <c r="H538" s="111"/>
      <c r="I538" s="111"/>
      <c r="J538" s="111"/>
      <c r="K538" s="111"/>
    </row>
    <row r="539">
      <c r="A539" s="120"/>
      <c r="B539" s="117"/>
      <c r="C539" s="116"/>
      <c r="D539" s="120"/>
      <c r="E539" s="116"/>
      <c r="F539" s="117"/>
      <c r="G539" s="117"/>
      <c r="H539" s="111"/>
      <c r="I539" s="111"/>
      <c r="J539" s="111"/>
      <c r="K539" s="111"/>
    </row>
    <row r="540">
      <c r="A540" s="120"/>
      <c r="B540" s="117"/>
      <c r="C540" s="116"/>
      <c r="D540" s="120"/>
      <c r="E540" s="116"/>
      <c r="F540" s="117"/>
      <c r="G540" s="117"/>
      <c r="H540" s="111"/>
      <c r="I540" s="111"/>
      <c r="J540" s="111"/>
      <c r="K540" s="111"/>
    </row>
    <row r="541">
      <c r="A541" s="120"/>
      <c r="B541" s="117"/>
      <c r="C541" s="116"/>
      <c r="D541" s="120"/>
      <c r="E541" s="116"/>
      <c r="F541" s="117"/>
      <c r="G541" s="117"/>
      <c r="H541" s="111"/>
      <c r="I541" s="111"/>
      <c r="J541" s="111"/>
      <c r="K541" s="111"/>
    </row>
    <row r="542">
      <c r="A542" s="120"/>
      <c r="B542" s="117"/>
      <c r="C542" s="116"/>
      <c r="D542" s="120"/>
      <c r="E542" s="116"/>
      <c r="F542" s="117"/>
      <c r="G542" s="117"/>
      <c r="H542" s="111"/>
      <c r="I542" s="111"/>
      <c r="J542" s="111"/>
      <c r="K542" s="111"/>
    </row>
    <row r="543">
      <c r="A543" s="120"/>
      <c r="B543" s="117"/>
      <c r="C543" s="116"/>
      <c r="D543" s="120"/>
      <c r="E543" s="116"/>
      <c r="F543" s="117"/>
      <c r="G543" s="117"/>
      <c r="H543" s="111"/>
      <c r="I543" s="111"/>
      <c r="J543" s="111"/>
      <c r="K543" s="111"/>
    </row>
    <row r="544">
      <c r="A544" s="120"/>
      <c r="B544" s="117"/>
      <c r="C544" s="116"/>
      <c r="D544" s="120"/>
      <c r="E544" s="116"/>
      <c r="F544" s="117"/>
      <c r="G544" s="117"/>
      <c r="H544" s="111"/>
      <c r="I544" s="111"/>
      <c r="J544" s="111"/>
      <c r="K544" s="111"/>
    </row>
    <row r="545">
      <c r="A545" s="120"/>
      <c r="B545" s="117"/>
      <c r="C545" s="116"/>
      <c r="D545" s="120"/>
      <c r="E545" s="116"/>
      <c r="F545" s="117"/>
      <c r="G545" s="117"/>
      <c r="H545" s="111"/>
      <c r="I545" s="111"/>
      <c r="J545" s="111"/>
      <c r="K545" s="111"/>
    </row>
    <row r="546">
      <c r="A546" s="120"/>
      <c r="B546" s="117"/>
      <c r="C546" s="116"/>
      <c r="D546" s="120"/>
      <c r="E546" s="116"/>
      <c r="F546" s="117"/>
      <c r="G546" s="117"/>
      <c r="H546" s="111"/>
      <c r="I546" s="111"/>
      <c r="J546" s="111"/>
      <c r="K546" s="111"/>
    </row>
    <row r="547">
      <c r="A547" s="120"/>
      <c r="B547" s="117"/>
      <c r="C547" s="116"/>
      <c r="D547" s="120"/>
      <c r="E547" s="116"/>
      <c r="F547" s="117"/>
      <c r="G547" s="117"/>
      <c r="H547" s="111"/>
      <c r="I547" s="111"/>
      <c r="J547" s="111"/>
      <c r="K547" s="111"/>
    </row>
    <row r="548">
      <c r="A548" s="120"/>
      <c r="B548" s="117"/>
      <c r="C548" s="116"/>
      <c r="D548" s="120"/>
      <c r="E548" s="116"/>
      <c r="F548" s="117"/>
      <c r="G548" s="117"/>
      <c r="H548" s="111"/>
      <c r="I548" s="111"/>
      <c r="J548" s="111"/>
      <c r="K548" s="111"/>
    </row>
    <row r="549">
      <c r="A549" s="120"/>
      <c r="B549" s="117"/>
      <c r="C549" s="116"/>
      <c r="D549" s="120"/>
      <c r="E549" s="116"/>
      <c r="F549" s="117"/>
      <c r="G549" s="117"/>
      <c r="H549" s="111"/>
      <c r="I549" s="111"/>
      <c r="J549" s="111"/>
      <c r="K549" s="111"/>
    </row>
    <row r="550">
      <c r="A550" s="120"/>
      <c r="B550" s="117"/>
      <c r="C550" s="116"/>
      <c r="D550" s="120"/>
      <c r="E550" s="116"/>
      <c r="F550" s="117"/>
      <c r="G550" s="117"/>
      <c r="H550" s="111"/>
      <c r="I550" s="111"/>
      <c r="J550" s="111"/>
      <c r="K550" s="111"/>
    </row>
    <row r="551">
      <c r="A551" s="120"/>
      <c r="B551" s="117"/>
      <c r="C551" s="116"/>
      <c r="D551" s="120"/>
      <c r="E551" s="116"/>
      <c r="F551" s="117"/>
      <c r="G551" s="117"/>
      <c r="H551" s="111"/>
      <c r="I551" s="111"/>
      <c r="J551" s="111"/>
      <c r="K551" s="111"/>
    </row>
    <row r="552">
      <c r="A552" s="120"/>
      <c r="B552" s="117"/>
      <c r="C552" s="116"/>
      <c r="D552" s="120"/>
      <c r="E552" s="116"/>
      <c r="F552" s="117"/>
      <c r="G552" s="117"/>
      <c r="H552" s="111"/>
      <c r="I552" s="111"/>
      <c r="J552" s="111"/>
      <c r="K552" s="111"/>
    </row>
    <row r="553">
      <c r="A553" s="120"/>
      <c r="B553" s="117"/>
      <c r="C553" s="116"/>
      <c r="D553" s="120"/>
      <c r="E553" s="116"/>
      <c r="F553" s="117"/>
      <c r="G553" s="117"/>
      <c r="H553" s="111"/>
      <c r="I553" s="111"/>
      <c r="J553" s="111"/>
      <c r="K553" s="111"/>
    </row>
    <row r="554">
      <c r="A554" s="120"/>
      <c r="B554" s="117"/>
      <c r="C554" s="116"/>
      <c r="D554" s="120"/>
      <c r="E554" s="116"/>
      <c r="F554" s="117"/>
      <c r="G554" s="117"/>
      <c r="H554" s="111"/>
      <c r="I554" s="111"/>
      <c r="J554" s="111"/>
      <c r="K554" s="111"/>
    </row>
    <row r="555">
      <c r="A555" s="120"/>
      <c r="B555" s="117"/>
      <c r="C555" s="116"/>
      <c r="D555" s="120"/>
      <c r="E555" s="116"/>
      <c r="F555" s="117"/>
      <c r="G555" s="117"/>
      <c r="H555" s="111"/>
      <c r="I555" s="111"/>
      <c r="J555" s="111"/>
      <c r="K555" s="111"/>
    </row>
    <row r="556">
      <c r="A556" s="120"/>
      <c r="B556" s="117"/>
      <c r="C556" s="116"/>
      <c r="D556" s="120"/>
      <c r="E556" s="116"/>
      <c r="F556" s="117"/>
      <c r="G556" s="117"/>
      <c r="H556" s="111"/>
      <c r="I556" s="111"/>
      <c r="J556" s="111"/>
      <c r="K556" s="111"/>
    </row>
    <row r="557">
      <c r="A557" s="120"/>
      <c r="B557" s="117"/>
      <c r="C557" s="116"/>
      <c r="D557" s="120"/>
      <c r="E557" s="116"/>
      <c r="F557" s="117"/>
      <c r="G557" s="117"/>
      <c r="H557" s="111"/>
      <c r="I557" s="111"/>
      <c r="J557" s="111"/>
      <c r="K557" s="111"/>
    </row>
    <row r="558">
      <c r="A558" s="120"/>
      <c r="B558" s="117"/>
      <c r="C558" s="116"/>
      <c r="D558" s="120"/>
      <c r="E558" s="116"/>
      <c r="F558" s="117"/>
      <c r="G558" s="117"/>
      <c r="H558" s="111"/>
      <c r="I558" s="111"/>
      <c r="J558" s="111"/>
      <c r="K558" s="111"/>
    </row>
    <row r="559">
      <c r="A559" s="120"/>
      <c r="B559" s="117"/>
      <c r="C559" s="116"/>
      <c r="D559" s="120"/>
      <c r="E559" s="116"/>
      <c r="F559" s="117"/>
      <c r="G559" s="117"/>
      <c r="H559" s="111"/>
      <c r="I559" s="111"/>
      <c r="J559" s="111"/>
      <c r="K559" s="111"/>
    </row>
    <row r="560">
      <c r="A560" s="120"/>
      <c r="B560" s="117"/>
      <c r="C560" s="116"/>
      <c r="D560" s="120"/>
      <c r="E560" s="116"/>
      <c r="F560" s="117"/>
      <c r="G560" s="117"/>
      <c r="H560" s="111"/>
      <c r="I560" s="111"/>
      <c r="J560" s="111"/>
      <c r="K560" s="111"/>
    </row>
    <row r="561">
      <c r="A561" s="120"/>
      <c r="B561" s="117"/>
      <c r="C561" s="116"/>
      <c r="D561" s="120"/>
      <c r="E561" s="116"/>
      <c r="F561" s="117"/>
      <c r="G561" s="117"/>
      <c r="H561" s="111"/>
      <c r="I561" s="111"/>
      <c r="J561" s="111"/>
      <c r="K561" s="111"/>
    </row>
    <row r="562">
      <c r="A562" s="120"/>
      <c r="B562" s="117"/>
      <c r="C562" s="116"/>
      <c r="D562" s="120"/>
      <c r="E562" s="116"/>
      <c r="F562" s="117"/>
      <c r="G562" s="117"/>
      <c r="H562" s="111"/>
      <c r="I562" s="111"/>
      <c r="J562" s="111"/>
      <c r="K562" s="111"/>
    </row>
    <row r="563">
      <c r="A563" s="120"/>
      <c r="B563" s="117"/>
      <c r="C563" s="116"/>
      <c r="D563" s="120"/>
      <c r="E563" s="116"/>
      <c r="F563" s="117"/>
      <c r="G563" s="117"/>
      <c r="H563" s="111"/>
      <c r="I563" s="111"/>
      <c r="J563" s="111"/>
      <c r="K563" s="111"/>
    </row>
    <row r="564">
      <c r="A564" s="120"/>
      <c r="B564" s="117"/>
      <c r="C564" s="116"/>
      <c r="D564" s="120"/>
      <c r="E564" s="116"/>
      <c r="F564" s="117"/>
      <c r="G564" s="117"/>
      <c r="H564" s="111"/>
      <c r="I564" s="111"/>
      <c r="J564" s="111"/>
      <c r="K564" s="111"/>
    </row>
    <row r="565">
      <c r="A565" s="120"/>
      <c r="B565" s="117"/>
      <c r="C565" s="116"/>
      <c r="D565" s="120"/>
      <c r="E565" s="116"/>
      <c r="F565" s="117"/>
      <c r="G565" s="117"/>
      <c r="H565" s="111"/>
      <c r="I565" s="111"/>
      <c r="J565" s="111"/>
      <c r="K565" s="111"/>
    </row>
    <row r="566">
      <c r="A566" s="120"/>
      <c r="B566" s="117"/>
      <c r="C566" s="116"/>
      <c r="D566" s="120"/>
      <c r="E566" s="116"/>
      <c r="F566" s="117"/>
      <c r="G566" s="117"/>
      <c r="H566" s="111"/>
      <c r="I566" s="111"/>
      <c r="J566" s="111"/>
      <c r="K566" s="111"/>
    </row>
    <row r="567">
      <c r="A567" s="120"/>
      <c r="B567" s="117"/>
      <c r="C567" s="116"/>
      <c r="D567" s="120"/>
      <c r="E567" s="116"/>
      <c r="F567" s="117"/>
      <c r="G567" s="117"/>
      <c r="H567" s="111"/>
      <c r="I567" s="111"/>
      <c r="J567" s="111"/>
      <c r="K567" s="111"/>
    </row>
    <row r="568">
      <c r="A568" s="120"/>
      <c r="B568" s="117"/>
      <c r="C568" s="116"/>
      <c r="D568" s="120"/>
      <c r="E568" s="116"/>
      <c r="F568" s="117"/>
      <c r="G568" s="117"/>
      <c r="H568" s="111"/>
      <c r="I568" s="111"/>
      <c r="J568" s="111"/>
      <c r="K568" s="111"/>
    </row>
    <row r="569">
      <c r="A569" s="120"/>
      <c r="B569" s="117"/>
      <c r="C569" s="116"/>
      <c r="D569" s="120"/>
      <c r="E569" s="116"/>
      <c r="F569" s="117"/>
      <c r="G569" s="117"/>
      <c r="H569" s="111"/>
      <c r="I569" s="111"/>
      <c r="J569" s="111"/>
      <c r="K569" s="111"/>
    </row>
    <row r="570">
      <c r="A570" s="120"/>
      <c r="B570" s="117"/>
      <c r="C570" s="116"/>
      <c r="D570" s="120"/>
      <c r="E570" s="116"/>
      <c r="F570" s="117"/>
      <c r="G570" s="117"/>
      <c r="H570" s="111"/>
      <c r="I570" s="111"/>
      <c r="J570" s="111"/>
      <c r="K570" s="111"/>
    </row>
    <row r="571">
      <c r="A571" s="120"/>
      <c r="B571" s="117"/>
      <c r="C571" s="116"/>
      <c r="D571" s="120"/>
      <c r="E571" s="116"/>
      <c r="F571" s="117"/>
      <c r="G571" s="117"/>
      <c r="H571" s="111"/>
      <c r="I571" s="111"/>
      <c r="J571" s="111"/>
      <c r="K571" s="111"/>
    </row>
    <row r="572">
      <c r="A572" s="120"/>
      <c r="B572" s="117"/>
      <c r="C572" s="116"/>
      <c r="D572" s="120"/>
      <c r="E572" s="116"/>
      <c r="F572" s="117"/>
      <c r="G572" s="117"/>
      <c r="H572" s="111"/>
      <c r="I572" s="111"/>
      <c r="J572" s="111"/>
      <c r="K572" s="111"/>
    </row>
    <row r="573">
      <c r="A573" s="120"/>
      <c r="B573" s="117"/>
      <c r="C573" s="116"/>
      <c r="D573" s="120"/>
      <c r="E573" s="116"/>
      <c r="F573" s="117"/>
      <c r="G573" s="117"/>
      <c r="H573" s="111"/>
      <c r="I573" s="111"/>
      <c r="J573" s="111"/>
      <c r="K573" s="111"/>
    </row>
    <row r="574">
      <c r="A574" s="120"/>
      <c r="B574" s="117"/>
      <c r="C574" s="116"/>
      <c r="D574" s="120"/>
      <c r="E574" s="116"/>
      <c r="F574" s="117"/>
      <c r="G574" s="117"/>
      <c r="H574" s="111"/>
      <c r="I574" s="111"/>
      <c r="J574" s="111"/>
      <c r="K574" s="111"/>
    </row>
    <row r="575">
      <c r="A575" s="120"/>
      <c r="B575" s="117"/>
      <c r="C575" s="116"/>
      <c r="D575" s="120"/>
      <c r="E575" s="116"/>
      <c r="F575" s="117"/>
      <c r="G575" s="117"/>
      <c r="H575" s="111"/>
      <c r="I575" s="111"/>
      <c r="J575" s="111"/>
      <c r="K575" s="111"/>
    </row>
    <row r="576">
      <c r="A576" s="120"/>
      <c r="B576" s="117"/>
      <c r="C576" s="116"/>
      <c r="D576" s="120"/>
      <c r="E576" s="116"/>
      <c r="F576" s="117"/>
      <c r="G576" s="117"/>
      <c r="H576" s="111"/>
      <c r="I576" s="111"/>
      <c r="J576" s="111"/>
      <c r="K576" s="111"/>
    </row>
    <row r="577">
      <c r="A577" s="120"/>
      <c r="B577" s="117"/>
      <c r="C577" s="116"/>
      <c r="D577" s="120"/>
      <c r="E577" s="116"/>
      <c r="F577" s="117"/>
      <c r="G577" s="117"/>
      <c r="H577" s="111"/>
      <c r="I577" s="111"/>
      <c r="J577" s="111"/>
      <c r="K577" s="111"/>
    </row>
    <row r="578">
      <c r="A578" s="120"/>
      <c r="B578" s="117"/>
      <c r="C578" s="116"/>
      <c r="D578" s="120"/>
      <c r="E578" s="116"/>
      <c r="F578" s="117"/>
      <c r="G578" s="117"/>
      <c r="H578" s="111"/>
      <c r="I578" s="111"/>
      <c r="J578" s="111"/>
      <c r="K578" s="111"/>
    </row>
    <row r="579">
      <c r="A579" s="120"/>
      <c r="B579" s="117"/>
      <c r="C579" s="116"/>
      <c r="D579" s="120"/>
      <c r="E579" s="116"/>
      <c r="F579" s="117"/>
      <c r="G579" s="117"/>
      <c r="H579" s="111"/>
      <c r="I579" s="111"/>
      <c r="J579" s="111"/>
      <c r="K579" s="111"/>
    </row>
    <row r="580">
      <c r="A580" s="120"/>
      <c r="B580" s="117"/>
      <c r="C580" s="116"/>
      <c r="D580" s="120"/>
      <c r="E580" s="116"/>
      <c r="F580" s="117"/>
      <c r="G580" s="117"/>
      <c r="H580" s="111"/>
      <c r="I580" s="111"/>
      <c r="J580" s="111"/>
      <c r="K580" s="111"/>
    </row>
    <row r="581">
      <c r="A581" s="120"/>
      <c r="B581" s="117"/>
      <c r="C581" s="116"/>
      <c r="D581" s="120"/>
      <c r="E581" s="116"/>
      <c r="F581" s="117"/>
      <c r="G581" s="117"/>
      <c r="H581" s="111"/>
      <c r="I581" s="111"/>
      <c r="J581" s="111"/>
      <c r="K581" s="111"/>
    </row>
    <row r="582">
      <c r="A582" s="120"/>
      <c r="B582" s="117"/>
      <c r="C582" s="116"/>
      <c r="D582" s="120"/>
      <c r="E582" s="116"/>
      <c r="F582" s="117"/>
      <c r="G582" s="117"/>
      <c r="H582" s="111"/>
      <c r="I582" s="111"/>
      <c r="J582" s="111"/>
      <c r="K582" s="111"/>
    </row>
    <row r="583">
      <c r="A583" s="120"/>
      <c r="B583" s="117"/>
      <c r="C583" s="116"/>
      <c r="D583" s="120"/>
      <c r="E583" s="116"/>
      <c r="F583" s="117"/>
      <c r="G583" s="117"/>
      <c r="H583" s="111"/>
      <c r="I583" s="111"/>
      <c r="J583" s="111"/>
      <c r="K583" s="111"/>
    </row>
    <row r="584">
      <c r="A584" s="120"/>
      <c r="B584" s="117"/>
      <c r="C584" s="116"/>
      <c r="D584" s="120"/>
      <c r="E584" s="116"/>
      <c r="F584" s="117"/>
      <c r="G584" s="117"/>
      <c r="H584" s="111"/>
      <c r="I584" s="111"/>
      <c r="J584" s="111"/>
      <c r="K584" s="111"/>
    </row>
    <row r="585">
      <c r="A585" s="120"/>
      <c r="B585" s="117"/>
      <c r="C585" s="116"/>
      <c r="D585" s="120"/>
      <c r="E585" s="116"/>
      <c r="F585" s="117"/>
      <c r="G585" s="117"/>
      <c r="H585" s="111"/>
      <c r="I585" s="111"/>
      <c r="J585" s="111"/>
      <c r="K585" s="111"/>
    </row>
    <row r="586">
      <c r="A586" s="120"/>
      <c r="B586" s="117"/>
      <c r="C586" s="116"/>
      <c r="D586" s="120"/>
      <c r="E586" s="116"/>
      <c r="F586" s="117"/>
      <c r="G586" s="117"/>
      <c r="H586" s="111"/>
      <c r="I586" s="111"/>
      <c r="J586" s="111"/>
      <c r="K586" s="111"/>
    </row>
    <row r="587">
      <c r="A587" s="120"/>
      <c r="B587" s="117"/>
      <c r="C587" s="116"/>
      <c r="D587" s="120"/>
      <c r="E587" s="116"/>
      <c r="F587" s="117"/>
      <c r="G587" s="117"/>
      <c r="H587" s="111"/>
      <c r="I587" s="111"/>
      <c r="J587" s="111"/>
      <c r="K587" s="111"/>
    </row>
    <row r="588">
      <c r="A588" s="120"/>
      <c r="B588" s="117"/>
      <c r="C588" s="116"/>
      <c r="D588" s="120"/>
      <c r="E588" s="116"/>
      <c r="F588" s="117"/>
      <c r="G588" s="117"/>
      <c r="H588" s="111"/>
      <c r="I588" s="111"/>
      <c r="J588" s="111"/>
      <c r="K588" s="111"/>
    </row>
    <row r="589">
      <c r="A589" s="120"/>
      <c r="B589" s="117"/>
      <c r="C589" s="116"/>
      <c r="D589" s="120"/>
      <c r="E589" s="116"/>
      <c r="F589" s="117"/>
      <c r="G589" s="117"/>
      <c r="H589" s="111"/>
      <c r="I589" s="111"/>
      <c r="J589" s="111"/>
      <c r="K589" s="111"/>
    </row>
    <row r="590">
      <c r="A590" s="120"/>
      <c r="B590" s="117"/>
      <c r="C590" s="116"/>
      <c r="D590" s="120"/>
      <c r="E590" s="116"/>
      <c r="F590" s="117"/>
      <c r="G590" s="117"/>
      <c r="H590" s="111"/>
      <c r="I590" s="111"/>
      <c r="J590" s="111"/>
      <c r="K590" s="111"/>
    </row>
    <row r="591">
      <c r="A591" s="120"/>
      <c r="B591" s="117"/>
      <c r="C591" s="116"/>
      <c r="D591" s="120"/>
      <c r="E591" s="116"/>
      <c r="F591" s="117"/>
      <c r="G591" s="117"/>
      <c r="H591" s="111"/>
      <c r="I591" s="111"/>
      <c r="J591" s="111"/>
      <c r="K591" s="111"/>
    </row>
    <row r="592">
      <c r="A592" s="120"/>
      <c r="B592" s="117"/>
      <c r="C592" s="116"/>
      <c r="D592" s="120"/>
      <c r="E592" s="116"/>
      <c r="F592" s="117"/>
      <c r="G592" s="117"/>
      <c r="H592" s="111"/>
      <c r="I592" s="111"/>
      <c r="J592" s="111"/>
      <c r="K592" s="111"/>
    </row>
    <row r="593">
      <c r="A593" s="120"/>
      <c r="B593" s="117"/>
      <c r="C593" s="116"/>
      <c r="D593" s="120"/>
      <c r="E593" s="116"/>
      <c r="F593" s="117"/>
      <c r="G593" s="117"/>
      <c r="H593" s="111"/>
      <c r="I593" s="111"/>
      <c r="J593" s="111"/>
      <c r="K593" s="111"/>
    </row>
    <row r="594">
      <c r="A594" s="120"/>
      <c r="B594" s="117"/>
      <c r="C594" s="116"/>
      <c r="D594" s="120"/>
      <c r="E594" s="116"/>
      <c r="F594" s="117"/>
      <c r="G594" s="117"/>
      <c r="H594" s="111"/>
      <c r="I594" s="111"/>
      <c r="J594" s="111"/>
      <c r="K594" s="111"/>
    </row>
    <row r="595">
      <c r="A595" s="120"/>
      <c r="B595" s="117"/>
      <c r="C595" s="116"/>
      <c r="D595" s="120"/>
      <c r="E595" s="116"/>
      <c r="F595" s="117"/>
      <c r="G595" s="117"/>
      <c r="H595" s="111"/>
      <c r="I595" s="111"/>
      <c r="J595" s="111"/>
      <c r="K595" s="111"/>
    </row>
    <row r="596">
      <c r="A596" s="120"/>
      <c r="B596" s="117"/>
      <c r="C596" s="116"/>
      <c r="D596" s="120"/>
      <c r="E596" s="116"/>
      <c r="F596" s="117"/>
      <c r="G596" s="117"/>
      <c r="H596" s="111"/>
      <c r="I596" s="111"/>
      <c r="J596" s="111"/>
      <c r="K596" s="111"/>
    </row>
    <row r="597">
      <c r="A597" s="120"/>
      <c r="B597" s="117"/>
      <c r="C597" s="116"/>
      <c r="D597" s="120"/>
      <c r="E597" s="116"/>
      <c r="F597" s="117"/>
      <c r="G597" s="117"/>
      <c r="H597" s="111"/>
      <c r="I597" s="111"/>
      <c r="J597" s="111"/>
      <c r="K597" s="111"/>
    </row>
    <row r="598">
      <c r="A598" s="120"/>
      <c r="B598" s="117"/>
      <c r="C598" s="116"/>
      <c r="D598" s="120"/>
      <c r="E598" s="116"/>
      <c r="F598" s="117"/>
      <c r="G598" s="117"/>
      <c r="H598" s="111"/>
      <c r="I598" s="111"/>
      <c r="J598" s="111"/>
      <c r="K598" s="111"/>
    </row>
    <row r="599">
      <c r="A599" s="120"/>
      <c r="B599" s="117"/>
      <c r="C599" s="116"/>
      <c r="D599" s="120"/>
      <c r="E599" s="116"/>
      <c r="F599" s="117"/>
      <c r="G599" s="117"/>
      <c r="H599" s="111"/>
      <c r="I599" s="111"/>
      <c r="J599" s="111"/>
      <c r="K599" s="111"/>
    </row>
    <row r="600">
      <c r="A600" s="120"/>
      <c r="B600" s="117"/>
      <c r="C600" s="116"/>
      <c r="D600" s="120"/>
      <c r="E600" s="116"/>
      <c r="F600" s="117"/>
      <c r="G600" s="117"/>
      <c r="H600" s="111"/>
      <c r="I600" s="111"/>
      <c r="J600" s="111"/>
      <c r="K600" s="111"/>
    </row>
    <row r="601">
      <c r="A601" s="120"/>
      <c r="B601" s="117"/>
      <c r="C601" s="116"/>
      <c r="D601" s="120"/>
      <c r="E601" s="116"/>
      <c r="F601" s="117"/>
      <c r="G601" s="117"/>
      <c r="H601" s="111"/>
      <c r="I601" s="111"/>
      <c r="J601" s="111"/>
      <c r="K601" s="111"/>
    </row>
    <row r="602">
      <c r="A602" s="120"/>
      <c r="B602" s="117"/>
      <c r="C602" s="116"/>
      <c r="D602" s="120"/>
      <c r="E602" s="116"/>
      <c r="F602" s="117"/>
      <c r="G602" s="117"/>
      <c r="H602" s="111"/>
      <c r="I602" s="111"/>
      <c r="J602" s="111"/>
      <c r="K602" s="111"/>
    </row>
    <row r="603">
      <c r="A603" s="120"/>
      <c r="B603" s="117"/>
      <c r="C603" s="116"/>
      <c r="D603" s="120"/>
      <c r="E603" s="116"/>
      <c r="F603" s="117"/>
      <c r="G603" s="117"/>
      <c r="H603" s="111"/>
      <c r="I603" s="111"/>
      <c r="J603" s="111"/>
      <c r="K603" s="111"/>
    </row>
    <row r="604">
      <c r="A604" s="120"/>
      <c r="B604" s="117"/>
      <c r="C604" s="116"/>
      <c r="D604" s="120"/>
      <c r="E604" s="116"/>
      <c r="F604" s="117"/>
      <c r="G604" s="117"/>
      <c r="H604" s="111"/>
      <c r="I604" s="111"/>
      <c r="J604" s="111"/>
      <c r="K604" s="111"/>
    </row>
    <row r="605">
      <c r="A605" s="120"/>
      <c r="B605" s="117"/>
      <c r="C605" s="116"/>
      <c r="D605" s="120"/>
      <c r="E605" s="116"/>
      <c r="F605" s="117"/>
      <c r="G605" s="117"/>
      <c r="H605" s="111"/>
      <c r="I605" s="111"/>
      <c r="J605" s="111"/>
      <c r="K605" s="111"/>
    </row>
    <row r="606">
      <c r="A606" s="120"/>
      <c r="B606" s="117"/>
      <c r="C606" s="116"/>
      <c r="D606" s="120"/>
      <c r="E606" s="116"/>
      <c r="F606" s="117"/>
      <c r="G606" s="117"/>
      <c r="H606" s="111"/>
      <c r="I606" s="111"/>
      <c r="J606" s="111"/>
      <c r="K606" s="111"/>
    </row>
    <row r="607">
      <c r="A607" s="120"/>
      <c r="B607" s="117"/>
      <c r="C607" s="116"/>
      <c r="D607" s="120"/>
      <c r="E607" s="116"/>
      <c r="F607" s="117"/>
      <c r="G607" s="117"/>
      <c r="H607" s="111"/>
      <c r="I607" s="111"/>
      <c r="J607" s="111"/>
      <c r="K607" s="111"/>
    </row>
    <row r="608">
      <c r="A608" s="120"/>
      <c r="B608" s="117"/>
      <c r="C608" s="116"/>
      <c r="D608" s="120"/>
      <c r="E608" s="116"/>
      <c r="F608" s="117"/>
      <c r="G608" s="117"/>
      <c r="H608" s="111"/>
      <c r="I608" s="111"/>
      <c r="J608" s="111"/>
      <c r="K608" s="111"/>
    </row>
    <row r="609">
      <c r="A609" s="120"/>
      <c r="B609" s="117"/>
      <c r="C609" s="116"/>
      <c r="D609" s="120"/>
      <c r="E609" s="116"/>
      <c r="F609" s="117"/>
      <c r="G609" s="117"/>
      <c r="H609" s="111"/>
      <c r="I609" s="111"/>
      <c r="J609" s="111"/>
      <c r="K609" s="111"/>
    </row>
    <row r="610">
      <c r="A610" s="120"/>
      <c r="B610" s="117"/>
      <c r="C610" s="116"/>
      <c r="D610" s="120"/>
      <c r="E610" s="116"/>
      <c r="F610" s="117"/>
      <c r="G610" s="117"/>
      <c r="H610" s="111"/>
      <c r="I610" s="111"/>
      <c r="J610" s="111"/>
      <c r="K610" s="111"/>
    </row>
    <row r="611">
      <c r="A611" s="120"/>
      <c r="B611" s="117"/>
      <c r="C611" s="116"/>
      <c r="D611" s="120"/>
      <c r="E611" s="116"/>
      <c r="F611" s="117"/>
      <c r="G611" s="117"/>
      <c r="H611" s="111"/>
      <c r="I611" s="111"/>
      <c r="J611" s="111"/>
      <c r="K611" s="111"/>
    </row>
    <row r="612">
      <c r="A612" s="120"/>
      <c r="B612" s="117"/>
      <c r="C612" s="116"/>
      <c r="D612" s="120"/>
      <c r="E612" s="116"/>
      <c r="F612" s="117"/>
      <c r="G612" s="117"/>
      <c r="H612" s="111"/>
      <c r="I612" s="111"/>
      <c r="J612" s="111"/>
      <c r="K612" s="111"/>
    </row>
    <row r="613">
      <c r="A613" s="120"/>
      <c r="B613" s="117"/>
      <c r="C613" s="116"/>
      <c r="D613" s="120"/>
      <c r="E613" s="116"/>
      <c r="F613" s="117"/>
      <c r="G613" s="117"/>
      <c r="H613" s="111"/>
      <c r="I613" s="111"/>
      <c r="J613" s="111"/>
      <c r="K613" s="111"/>
    </row>
    <row r="614">
      <c r="A614" s="120"/>
      <c r="B614" s="117"/>
      <c r="C614" s="116"/>
      <c r="D614" s="120"/>
      <c r="E614" s="116"/>
      <c r="F614" s="117"/>
      <c r="G614" s="117"/>
      <c r="H614" s="111"/>
      <c r="I614" s="111"/>
      <c r="J614" s="111"/>
      <c r="K614" s="111"/>
    </row>
    <row r="615">
      <c r="A615" s="120"/>
      <c r="B615" s="117"/>
      <c r="C615" s="116"/>
      <c r="D615" s="120"/>
      <c r="E615" s="116"/>
      <c r="F615" s="117"/>
      <c r="G615" s="117"/>
      <c r="H615" s="111"/>
      <c r="I615" s="111"/>
      <c r="J615" s="111"/>
      <c r="K615" s="111"/>
    </row>
    <row r="616">
      <c r="A616" s="120"/>
      <c r="B616" s="117"/>
      <c r="C616" s="116"/>
      <c r="D616" s="120"/>
      <c r="E616" s="116"/>
      <c r="F616" s="117"/>
      <c r="G616" s="117"/>
      <c r="H616" s="111"/>
      <c r="I616" s="111"/>
      <c r="J616" s="111"/>
      <c r="K616" s="111"/>
    </row>
    <row r="617">
      <c r="A617" s="120"/>
      <c r="B617" s="117"/>
      <c r="C617" s="116"/>
      <c r="D617" s="120"/>
      <c r="E617" s="116"/>
      <c r="F617" s="117"/>
      <c r="G617" s="117"/>
      <c r="H617" s="111"/>
      <c r="I617" s="111"/>
      <c r="J617" s="111"/>
      <c r="K617" s="111"/>
    </row>
    <row r="618">
      <c r="A618" s="120"/>
      <c r="B618" s="117"/>
      <c r="C618" s="116"/>
      <c r="D618" s="120"/>
      <c r="E618" s="116"/>
      <c r="F618" s="117"/>
      <c r="G618" s="117"/>
      <c r="H618" s="111"/>
      <c r="I618" s="111"/>
      <c r="J618" s="111"/>
      <c r="K618" s="111"/>
    </row>
    <row r="619">
      <c r="A619" s="120"/>
      <c r="B619" s="117"/>
      <c r="C619" s="116"/>
      <c r="D619" s="120"/>
      <c r="E619" s="116"/>
      <c r="F619" s="117"/>
      <c r="G619" s="117"/>
      <c r="H619" s="111"/>
      <c r="I619" s="111"/>
      <c r="J619" s="111"/>
      <c r="K619" s="111"/>
    </row>
    <row r="620">
      <c r="A620" s="120"/>
      <c r="B620" s="117"/>
      <c r="C620" s="116"/>
      <c r="D620" s="120"/>
      <c r="E620" s="116"/>
      <c r="F620" s="117"/>
      <c r="G620" s="117"/>
      <c r="H620" s="111"/>
      <c r="I620" s="111"/>
      <c r="J620" s="111"/>
      <c r="K620" s="111"/>
    </row>
    <row r="621">
      <c r="A621" s="120"/>
      <c r="B621" s="117"/>
      <c r="C621" s="116"/>
      <c r="D621" s="120"/>
      <c r="E621" s="116"/>
      <c r="F621" s="117"/>
      <c r="G621" s="117"/>
      <c r="H621" s="111"/>
      <c r="I621" s="111"/>
      <c r="J621" s="111"/>
      <c r="K621" s="111"/>
    </row>
    <row r="622">
      <c r="A622" s="120"/>
      <c r="B622" s="117"/>
      <c r="C622" s="116"/>
      <c r="D622" s="120"/>
      <c r="E622" s="116"/>
      <c r="F622" s="117"/>
      <c r="G622" s="117"/>
      <c r="H622" s="111"/>
      <c r="I622" s="111"/>
      <c r="J622" s="111"/>
      <c r="K622" s="111"/>
    </row>
    <row r="623">
      <c r="A623" s="120"/>
      <c r="B623" s="117"/>
      <c r="C623" s="116"/>
      <c r="D623" s="120"/>
      <c r="E623" s="116"/>
      <c r="F623" s="117"/>
      <c r="G623" s="117"/>
      <c r="H623" s="111"/>
      <c r="I623" s="111"/>
      <c r="J623" s="111"/>
      <c r="K623" s="111"/>
    </row>
    <row r="624">
      <c r="A624" s="120"/>
      <c r="B624" s="117"/>
      <c r="C624" s="116"/>
      <c r="D624" s="120"/>
      <c r="E624" s="116"/>
      <c r="F624" s="117"/>
      <c r="G624" s="117"/>
      <c r="H624" s="111"/>
      <c r="I624" s="111"/>
      <c r="J624" s="111"/>
      <c r="K624" s="111"/>
    </row>
    <row r="625">
      <c r="A625" s="120"/>
      <c r="B625" s="117"/>
      <c r="C625" s="116"/>
      <c r="D625" s="120"/>
      <c r="E625" s="116"/>
      <c r="F625" s="117"/>
      <c r="G625" s="117"/>
      <c r="H625" s="111"/>
      <c r="I625" s="111"/>
      <c r="J625" s="111"/>
      <c r="K625" s="111"/>
    </row>
    <row r="626">
      <c r="A626" s="120"/>
      <c r="B626" s="117"/>
      <c r="C626" s="116"/>
      <c r="D626" s="120"/>
      <c r="E626" s="116"/>
      <c r="F626" s="117"/>
      <c r="G626" s="117"/>
      <c r="H626" s="111"/>
      <c r="I626" s="111"/>
      <c r="J626" s="111"/>
      <c r="K626" s="111"/>
    </row>
    <row r="627">
      <c r="A627" s="120"/>
      <c r="B627" s="117"/>
      <c r="C627" s="116"/>
      <c r="D627" s="120"/>
      <c r="E627" s="116"/>
      <c r="F627" s="117"/>
      <c r="G627" s="117"/>
      <c r="H627" s="111"/>
      <c r="I627" s="111"/>
      <c r="J627" s="111"/>
      <c r="K627" s="111"/>
    </row>
    <row r="628">
      <c r="A628" s="120"/>
      <c r="B628" s="117"/>
      <c r="C628" s="116"/>
      <c r="D628" s="120"/>
      <c r="E628" s="116"/>
      <c r="F628" s="117"/>
      <c r="G628" s="117"/>
      <c r="H628" s="111"/>
      <c r="I628" s="111"/>
      <c r="J628" s="111"/>
      <c r="K628" s="111"/>
    </row>
    <row r="629">
      <c r="A629" s="120"/>
      <c r="B629" s="117"/>
      <c r="C629" s="116"/>
      <c r="D629" s="120"/>
      <c r="E629" s="116"/>
      <c r="F629" s="117"/>
      <c r="G629" s="117"/>
      <c r="H629" s="111"/>
      <c r="I629" s="111"/>
      <c r="J629" s="111"/>
      <c r="K629" s="111"/>
    </row>
    <row r="630">
      <c r="A630" s="120"/>
      <c r="B630" s="117"/>
      <c r="C630" s="116"/>
      <c r="D630" s="120"/>
      <c r="E630" s="116"/>
      <c r="F630" s="117"/>
      <c r="G630" s="117"/>
      <c r="H630" s="111"/>
      <c r="I630" s="111"/>
      <c r="J630" s="111"/>
      <c r="K630" s="111"/>
    </row>
    <row r="631">
      <c r="A631" s="120"/>
      <c r="B631" s="117"/>
      <c r="C631" s="116"/>
      <c r="D631" s="120"/>
      <c r="E631" s="116"/>
      <c r="F631" s="117"/>
      <c r="G631" s="117"/>
      <c r="H631" s="111"/>
      <c r="I631" s="111"/>
      <c r="J631" s="111"/>
      <c r="K631" s="111"/>
    </row>
    <row r="632">
      <c r="A632" s="120"/>
      <c r="B632" s="117"/>
      <c r="C632" s="116"/>
      <c r="D632" s="120"/>
      <c r="E632" s="116"/>
      <c r="F632" s="117"/>
      <c r="G632" s="117"/>
      <c r="H632" s="111"/>
      <c r="I632" s="111"/>
      <c r="J632" s="111"/>
      <c r="K632" s="111"/>
    </row>
    <row r="633">
      <c r="A633" s="120"/>
      <c r="B633" s="117"/>
      <c r="C633" s="116"/>
      <c r="D633" s="120"/>
      <c r="E633" s="116"/>
      <c r="F633" s="117"/>
      <c r="G633" s="117"/>
      <c r="H633" s="111"/>
      <c r="I633" s="111"/>
      <c r="J633" s="111"/>
      <c r="K633" s="111"/>
    </row>
    <row r="634">
      <c r="A634" s="120"/>
      <c r="B634" s="117"/>
      <c r="C634" s="116"/>
      <c r="D634" s="120"/>
      <c r="E634" s="116"/>
      <c r="F634" s="117"/>
      <c r="G634" s="117"/>
      <c r="H634" s="111"/>
      <c r="I634" s="111"/>
      <c r="J634" s="111"/>
      <c r="K634" s="111"/>
    </row>
    <row r="635">
      <c r="A635" s="120"/>
      <c r="B635" s="117"/>
      <c r="C635" s="116"/>
      <c r="D635" s="120"/>
      <c r="E635" s="116"/>
      <c r="F635" s="117"/>
      <c r="G635" s="117"/>
      <c r="H635" s="111"/>
      <c r="I635" s="111"/>
      <c r="J635" s="111"/>
      <c r="K635" s="111"/>
    </row>
    <row r="636">
      <c r="A636" s="120"/>
      <c r="B636" s="117"/>
      <c r="C636" s="116"/>
      <c r="D636" s="120"/>
      <c r="E636" s="116"/>
      <c r="F636" s="117"/>
      <c r="G636" s="117"/>
      <c r="H636" s="111"/>
      <c r="I636" s="111"/>
      <c r="J636" s="111"/>
      <c r="K636" s="111"/>
    </row>
    <row r="637">
      <c r="A637" s="120"/>
      <c r="B637" s="117"/>
      <c r="C637" s="116"/>
      <c r="D637" s="120"/>
      <c r="E637" s="116"/>
      <c r="F637" s="117"/>
      <c r="G637" s="117"/>
      <c r="H637" s="111"/>
      <c r="I637" s="111"/>
      <c r="J637" s="111"/>
      <c r="K637" s="111"/>
    </row>
    <row r="638">
      <c r="A638" s="120"/>
      <c r="B638" s="117"/>
      <c r="C638" s="116"/>
      <c r="D638" s="120"/>
      <c r="E638" s="116"/>
      <c r="F638" s="117"/>
      <c r="G638" s="117"/>
      <c r="H638" s="111"/>
      <c r="I638" s="111"/>
      <c r="J638" s="111"/>
      <c r="K638" s="111"/>
    </row>
    <row r="639">
      <c r="A639" s="120"/>
      <c r="B639" s="117"/>
      <c r="C639" s="116"/>
      <c r="D639" s="120"/>
      <c r="E639" s="116"/>
      <c r="F639" s="117"/>
      <c r="G639" s="117"/>
      <c r="H639" s="111"/>
      <c r="I639" s="111"/>
      <c r="J639" s="111"/>
      <c r="K639" s="111"/>
    </row>
    <row r="640">
      <c r="A640" s="120"/>
      <c r="B640" s="117"/>
      <c r="C640" s="116"/>
      <c r="D640" s="120"/>
      <c r="E640" s="116"/>
      <c r="F640" s="117"/>
      <c r="G640" s="117"/>
      <c r="H640" s="111"/>
      <c r="I640" s="111"/>
      <c r="J640" s="111"/>
      <c r="K640" s="111"/>
    </row>
    <row r="641">
      <c r="A641" s="120"/>
      <c r="B641" s="117"/>
      <c r="C641" s="116"/>
      <c r="D641" s="120"/>
      <c r="E641" s="116"/>
      <c r="F641" s="117"/>
      <c r="G641" s="117"/>
      <c r="H641" s="111"/>
      <c r="I641" s="111"/>
      <c r="J641" s="111"/>
      <c r="K641" s="111"/>
    </row>
    <row r="642">
      <c r="A642" s="120"/>
      <c r="B642" s="117"/>
      <c r="C642" s="116"/>
      <c r="D642" s="120"/>
      <c r="E642" s="116"/>
      <c r="F642" s="117"/>
      <c r="G642" s="117"/>
      <c r="H642" s="111"/>
      <c r="I642" s="111"/>
      <c r="J642" s="111"/>
      <c r="K642" s="111"/>
    </row>
    <row r="643">
      <c r="A643" s="120"/>
      <c r="B643" s="117"/>
      <c r="C643" s="116"/>
      <c r="D643" s="120"/>
      <c r="E643" s="116"/>
      <c r="F643" s="117"/>
      <c r="G643" s="117"/>
      <c r="H643" s="111"/>
      <c r="I643" s="111"/>
      <c r="J643" s="111"/>
      <c r="K643" s="111"/>
    </row>
    <row r="644">
      <c r="A644" s="120"/>
      <c r="B644" s="117"/>
      <c r="C644" s="116"/>
      <c r="D644" s="120"/>
      <c r="E644" s="116"/>
      <c r="F644" s="117"/>
      <c r="G644" s="117"/>
      <c r="H644" s="111"/>
      <c r="I644" s="111"/>
      <c r="J644" s="111"/>
      <c r="K644" s="111"/>
    </row>
    <row r="645">
      <c r="A645" s="120"/>
      <c r="B645" s="117"/>
      <c r="C645" s="116"/>
      <c r="D645" s="120"/>
      <c r="E645" s="116"/>
      <c r="F645" s="117"/>
      <c r="G645" s="117"/>
      <c r="H645" s="111"/>
      <c r="I645" s="111"/>
      <c r="J645" s="111"/>
      <c r="K645" s="111"/>
    </row>
    <row r="646">
      <c r="A646" s="120"/>
      <c r="B646" s="117"/>
      <c r="C646" s="116"/>
      <c r="D646" s="120"/>
      <c r="E646" s="116"/>
      <c r="F646" s="117"/>
      <c r="G646" s="117"/>
      <c r="H646" s="111"/>
      <c r="I646" s="111"/>
      <c r="J646" s="111"/>
      <c r="K646" s="111"/>
    </row>
    <row r="647">
      <c r="A647" s="120"/>
      <c r="B647" s="117"/>
      <c r="C647" s="116"/>
      <c r="D647" s="120"/>
      <c r="E647" s="116"/>
      <c r="F647" s="117"/>
      <c r="G647" s="117"/>
      <c r="H647" s="111"/>
      <c r="I647" s="111"/>
      <c r="J647" s="111"/>
      <c r="K647" s="111"/>
    </row>
    <row r="648">
      <c r="A648" s="120"/>
      <c r="B648" s="117"/>
      <c r="C648" s="116"/>
      <c r="D648" s="120"/>
      <c r="E648" s="116"/>
      <c r="F648" s="117"/>
      <c r="G648" s="117"/>
      <c r="H648" s="111"/>
      <c r="I648" s="111"/>
      <c r="J648" s="111"/>
      <c r="K648" s="111"/>
    </row>
    <row r="649">
      <c r="A649" s="120"/>
      <c r="B649" s="117"/>
      <c r="C649" s="116"/>
      <c r="D649" s="120"/>
      <c r="E649" s="116"/>
      <c r="F649" s="117"/>
      <c r="G649" s="117"/>
      <c r="H649" s="111"/>
      <c r="I649" s="111"/>
      <c r="J649" s="111"/>
      <c r="K649" s="111"/>
    </row>
    <row r="650">
      <c r="A650" s="120"/>
      <c r="B650" s="117"/>
      <c r="C650" s="116"/>
      <c r="D650" s="120"/>
      <c r="E650" s="116"/>
      <c r="F650" s="117"/>
      <c r="G650" s="117"/>
      <c r="H650" s="111"/>
      <c r="I650" s="111"/>
      <c r="J650" s="111"/>
      <c r="K650" s="111"/>
    </row>
    <row r="651">
      <c r="A651" s="120"/>
      <c r="B651" s="117"/>
      <c r="C651" s="116"/>
      <c r="D651" s="120"/>
      <c r="E651" s="116"/>
      <c r="F651" s="117"/>
      <c r="G651" s="117"/>
      <c r="H651" s="111"/>
      <c r="I651" s="111"/>
      <c r="J651" s="111"/>
      <c r="K651" s="111"/>
    </row>
    <row r="652">
      <c r="A652" s="120"/>
      <c r="B652" s="117"/>
      <c r="C652" s="116"/>
      <c r="D652" s="120"/>
      <c r="E652" s="116"/>
      <c r="F652" s="117"/>
      <c r="G652" s="117"/>
      <c r="H652" s="111"/>
      <c r="I652" s="111"/>
      <c r="J652" s="111"/>
      <c r="K652" s="111"/>
    </row>
    <row r="653">
      <c r="A653" s="120"/>
      <c r="B653" s="117"/>
      <c r="C653" s="116"/>
      <c r="D653" s="120"/>
      <c r="E653" s="116"/>
      <c r="F653" s="117"/>
      <c r="G653" s="117"/>
      <c r="H653" s="111"/>
      <c r="I653" s="111"/>
      <c r="J653" s="111"/>
      <c r="K653" s="111"/>
    </row>
    <row r="654">
      <c r="A654" s="120"/>
      <c r="B654" s="117"/>
      <c r="C654" s="116"/>
      <c r="D654" s="120"/>
      <c r="E654" s="116"/>
      <c r="F654" s="117"/>
      <c r="G654" s="117"/>
      <c r="H654" s="111"/>
      <c r="I654" s="111"/>
      <c r="J654" s="111"/>
      <c r="K654" s="111"/>
    </row>
    <row r="655">
      <c r="A655" s="120"/>
      <c r="B655" s="117"/>
      <c r="C655" s="116"/>
      <c r="D655" s="120"/>
      <c r="E655" s="116"/>
      <c r="F655" s="117"/>
      <c r="G655" s="117"/>
      <c r="H655" s="111"/>
      <c r="I655" s="111"/>
      <c r="J655" s="111"/>
      <c r="K655" s="111"/>
    </row>
    <row r="656">
      <c r="A656" s="120"/>
      <c r="B656" s="117"/>
      <c r="C656" s="116"/>
      <c r="D656" s="120"/>
      <c r="E656" s="116"/>
      <c r="F656" s="117"/>
      <c r="G656" s="117"/>
      <c r="H656" s="111"/>
      <c r="I656" s="111"/>
      <c r="J656" s="111"/>
      <c r="K656" s="111"/>
    </row>
    <row r="657">
      <c r="A657" s="120"/>
      <c r="B657" s="117"/>
      <c r="C657" s="116"/>
      <c r="D657" s="120"/>
      <c r="E657" s="116"/>
      <c r="F657" s="117"/>
      <c r="G657" s="117"/>
      <c r="H657" s="111"/>
      <c r="I657" s="111"/>
      <c r="J657" s="111"/>
      <c r="K657" s="111"/>
    </row>
    <row r="658">
      <c r="A658" s="120"/>
      <c r="B658" s="117"/>
      <c r="C658" s="116"/>
      <c r="D658" s="120"/>
      <c r="E658" s="116"/>
      <c r="F658" s="117"/>
      <c r="G658" s="117"/>
      <c r="H658" s="111"/>
      <c r="I658" s="111"/>
      <c r="J658" s="111"/>
      <c r="K658" s="111"/>
    </row>
    <row r="659">
      <c r="A659" s="120"/>
      <c r="B659" s="117"/>
      <c r="C659" s="116"/>
      <c r="D659" s="120"/>
      <c r="E659" s="116"/>
      <c r="F659" s="117"/>
      <c r="G659" s="117"/>
      <c r="H659" s="111"/>
      <c r="I659" s="111"/>
      <c r="J659" s="111"/>
      <c r="K659" s="111"/>
    </row>
    <row r="660">
      <c r="A660" s="120"/>
      <c r="B660" s="117"/>
      <c r="C660" s="116"/>
      <c r="D660" s="120"/>
      <c r="E660" s="116"/>
      <c r="F660" s="117"/>
      <c r="G660" s="117"/>
      <c r="H660" s="111"/>
      <c r="I660" s="111"/>
      <c r="J660" s="111"/>
      <c r="K660" s="111"/>
    </row>
    <row r="661">
      <c r="A661" s="120"/>
      <c r="B661" s="117"/>
      <c r="C661" s="116"/>
      <c r="D661" s="120"/>
      <c r="E661" s="116"/>
      <c r="F661" s="117"/>
      <c r="G661" s="117"/>
      <c r="H661" s="111"/>
      <c r="I661" s="111"/>
      <c r="J661" s="111"/>
      <c r="K661" s="111"/>
    </row>
    <row r="662">
      <c r="A662" s="120"/>
      <c r="B662" s="117"/>
      <c r="C662" s="116"/>
      <c r="D662" s="120"/>
      <c r="E662" s="116"/>
      <c r="F662" s="117"/>
      <c r="G662" s="117"/>
      <c r="H662" s="111"/>
      <c r="I662" s="111"/>
      <c r="J662" s="111"/>
      <c r="K662" s="111"/>
    </row>
    <row r="663">
      <c r="A663" s="120"/>
      <c r="B663" s="117"/>
      <c r="C663" s="116"/>
      <c r="D663" s="120"/>
      <c r="E663" s="116"/>
      <c r="F663" s="117"/>
      <c r="G663" s="117"/>
      <c r="H663" s="111"/>
      <c r="I663" s="111"/>
      <c r="J663" s="111"/>
      <c r="K663" s="111"/>
    </row>
    <row r="664">
      <c r="A664" s="120"/>
      <c r="B664" s="117"/>
      <c r="C664" s="116"/>
      <c r="D664" s="120"/>
      <c r="E664" s="116"/>
      <c r="F664" s="117"/>
      <c r="G664" s="117"/>
      <c r="H664" s="111"/>
      <c r="I664" s="111"/>
      <c r="J664" s="111"/>
      <c r="K664" s="111"/>
    </row>
    <row r="665">
      <c r="A665" s="120"/>
      <c r="B665" s="117"/>
      <c r="C665" s="116"/>
      <c r="D665" s="120"/>
      <c r="E665" s="116"/>
      <c r="F665" s="117"/>
      <c r="G665" s="117"/>
      <c r="H665" s="111"/>
      <c r="I665" s="111"/>
      <c r="J665" s="111"/>
      <c r="K665" s="111"/>
    </row>
    <row r="666">
      <c r="A666" s="120"/>
      <c r="B666" s="117"/>
      <c r="C666" s="116"/>
      <c r="D666" s="120"/>
      <c r="E666" s="116"/>
      <c r="F666" s="117"/>
      <c r="G666" s="117"/>
      <c r="H666" s="111"/>
      <c r="I666" s="111"/>
      <c r="J666" s="111"/>
      <c r="K666" s="111"/>
    </row>
    <row r="667">
      <c r="A667" s="120"/>
      <c r="B667" s="117"/>
      <c r="C667" s="116"/>
      <c r="D667" s="120"/>
      <c r="E667" s="116"/>
      <c r="F667" s="117"/>
      <c r="G667" s="117"/>
      <c r="H667" s="111"/>
      <c r="I667" s="111"/>
      <c r="J667" s="111"/>
      <c r="K667" s="111"/>
    </row>
    <row r="668">
      <c r="A668" s="120"/>
      <c r="B668" s="117"/>
      <c r="C668" s="116"/>
      <c r="D668" s="120"/>
      <c r="E668" s="116"/>
      <c r="F668" s="117"/>
      <c r="G668" s="117"/>
      <c r="H668" s="111"/>
      <c r="I668" s="111"/>
      <c r="J668" s="111"/>
      <c r="K668" s="111"/>
    </row>
    <row r="669">
      <c r="A669" s="120"/>
      <c r="B669" s="117"/>
      <c r="C669" s="116"/>
      <c r="D669" s="120"/>
      <c r="E669" s="116"/>
      <c r="F669" s="117"/>
      <c r="G669" s="117"/>
      <c r="H669" s="111"/>
      <c r="I669" s="111"/>
      <c r="J669" s="111"/>
      <c r="K669" s="111"/>
    </row>
    <row r="670">
      <c r="A670" s="120"/>
      <c r="B670" s="117"/>
      <c r="C670" s="116"/>
      <c r="D670" s="120"/>
      <c r="E670" s="116"/>
      <c r="F670" s="117"/>
      <c r="G670" s="117"/>
      <c r="H670" s="111"/>
      <c r="I670" s="111"/>
      <c r="J670" s="111"/>
      <c r="K670" s="111"/>
    </row>
    <row r="671">
      <c r="A671" s="120"/>
      <c r="B671" s="117"/>
      <c r="C671" s="116"/>
      <c r="D671" s="120"/>
      <c r="E671" s="116"/>
      <c r="F671" s="117"/>
      <c r="G671" s="117"/>
      <c r="H671" s="111"/>
      <c r="I671" s="111"/>
      <c r="J671" s="111"/>
      <c r="K671" s="111"/>
    </row>
    <row r="672">
      <c r="A672" s="120"/>
      <c r="B672" s="117"/>
      <c r="C672" s="116"/>
      <c r="D672" s="120"/>
      <c r="E672" s="116"/>
      <c r="F672" s="117"/>
      <c r="G672" s="117"/>
      <c r="H672" s="111"/>
      <c r="I672" s="111"/>
      <c r="J672" s="111"/>
      <c r="K672" s="111"/>
    </row>
    <row r="673">
      <c r="A673" s="120"/>
      <c r="B673" s="117"/>
      <c r="C673" s="116"/>
      <c r="D673" s="120"/>
      <c r="E673" s="116"/>
      <c r="F673" s="117"/>
      <c r="G673" s="117"/>
      <c r="H673" s="111"/>
      <c r="I673" s="111"/>
      <c r="J673" s="111"/>
      <c r="K673" s="111"/>
    </row>
    <row r="674">
      <c r="A674" s="120"/>
      <c r="B674" s="117"/>
      <c r="C674" s="116"/>
      <c r="D674" s="120"/>
      <c r="E674" s="116"/>
      <c r="F674" s="117"/>
      <c r="G674" s="117"/>
      <c r="H674" s="111"/>
      <c r="I674" s="111"/>
      <c r="J674" s="111"/>
      <c r="K674" s="111"/>
    </row>
    <row r="675">
      <c r="A675" s="120"/>
      <c r="B675" s="117"/>
      <c r="C675" s="116"/>
      <c r="D675" s="120"/>
      <c r="E675" s="116"/>
      <c r="F675" s="117"/>
      <c r="G675" s="117"/>
      <c r="H675" s="111"/>
      <c r="I675" s="111"/>
      <c r="J675" s="111"/>
      <c r="K675" s="111"/>
    </row>
    <row r="676">
      <c r="A676" s="120"/>
      <c r="B676" s="117"/>
      <c r="C676" s="116"/>
      <c r="D676" s="120"/>
      <c r="E676" s="116"/>
      <c r="F676" s="117"/>
      <c r="G676" s="117"/>
      <c r="H676" s="111"/>
      <c r="I676" s="111"/>
      <c r="J676" s="111"/>
      <c r="K676" s="111"/>
    </row>
    <row r="677">
      <c r="A677" s="120"/>
      <c r="B677" s="117"/>
      <c r="C677" s="116"/>
      <c r="D677" s="120"/>
      <c r="E677" s="116"/>
      <c r="F677" s="117"/>
      <c r="G677" s="117"/>
      <c r="H677" s="111"/>
      <c r="I677" s="111"/>
      <c r="J677" s="111"/>
      <c r="K677" s="111"/>
    </row>
    <row r="678">
      <c r="A678" s="120"/>
      <c r="B678" s="117"/>
      <c r="C678" s="116"/>
      <c r="D678" s="120"/>
      <c r="E678" s="116"/>
      <c r="F678" s="117"/>
      <c r="G678" s="117"/>
      <c r="H678" s="111"/>
      <c r="I678" s="111"/>
      <c r="J678" s="111"/>
      <c r="K678" s="111"/>
    </row>
    <row r="679">
      <c r="A679" s="120"/>
      <c r="B679" s="117"/>
      <c r="C679" s="116"/>
      <c r="D679" s="120"/>
      <c r="E679" s="116"/>
      <c r="F679" s="117"/>
      <c r="G679" s="117"/>
      <c r="H679" s="111"/>
      <c r="I679" s="111"/>
      <c r="J679" s="111"/>
      <c r="K679" s="111"/>
    </row>
    <row r="680">
      <c r="A680" s="120"/>
      <c r="B680" s="117"/>
      <c r="C680" s="116"/>
      <c r="D680" s="120"/>
      <c r="E680" s="116"/>
      <c r="F680" s="117"/>
      <c r="G680" s="117"/>
      <c r="H680" s="111"/>
      <c r="I680" s="111"/>
      <c r="J680" s="111"/>
      <c r="K680" s="111"/>
    </row>
    <row r="681">
      <c r="A681" s="120"/>
      <c r="B681" s="117"/>
      <c r="C681" s="116"/>
      <c r="D681" s="120"/>
      <c r="E681" s="116"/>
      <c r="F681" s="117"/>
      <c r="G681" s="117"/>
      <c r="H681" s="111"/>
      <c r="I681" s="111"/>
      <c r="J681" s="111"/>
      <c r="K681" s="111"/>
    </row>
    <row r="682">
      <c r="A682" s="120"/>
      <c r="B682" s="117"/>
      <c r="C682" s="116"/>
      <c r="D682" s="120"/>
      <c r="E682" s="116"/>
      <c r="F682" s="117"/>
      <c r="G682" s="117"/>
      <c r="H682" s="111"/>
      <c r="I682" s="111"/>
      <c r="J682" s="111"/>
      <c r="K682" s="111"/>
    </row>
    <row r="683">
      <c r="A683" s="120"/>
      <c r="B683" s="117"/>
      <c r="C683" s="116"/>
      <c r="D683" s="120"/>
      <c r="E683" s="116"/>
      <c r="F683" s="117"/>
      <c r="G683" s="117"/>
      <c r="H683" s="111"/>
      <c r="I683" s="111"/>
      <c r="J683" s="111"/>
      <c r="K683" s="111"/>
    </row>
    <row r="684">
      <c r="A684" s="120"/>
      <c r="B684" s="117"/>
      <c r="C684" s="116"/>
      <c r="D684" s="120"/>
      <c r="E684" s="116"/>
      <c r="F684" s="117"/>
      <c r="G684" s="117"/>
      <c r="H684" s="111"/>
      <c r="I684" s="111"/>
      <c r="J684" s="111"/>
      <c r="K684" s="111"/>
    </row>
    <row r="685">
      <c r="A685" s="120"/>
      <c r="B685" s="117"/>
      <c r="C685" s="116"/>
      <c r="D685" s="120"/>
      <c r="E685" s="116"/>
      <c r="F685" s="117"/>
      <c r="G685" s="117"/>
      <c r="H685" s="111"/>
      <c r="I685" s="111"/>
      <c r="J685" s="111"/>
      <c r="K685" s="111"/>
    </row>
    <row r="686">
      <c r="A686" s="120"/>
      <c r="B686" s="117"/>
      <c r="C686" s="116"/>
      <c r="D686" s="120"/>
      <c r="E686" s="116"/>
      <c r="F686" s="117"/>
      <c r="G686" s="117"/>
      <c r="H686" s="111"/>
      <c r="I686" s="111"/>
      <c r="J686" s="111"/>
      <c r="K686" s="111"/>
    </row>
    <row r="687">
      <c r="A687" s="120"/>
      <c r="B687" s="117"/>
      <c r="C687" s="116"/>
      <c r="D687" s="120"/>
      <c r="E687" s="116"/>
      <c r="F687" s="117"/>
      <c r="G687" s="117"/>
      <c r="H687" s="111"/>
      <c r="I687" s="111"/>
      <c r="J687" s="111"/>
      <c r="K687" s="111"/>
    </row>
    <row r="688">
      <c r="A688" s="120"/>
      <c r="B688" s="117"/>
      <c r="C688" s="116"/>
      <c r="D688" s="120"/>
      <c r="E688" s="116"/>
      <c r="F688" s="117"/>
      <c r="G688" s="117"/>
      <c r="H688" s="111"/>
      <c r="I688" s="111"/>
      <c r="J688" s="111"/>
      <c r="K688" s="111"/>
    </row>
    <row r="689">
      <c r="A689" s="120"/>
      <c r="B689" s="117"/>
      <c r="C689" s="116"/>
      <c r="D689" s="120"/>
      <c r="E689" s="116"/>
      <c r="F689" s="117"/>
      <c r="G689" s="117"/>
      <c r="H689" s="111"/>
      <c r="I689" s="111"/>
      <c r="J689" s="111"/>
      <c r="K689" s="111"/>
    </row>
    <row r="690">
      <c r="A690" s="120"/>
      <c r="B690" s="117"/>
      <c r="C690" s="116"/>
      <c r="D690" s="120"/>
      <c r="E690" s="116"/>
      <c r="F690" s="117"/>
      <c r="G690" s="117"/>
      <c r="H690" s="111"/>
      <c r="I690" s="111"/>
      <c r="J690" s="111"/>
      <c r="K690" s="111"/>
    </row>
    <row r="691">
      <c r="A691" s="120"/>
      <c r="B691" s="117"/>
      <c r="C691" s="116"/>
      <c r="D691" s="120"/>
      <c r="E691" s="116"/>
      <c r="F691" s="117"/>
      <c r="G691" s="117"/>
      <c r="H691" s="111"/>
      <c r="I691" s="111"/>
      <c r="J691" s="111"/>
      <c r="K691" s="111"/>
    </row>
    <row r="692">
      <c r="A692" s="120"/>
      <c r="B692" s="117"/>
      <c r="C692" s="116"/>
      <c r="D692" s="120"/>
      <c r="E692" s="116"/>
      <c r="F692" s="117"/>
      <c r="G692" s="117"/>
      <c r="H692" s="111"/>
      <c r="I692" s="111"/>
      <c r="J692" s="111"/>
      <c r="K692" s="111"/>
    </row>
    <row r="693">
      <c r="A693" s="120"/>
      <c r="B693" s="117"/>
      <c r="C693" s="116"/>
      <c r="D693" s="120"/>
      <c r="E693" s="116"/>
      <c r="F693" s="117"/>
      <c r="G693" s="117"/>
      <c r="H693" s="111"/>
      <c r="I693" s="111"/>
      <c r="J693" s="111"/>
      <c r="K693" s="111"/>
    </row>
    <row r="694">
      <c r="A694" s="120"/>
      <c r="B694" s="117"/>
      <c r="C694" s="116"/>
      <c r="D694" s="120"/>
      <c r="E694" s="116"/>
      <c r="F694" s="117"/>
      <c r="G694" s="117"/>
      <c r="H694" s="111"/>
      <c r="I694" s="111"/>
      <c r="J694" s="111"/>
      <c r="K694" s="111"/>
    </row>
    <row r="695">
      <c r="A695" s="120"/>
      <c r="B695" s="117"/>
      <c r="C695" s="116"/>
      <c r="D695" s="120"/>
      <c r="E695" s="116"/>
      <c r="F695" s="117"/>
      <c r="G695" s="117"/>
      <c r="H695" s="111"/>
      <c r="I695" s="111"/>
      <c r="J695" s="111"/>
      <c r="K695" s="111"/>
    </row>
    <row r="696">
      <c r="A696" s="120"/>
      <c r="B696" s="117"/>
      <c r="C696" s="116"/>
      <c r="D696" s="120"/>
      <c r="E696" s="116"/>
      <c r="F696" s="117"/>
      <c r="G696" s="117"/>
      <c r="H696" s="111"/>
      <c r="I696" s="111"/>
      <c r="J696" s="111"/>
      <c r="K696" s="111"/>
    </row>
    <row r="697">
      <c r="A697" s="120"/>
      <c r="B697" s="117"/>
      <c r="C697" s="116"/>
      <c r="D697" s="120"/>
      <c r="E697" s="116"/>
      <c r="F697" s="117"/>
      <c r="G697" s="117"/>
      <c r="H697" s="111"/>
      <c r="I697" s="111"/>
      <c r="J697" s="111"/>
      <c r="K697" s="111"/>
    </row>
    <row r="698">
      <c r="A698" s="120"/>
      <c r="B698" s="117"/>
      <c r="C698" s="116"/>
      <c r="D698" s="120"/>
      <c r="E698" s="116"/>
      <c r="F698" s="117"/>
      <c r="G698" s="117"/>
      <c r="H698" s="111"/>
      <c r="I698" s="111"/>
      <c r="J698" s="111"/>
      <c r="K698" s="111"/>
    </row>
    <row r="699">
      <c r="A699" s="120"/>
      <c r="B699" s="117"/>
      <c r="C699" s="116"/>
      <c r="D699" s="120"/>
      <c r="E699" s="116"/>
      <c r="F699" s="117"/>
      <c r="G699" s="117"/>
      <c r="H699" s="111"/>
      <c r="I699" s="111"/>
      <c r="J699" s="111"/>
      <c r="K699" s="111"/>
    </row>
    <row r="700">
      <c r="A700" s="120"/>
      <c r="B700" s="117"/>
      <c r="C700" s="116"/>
      <c r="D700" s="120"/>
      <c r="E700" s="116"/>
      <c r="F700" s="117"/>
      <c r="G700" s="117"/>
      <c r="H700" s="111"/>
      <c r="I700" s="111"/>
      <c r="J700" s="111"/>
      <c r="K700" s="111"/>
    </row>
    <row r="701">
      <c r="A701" s="120"/>
      <c r="B701" s="117"/>
      <c r="C701" s="116"/>
      <c r="D701" s="120"/>
      <c r="E701" s="116"/>
      <c r="F701" s="117"/>
      <c r="G701" s="117"/>
      <c r="H701" s="111"/>
      <c r="I701" s="111"/>
      <c r="J701" s="111"/>
      <c r="K701" s="111"/>
    </row>
    <row r="702">
      <c r="A702" s="120"/>
      <c r="B702" s="117"/>
      <c r="C702" s="116"/>
      <c r="D702" s="120"/>
      <c r="E702" s="116"/>
      <c r="F702" s="117"/>
      <c r="G702" s="117"/>
      <c r="H702" s="111"/>
      <c r="I702" s="111"/>
      <c r="J702" s="111"/>
      <c r="K702" s="111"/>
    </row>
    <row r="703">
      <c r="A703" s="120"/>
      <c r="B703" s="117"/>
      <c r="C703" s="116"/>
      <c r="D703" s="120"/>
      <c r="E703" s="116"/>
      <c r="F703" s="117"/>
      <c r="G703" s="117"/>
      <c r="H703" s="111"/>
      <c r="I703" s="111"/>
      <c r="J703" s="111"/>
      <c r="K703" s="111"/>
    </row>
    <row r="704">
      <c r="A704" s="120"/>
      <c r="B704" s="117"/>
      <c r="C704" s="116"/>
      <c r="D704" s="120"/>
      <c r="E704" s="116"/>
      <c r="F704" s="117"/>
      <c r="G704" s="117"/>
      <c r="H704" s="111"/>
      <c r="I704" s="111"/>
      <c r="J704" s="111"/>
      <c r="K704" s="111"/>
    </row>
    <row r="705">
      <c r="A705" s="120"/>
      <c r="B705" s="117"/>
      <c r="C705" s="116"/>
      <c r="D705" s="120"/>
      <c r="E705" s="116"/>
      <c r="F705" s="117"/>
      <c r="G705" s="117"/>
      <c r="H705" s="111"/>
      <c r="I705" s="111"/>
      <c r="J705" s="111"/>
      <c r="K705" s="111"/>
    </row>
    <row r="706">
      <c r="A706" s="120"/>
      <c r="B706" s="117"/>
      <c r="C706" s="116"/>
      <c r="D706" s="120"/>
      <c r="E706" s="116"/>
      <c r="F706" s="117"/>
      <c r="G706" s="117"/>
      <c r="H706" s="111"/>
      <c r="I706" s="111"/>
      <c r="J706" s="111"/>
      <c r="K706" s="111"/>
    </row>
    <row r="707">
      <c r="A707" s="120"/>
      <c r="B707" s="117"/>
      <c r="C707" s="116"/>
      <c r="D707" s="120"/>
      <c r="E707" s="116"/>
      <c r="F707" s="117"/>
      <c r="G707" s="117"/>
      <c r="H707" s="111"/>
      <c r="I707" s="111"/>
      <c r="J707" s="111"/>
      <c r="K707" s="111"/>
    </row>
    <row r="708">
      <c r="A708" s="120"/>
      <c r="B708" s="117"/>
      <c r="C708" s="116"/>
      <c r="D708" s="120"/>
      <c r="E708" s="116"/>
      <c r="F708" s="117"/>
      <c r="G708" s="117"/>
      <c r="H708" s="111"/>
      <c r="I708" s="111"/>
      <c r="J708" s="111"/>
      <c r="K708" s="111"/>
    </row>
    <row r="709">
      <c r="A709" s="120"/>
      <c r="B709" s="117"/>
      <c r="C709" s="116"/>
      <c r="D709" s="120"/>
      <c r="E709" s="116"/>
      <c r="F709" s="117"/>
      <c r="G709" s="117"/>
      <c r="H709" s="111"/>
      <c r="I709" s="111"/>
      <c r="J709" s="111"/>
      <c r="K709" s="111"/>
    </row>
    <row r="710">
      <c r="A710" s="120"/>
      <c r="B710" s="117"/>
      <c r="C710" s="116"/>
      <c r="D710" s="120"/>
      <c r="E710" s="116"/>
      <c r="F710" s="117"/>
      <c r="G710" s="117"/>
      <c r="H710" s="111"/>
      <c r="I710" s="111"/>
      <c r="J710" s="111"/>
      <c r="K710" s="111"/>
    </row>
    <row r="711">
      <c r="A711" s="120"/>
      <c r="B711" s="117"/>
      <c r="C711" s="116"/>
      <c r="D711" s="120"/>
      <c r="E711" s="116"/>
      <c r="F711" s="117"/>
      <c r="G711" s="117"/>
      <c r="H711" s="111"/>
      <c r="I711" s="111"/>
      <c r="J711" s="111"/>
      <c r="K711" s="111"/>
    </row>
    <row r="712">
      <c r="A712" s="120"/>
      <c r="B712" s="117"/>
      <c r="C712" s="116"/>
      <c r="D712" s="120"/>
      <c r="E712" s="116"/>
      <c r="F712" s="117"/>
      <c r="G712" s="117"/>
      <c r="H712" s="111"/>
      <c r="I712" s="111"/>
      <c r="J712" s="111"/>
      <c r="K712" s="111"/>
    </row>
    <row r="713">
      <c r="A713" s="120"/>
      <c r="B713" s="117"/>
      <c r="C713" s="116"/>
      <c r="D713" s="120"/>
      <c r="E713" s="116"/>
      <c r="F713" s="117"/>
      <c r="G713" s="117"/>
      <c r="H713" s="111"/>
      <c r="I713" s="111"/>
      <c r="J713" s="111"/>
      <c r="K713" s="111"/>
    </row>
    <row r="714">
      <c r="A714" s="120"/>
      <c r="B714" s="117"/>
      <c r="C714" s="116"/>
      <c r="D714" s="120"/>
      <c r="E714" s="116"/>
      <c r="F714" s="117"/>
      <c r="G714" s="117"/>
      <c r="H714" s="111"/>
      <c r="I714" s="111"/>
      <c r="J714" s="111"/>
      <c r="K714" s="111"/>
    </row>
    <row r="715">
      <c r="A715" s="120"/>
      <c r="B715" s="117"/>
      <c r="C715" s="116"/>
      <c r="D715" s="120"/>
      <c r="E715" s="116"/>
      <c r="F715" s="117"/>
      <c r="G715" s="117"/>
      <c r="H715" s="111"/>
      <c r="I715" s="111"/>
      <c r="J715" s="111"/>
      <c r="K715" s="111"/>
    </row>
    <row r="716">
      <c r="A716" s="120"/>
      <c r="B716" s="117"/>
      <c r="C716" s="116"/>
      <c r="D716" s="120"/>
      <c r="E716" s="116"/>
      <c r="F716" s="117"/>
      <c r="G716" s="117"/>
      <c r="H716" s="111"/>
      <c r="I716" s="111"/>
      <c r="J716" s="111"/>
      <c r="K716" s="111"/>
    </row>
    <row r="717">
      <c r="A717" s="120"/>
      <c r="B717" s="117"/>
      <c r="C717" s="116"/>
      <c r="D717" s="120"/>
      <c r="E717" s="116"/>
      <c r="F717" s="117"/>
      <c r="G717" s="117"/>
      <c r="H717" s="111"/>
      <c r="I717" s="111"/>
      <c r="J717" s="111"/>
      <c r="K717" s="111"/>
    </row>
    <row r="718">
      <c r="A718" s="120"/>
      <c r="B718" s="117"/>
      <c r="C718" s="116"/>
      <c r="D718" s="120"/>
      <c r="E718" s="116"/>
      <c r="F718" s="117"/>
      <c r="G718" s="117"/>
      <c r="H718" s="111"/>
      <c r="I718" s="111"/>
      <c r="J718" s="111"/>
      <c r="K718" s="111"/>
    </row>
    <row r="719">
      <c r="A719" s="120"/>
      <c r="B719" s="117"/>
      <c r="C719" s="116"/>
      <c r="D719" s="120"/>
      <c r="E719" s="116"/>
      <c r="F719" s="117"/>
      <c r="G719" s="117"/>
      <c r="H719" s="111"/>
      <c r="I719" s="111"/>
      <c r="J719" s="111"/>
      <c r="K719" s="111"/>
    </row>
    <row r="720">
      <c r="A720" s="120"/>
      <c r="B720" s="117"/>
      <c r="C720" s="116"/>
      <c r="D720" s="120"/>
      <c r="E720" s="116"/>
      <c r="F720" s="117"/>
      <c r="G720" s="117"/>
      <c r="H720" s="111"/>
      <c r="I720" s="111"/>
      <c r="J720" s="111"/>
      <c r="K720" s="111"/>
    </row>
    <row r="721">
      <c r="A721" s="120"/>
      <c r="B721" s="117"/>
      <c r="C721" s="116"/>
      <c r="D721" s="120"/>
      <c r="E721" s="116"/>
      <c r="F721" s="117"/>
      <c r="G721" s="117"/>
      <c r="H721" s="111"/>
      <c r="I721" s="111"/>
      <c r="J721" s="111"/>
      <c r="K721" s="111"/>
    </row>
    <row r="722">
      <c r="A722" s="120"/>
      <c r="B722" s="117"/>
      <c r="C722" s="116"/>
      <c r="D722" s="120"/>
      <c r="E722" s="116"/>
      <c r="F722" s="117"/>
      <c r="G722" s="117"/>
      <c r="H722" s="111"/>
      <c r="I722" s="111"/>
      <c r="J722" s="111"/>
      <c r="K722" s="111"/>
    </row>
    <row r="723">
      <c r="A723" s="120"/>
      <c r="B723" s="117"/>
      <c r="C723" s="116"/>
      <c r="D723" s="120"/>
      <c r="E723" s="116"/>
      <c r="F723" s="117"/>
      <c r="G723" s="117"/>
      <c r="H723" s="111"/>
      <c r="I723" s="111"/>
      <c r="J723" s="111"/>
      <c r="K723" s="111"/>
    </row>
    <row r="724">
      <c r="A724" s="120"/>
      <c r="B724" s="117"/>
      <c r="C724" s="116"/>
      <c r="D724" s="120"/>
      <c r="E724" s="116"/>
      <c r="F724" s="117"/>
      <c r="G724" s="117"/>
      <c r="H724" s="111"/>
      <c r="I724" s="111"/>
      <c r="J724" s="111"/>
      <c r="K724" s="111"/>
    </row>
    <row r="725">
      <c r="A725" s="120"/>
      <c r="B725" s="117"/>
      <c r="C725" s="116"/>
      <c r="D725" s="120"/>
      <c r="E725" s="116"/>
      <c r="F725" s="117"/>
      <c r="G725" s="117"/>
      <c r="H725" s="111"/>
      <c r="I725" s="111"/>
      <c r="J725" s="111"/>
      <c r="K725" s="111"/>
    </row>
    <row r="726">
      <c r="A726" s="120"/>
      <c r="B726" s="117"/>
      <c r="C726" s="116"/>
      <c r="D726" s="120"/>
      <c r="E726" s="116"/>
      <c r="F726" s="117"/>
      <c r="G726" s="117"/>
      <c r="H726" s="111"/>
      <c r="I726" s="111"/>
      <c r="J726" s="111"/>
      <c r="K726" s="111"/>
    </row>
    <row r="727">
      <c r="A727" s="120"/>
      <c r="B727" s="117"/>
      <c r="C727" s="116"/>
      <c r="D727" s="120"/>
      <c r="E727" s="116"/>
      <c r="F727" s="117"/>
      <c r="G727" s="117"/>
      <c r="H727" s="111"/>
      <c r="I727" s="111"/>
      <c r="J727" s="111"/>
      <c r="K727" s="111"/>
    </row>
    <row r="728">
      <c r="A728" s="120"/>
      <c r="B728" s="117"/>
      <c r="C728" s="116"/>
      <c r="D728" s="120"/>
      <c r="E728" s="116"/>
      <c r="F728" s="117"/>
      <c r="G728" s="117"/>
      <c r="H728" s="111"/>
      <c r="I728" s="111"/>
      <c r="J728" s="111"/>
      <c r="K728" s="111"/>
    </row>
    <row r="729">
      <c r="A729" s="120"/>
      <c r="B729" s="117"/>
      <c r="C729" s="116"/>
      <c r="D729" s="120"/>
      <c r="E729" s="116"/>
      <c r="F729" s="117"/>
      <c r="G729" s="117"/>
      <c r="H729" s="111"/>
      <c r="I729" s="111"/>
      <c r="J729" s="111"/>
      <c r="K729" s="111"/>
    </row>
    <row r="730">
      <c r="A730" s="120"/>
      <c r="B730" s="117"/>
      <c r="C730" s="116"/>
      <c r="D730" s="120"/>
      <c r="E730" s="116"/>
      <c r="F730" s="117"/>
      <c r="G730" s="117"/>
      <c r="H730" s="111"/>
      <c r="I730" s="111"/>
      <c r="J730" s="111"/>
      <c r="K730" s="111"/>
    </row>
    <row r="731">
      <c r="A731" s="120"/>
      <c r="B731" s="117"/>
      <c r="C731" s="116"/>
      <c r="D731" s="120"/>
      <c r="E731" s="116"/>
      <c r="F731" s="117"/>
      <c r="G731" s="117"/>
      <c r="H731" s="111"/>
      <c r="I731" s="111"/>
      <c r="J731" s="111"/>
      <c r="K731" s="111"/>
    </row>
    <row r="732">
      <c r="A732" s="120"/>
      <c r="B732" s="117"/>
      <c r="C732" s="116"/>
      <c r="D732" s="120"/>
      <c r="E732" s="116"/>
      <c r="F732" s="117"/>
      <c r="G732" s="117"/>
      <c r="H732" s="111"/>
      <c r="I732" s="111"/>
      <c r="J732" s="111"/>
      <c r="K732" s="111"/>
    </row>
    <row r="733">
      <c r="A733" s="120"/>
      <c r="B733" s="117"/>
      <c r="C733" s="116"/>
      <c r="D733" s="120"/>
      <c r="E733" s="116"/>
      <c r="F733" s="117"/>
      <c r="G733" s="117"/>
      <c r="H733" s="111"/>
      <c r="I733" s="111"/>
      <c r="J733" s="111"/>
      <c r="K733" s="111"/>
    </row>
    <row r="734">
      <c r="A734" s="120"/>
      <c r="B734" s="117"/>
      <c r="C734" s="116"/>
      <c r="D734" s="120"/>
      <c r="E734" s="116"/>
      <c r="F734" s="117"/>
      <c r="G734" s="117"/>
      <c r="H734" s="111"/>
      <c r="I734" s="111"/>
      <c r="J734" s="111"/>
      <c r="K734" s="111"/>
    </row>
    <row r="735">
      <c r="A735" s="120"/>
      <c r="B735" s="117"/>
      <c r="C735" s="116"/>
      <c r="D735" s="120"/>
      <c r="E735" s="116"/>
      <c r="F735" s="117"/>
      <c r="G735" s="117"/>
      <c r="H735" s="111"/>
      <c r="I735" s="111"/>
      <c r="J735" s="111"/>
      <c r="K735" s="111"/>
    </row>
    <row r="736">
      <c r="A736" s="120"/>
      <c r="B736" s="117"/>
      <c r="C736" s="116"/>
      <c r="D736" s="120"/>
      <c r="E736" s="116"/>
      <c r="F736" s="117"/>
      <c r="G736" s="117"/>
      <c r="H736" s="111"/>
      <c r="I736" s="111"/>
      <c r="J736" s="111"/>
      <c r="K736" s="111"/>
    </row>
    <row r="737">
      <c r="A737" s="120"/>
      <c r="B737" s="117"/>
      <c r="C737" s="116"/>
      <c r="D737" s="120"/>
      <c r="E737" s="116"/>
      <c r="F737" s="117"/>
      <c r="G737" s="117"/>
      <c r="H737" s="111"/>
      <c r="I737" s="111"/>
      <c r="J737" s="111"/>
      <c r="K737" s="111"/>
    </row>
    <row r="738">
      <c r="A738" s="120"/>
      <c r="B738" s="117"/>
      <c r="C738" s="116"/>
      <c r="D738" s="120"/>
      <c r="E738" s="116"/>
      <c r="F738" s="117"/>
      <c r="G738" s="117"/>
      <c r="H738" s="111"/>
      <c r="I738" s="111"/>
      <c r="J738" s="111"/>
      <c r="K738" s="111"/>
    </row>
    <row r="739">
      <c r="A739" s="120"/>
      <c r="B739" s="117"/>
      <c r="C739" s="116"/>
      <c r="D739" s="120"/>
      <c r="E739" s="116"/>
      <c r="F739" s="117"/>
      <c r="G739" s="117"/>
      <c r="H739" s="111"/>
      <c r="I739" s="111"/>
      <c r="J739" s="111"/>
      <c r="K739" s="111"/>
    </row>
    <row r="740">
      <c r="A740" s="120"/>
      <c r="B740" s="117"/>
      <c r="C740" s="116"/>
      <c r="D740" s="120"/>
      <c r="E740" s="116"/>
      <c r="F740" s="117"/>
      <c r="G740" s="117"/>
      <c r="H740" s="111"/>
      <c r="I740" s="111"/>
      <c r="J740" s="111"/>
      <c r="K740" s="111"/>
    </row>
    <row r="741">
      <c r="A741" s="120"/>
      <c r="B741" s="117"/>
      <c r="C741" s="116"/>
      <c r="D741" s="120"/>
      <c r="E741" s="116"/>
      <c r="F741" s="117"/>
      <c r="G741" s="117"/>
      <c r="H741" s="111"/>
      <c r="I741" s="111"/>
      <c r="J741" s="111"/>
      <c r="K741" s="111"/>
    </row>
    <row r="742">
      <c r="A742" s="120"/>
      <c r="B742" s="117"/>
      <c r="C742" s="116"/>
      <c r="D742" s="120"/>
      <c r="E742" s="116"/>
      <c r="F742" s="117"/>
      <c r="G742" s="117"/>
      <c r="H742" s="111"/>
      <c r="I742" s="111"/>
      <c r="J742" s="111"/>
      <c r="K742" s="111"/>
    </row>
    <row r="743">
      <c r="A743" s="120"/>
      <c r="B743" s="117"/>
      <c r="C743" s="116"/>
      <c r="D743" s="120"/>
      <c r="E743" s="116"/>
      <c r="F743" s="117"/>
      <c r="G743" s="117"/>
      <c r="H743" s="111"/>
      <c r="I743" s="111"/>
      <c r="J743" s="111"/>
      <c r="K743" s="111"/>
    </row>
    <row r="744">
      <c r="A744" s="120"/>
      <c r="B744" s="117"/>
      <c r="C744" s="116"/>
      <c r="D744" s="120"/>
      <c r="E744" s="116"/>
      <c r="F744" s="117"/>
      <c r="G744" s="117"/>
      <c r="H744" s="111"/>
      <c r="I744" s="111"/>
      <c r="J744" s="111"/>
      <c r="K744" s="111"/>
    </row>
    <row r="745">
      <c r="A745" s="120"/>
      <c r="B745" s="117"/>
      <c r="C745" s="116"/>
      <c r="D745" s="120"/>
      <c r="E745" s="116"/>
      <c r="F745" s="117"/>
      <c r="G745" s="117"/>
      <c r="H745" s="111"/>
      <c r="I745" s="111"/>
      <c r="J745" s="111"/>
      <c r="K745" s="111"/>
    </row>
    <row r="746">
      <c r="A746" s="120"/>
      <c r="B746" s="117"/>
      <c r="C746" s="116"/>
      <c r="D746" s="120"/>
      <c r="E746" s="116"/>
      <c r="F746" s="117"/>
      <c r="G746" s="117"/>
      <c r="H746" s="111"/>
      <c r="I746" s="111"/>
      <c r="J746" s="111"/>
      <c r="K746" s="111"/>
    </row>
    <row r="747">
      <c r="A747" s="120"/>
      <c r="B747" s="117"/>
      <c r="C747" s="116"/>
      <c r="D747" s="120"/>
      <c r="E747" s="116"/>
      <c r="F747" s="117"/>
      <c r="G747" s="117"/>
      <c r="H747" s="111"/>
      <c r="I747" s="111"/>
      <c r="J747" s="111"/>
      <c r="K747" s="111"/>
    </row>
    <row r="748">
      <c r="A748" s="120"/>
      <c r="B748" s="117"/>
      <c r="C748" s="116"/>
      <c r="D748" s="120"/>
      <c r="E748" s="116"/>
      <c r="F748" s="117"/>
      <c r="G748" s="117"/>
      <c r="H748" s="111"/>
      <c r="I748" s="111"/>
      <c r="J748" s="111"/>
      <c r="K748" s="111"/>
    </row>
    <row r="749">
      <c r="A749" s="120"/>
      <c r="B749" s="117"/>
      <c r="C749" s="116"/>
      <c r="D749" s="120"/>
      <c r="E749" s="116"/>
      <c r="F749" s="117"/>
      <c r="G749" s="117"/>
      <c r="H749" s="111"/>
      <c r="I749" s="111"/>
      <c r="J749" s="111"/>
      <c r="K749" s="111"/>
    </row>
    <row r="750">
      <c r="A750" s="120"/>
      <c r="B750" s="117"/>
      <c r="C750" s="116"/>
      <c r="D750" s="120"/>
      <c r="E750" s="116"/>
      <c r="F750" s="117"/>
      <c r="G750" s="117"/>
      <c r="H750" s="111"/>
      <c r="I750" s="111"/>
      <c r="J750" s="111"/>
      <c r="K750" s="111"/>
    </row>
    <row r="751">
      <c r="A751" s="120"/>
      <c r="B751" s="117"/>
      <c r="C751" s="116"/>
      <c r="D751" s="120"/>
      <c r="E751" s="116"/>
      <c r="F751" s="117"/>
      <c r="G751" s="117"/>
      <c r="H751" s="111"/>
      <c r="I751" s="111"/>
      <c r="J751" s="111"/>
      <c r="K751" s="111"/>
    </row>
    <row r="752">
      <c r="A752" s="120"/>
      <c r="B752" s="117"/>
      <c r="C752" s="116"/>
      <c r="D752" s="120"/>
      <c r="E752" s="116"/>
      <c r="F752" s="117"/>
      <c r="G752" s="117"/>
      <c r="H752" s="111"/>
      <c r="I752" s="111"/>
      <c r="J752" s="111"/>
      <c r="K752" s="111"/>
    </row>
    <row r="753">
      <c r="A753" s="120"/>
      <c r="B753" s="117"/>
      <c r="C753" s="116"/>
      <c r="D753" s="120"/>
      <c r="E753" s="116"/>
      <c r="F753" s="117"/>
      <c r="G753" s="117"/>
      <c r="H753" s="111"/>
      <c r="I753" s="111"/>
      <c r="J753" s="111"/>
      <c r="K753" s="111"/>
    </row>
    <row r="754">
      <c r="A754" s="120"/>
      <c r="B754" s="117"/>
      <c r="C754" s="116"/>
      <c r="D754" s="120"/>
      <c r="E754" s="116"/>
      <c r="F754" s="117"/>
      <c r="G754" s="117"/>
      <c r="H754" s="111"/>
      <c r="I754" s="111"/>
      <c r="J754" s="111"/>
      <c r="K754" s="111"/>
    </row>
    <row r="755">
      <c r="A755" s="120"/>
      <c r="B755" s="117"/>
      <c r="C755" s="116"/>
      <c r="D755" s="120"/>
      <c r="E755" s="116"/>
      <c r="F755" s="117"/>
      <c r="G755" s="117"/>
      <c r="H755" s="111"/>
      <c r="I755" s="111"/>
      <c r="J755" s="111"/>
      <c r="K755" s="111"/>
    </row>
    <row r="756">
      <c r="A756" s="120"/>
      <c r="B756" s="117"/>
      <c r="C756" s="116"/>
      <c r="D756" s="120"/>
      <c r="E756" s="116"/>
      <c r="F756" s="117"/>
      <c r="G756" s="117"/>
      <c r="H756" s="111"/>
      <c r="I756" s="111"/>
      <c r="J756" s="111"/>
      <c r="K756" s="111"/>
    </row>
    <row r="757">
      <c r="A757" s="120"/>
      <c r="B757" s="117"/>
      <c r="C757" s="116"/>
      <c r="D757" s="120"/>
      <c r="E757" s="116"/>
      <c r="F757" s="117"/>
      <c r="G757" s="117"/>
      <c r="H757" s="111"/>
      <c r="I757" s="111"/>
      <c r="J757" s="111"/>
      <c r="K757" s="111"/>
    </row>
    <row r="758">
      <c r="A758" s="120"/>
      <c r="B758" s="117"/>
      <c r="C758" s="116"/>
      <c r="D758" s="120"/>
      <c r="E758" s="116"/>
      <c r="F758" s="117"/>
      <c r="G758" s="117"/>
      <c r="H758" s="111"/>
      <c r="I758" s="111"/>
      <c r="J758" s="111"/>
      <c r="K758" s="111"/>
    </row>
    <row r="759">
      <c r="A759" s="120"/>
      <c r="B759" s="117"/>
      <c r="C759" s="116"/>
      <c r="D759" s="120"/>
      <c r="E759" s="116"/>
      <c r="F759" s="117"/>
      <c r="G759" s="117"/>
      <c r="H759" s="111"/>
      <c r="I759" s="111"/>
      <c r="J759" s="111"/>
      <c r="K759" s="111"/>
    </row>
    <row r="760">
      <c r="A760" s="120"/>
      <c r="B760" s="117"/>
      <c r="C760" s="116"/>
      <c r="D760" s="120"/>
      <c r="E760" s="116"/>
      <c r="F760" s="117"/>
      <c r="G760" s="117"/>
      <c r="H760" s="111"/>
      <c r="I760" s="111"/>
      <c r="J760" s="111"/>
      <c r="K760" s="111"/>
    </row>
    <row r="761">
      <c r="A761" s="120"/>
      <c r="B761" s="117"/>
      <c r="C761" s="116"/>
      <c r="D761" s="120"/>
      <c r="E761" s="116"/>
      <c r="F761" s="117"/>
      <c r="G761" s="117"/>
      <c r="H761" s="111"/>
      <c r="I761" s="111"/>
      <c r="J761" s="111"/>
      <c r="K761" s="111"/>
    </row>
    <row r="762">
      <c r="A762" s="120"/>
      <c r="B762" s="117"/>
      <c r="C762" s="116"/>
      <c r="D762" s="120"/>
      <c r="E762" s="116"/>
      <c r="F762" s="117"/>
      <c r="G762" s="117"/>
      <c r="H762" s="111"/>
      <c r="I762" s="111"/>
      <c r="J762" s="111"/>
      <c r="K762" s="111"/>
    </row>
    <row r="763">
      <c r="A763" s="120"/>
      <c r="B763" s="117"/>
      <c r="C763" s="116"/>
      <c r="D763" s="120"/>
      <c r="E763" s="116"/>
      <c r="F763" s="117"/>
      <c r="G763" s="117"/>
      <c r="H763" s="111"/>
      <c r="I763" s="111"/>
      <c r="J763" s="111"/>
      <c r="K763" s="111"/>
    </row>
    <row r="764">
      <c r="A764" s="120"/>
      <c r="B764" s="117"/>
      <c r="C764" s="116"/>
      <c r="D764" s="120"/>
      <c r="E764" s="116"/>
      <c r="F764" s="117"/>
      <c r="G764" s="117"/>
      <c r="H764" s="111"/>
      <c r="I764" s="111"/>
      <c r="J764" s="111"/>
      <c r="K764" s="111"/>
    </row>
    <row r="765">
      <c r="A765" s="120"/>
      <c r="B765" s="117"/>
      <c r="C765" s="116"/>
      <c r="D765" s="120"/>
      <c r="E765" s="116"/>
      <c r="F765" s="117"/>
      <c r="G765" s="117"/>
      <c r="H765" s="111"/>
      <c r="I765" s="111"/>
      <c r="J765" s="111"/>
      <c r="K765" s="111"/>
    </row>
    <row r="766">
      <c r="A766" s="120"/>
      <c r="B766" s="117"/>
      <c r="C766" s="116"/>
      <c r="D766" s="120"/>
      <c r="E766" s="116"/>
      <c r="F766" s="117"/>
      <c r="G766" s="117"/>
      <c r="H766" s="111"/>
      <c r="I766" s="111"/>
      <c r="J766" s="111"/>
      <c r="K766" s="111"/>
    </row>
    <row r="767">
      <c r="A767" s="120"/>
      <c r="B767" s="117"/>
      <c r="C767" s="116"/>
      <c r="D767" s="120"/>
      <c r="E767" s="116"/>
      <c r="F767" s="117"/>
      <c r="G767" s="117"/>
      <c r="H767" s="111"/>
      <c r="I767" s="111"/>
      <c r="J767" s="111"/>
      <c r="K767" s="111"/>
    </row>
    <row r="768">
      <c r="A768" s="120"/>
      <c r="B768" s="117"/>
      <c r="C768" s="116"/>
      <c r="D768" s="120"/>
      <c r="E768" s="116"/>
      <c r="F768" s="117"/>
      <c r="G768" s="117"/>
      <c r="H768" s="111"/>
      <c r="I768" s="111"/>
      <c r="J768" s="111"/>
      <c r="K768" s="111"/>
    </row>
    <row r="769">
      <c r="A769" s="120"/>
      <c r="B769" s="117"/>
      <c r="C769" s="116"/>
      <c r="D769" s="120"/>
      <c r="E769" s="116"/>
      <c r="F769" s="117"/>
      <c r="G769" s="117"/>
      <c r="H769" s="111"/>
      <c r="I769" s="111"/>
      <c r="J769" s="111"/>
      <c r="K769" s="111"/>
    </row>
    <row r="770">
      <c r="A770" s="120"/>
      <c r="B770" s="117"/>
      <c r="C770" s="116"/>
      <c r="D770" s="120"/>
      <c r="E770" s="116"/>
      <c r="F770" s="117"/>
      <c r="G770" s="117"/>
      <c r="H770" s="111"/>
      <c r="I770" s="111"/>
      <c r="J770" s="111"/>
      <c r="K770" s="111"/>
    </row>
    <row r="771">
      <c r="A771" s="120"/>
      <c r="B771" s="117"/>
      <c r="C771" s="116"/>
      <c r="D771" s="120"/>
      <c r="E771" s="116"/>
      <c r="F771" s="117"/>
      <c r="G771" s="117"/>
      <c r="H771" s="111"/>
      <c r="I771" s="111"/>
      <c r="J771" s="111"/>
      <c r="K771" s="111"/>
    </row>
    <row r="772">
      <c r="A772" s="120"/>
      <c r="B772" s="117"/>
      <c r="C772" s="116"/>
      <c r="D772" s="120"/>
      <c r="E772" s="116"/>
      <c r="F772" s="117"/>
      <c r="G772" s="117"/>
      <c r="H772" s="111"/>
      <c r="I772" s="111"/>
      <c r="J772" s="111"/>
      <c r="K772" s="111"/>
    </row>
    <row r="773">
      <c r="A773" s="120"/>
      <c r="B773" s="117"/>
      <c r="C773" s="116"/>
      <c r="D773" s="120"/>
      <c r="E773" s="116"/>
      <c r="F773" s="117"/>
      <c r="G773" s="117"/>
      <c r="H773" s="111"/>
      <c r="I773" s="111"/>
      <c r="J773" s="111"/>
      <c r="K773" s="111"/>
    </row>
    <row r="774">
      <c r="A774" s="120"/>
      <c r="B774" s="117"/>
      <c r="C774" s="116"/>
      <c r="D774" s="120"/>
      <c r="E774" s="116"/>
      <c r="F774" s="117"/>
      <c r="G774" s="117"/>
      <c r="H774" s="111"/>
      <c r="I774" s="111"/>
      <c r="J774" s="111"/>
      <c r="K774" s="111"/>
    </row>
    <row r="775">
      <c r="A775" s="120"/>
      <c r="B775" s="117"/>
      <c r="C775" s="116"/>
      <c r="D775" s="120"/>
      <c r="E775" s="116"/>
      <c r="F775" s="117"/>
      <c r="G775" s="117"/>
      <c r="H775" s="111"/>
      <c r="I775" s="111"/>
      <c r="J775" s="111"/>
      <c r="K775" s="111"/>
    </row>
    <row r="776">
      <c r="A776" s="120"/>
      <c r="B776" s="117"/>
      <c r="C776" s="116"/>
      <c r="D776" s="120"/>
      <c r="E776" s="116"/>
      <c r="F776" s="117"/>
      <c r="G776" s="117"/>
      <c r="H776" s="111"/>
      <c r="I776" s="111"/>
      <c r="J776" s="111"/>
      <c r="K776" s="111"/>
    </row>
    <row r="777">
      <c r="A777" s="120"/>
      <c r="B777" s="117"/>
      <c r="C777" s="116"/>
      <c r="D777" s="120"/>
      <c r="E777" s="116"/>
      <c r="F777" s="117"/>
      <c r="G777" s="117"/>
      <c r="H777" s="111"/>
      <c r="I777" s="111"/>
      <c r="J777" s="111"/>
      <c r="K777" s="111"/>
    </row>
    <row r="778">
      <c r="A778" s="120"/>
      <c r="B778" s="117"/>
      <c r="C778" s="116"/>
      <c r="D778" s="120"/>
      <c r="E778" s="116"/>
      <c r="F778" s="117"/>
      <c r="G778" s="117"/>
      <c r="H778" s="111"/>
      <c r="I778" s="111"/>
      <c r="J778" s="111"/>
      <c r="K778" s="111"/>
    </row>
    <row r="779">
      <c r="A779" s="120"/>
      <c r="B779" s="117"/>
      <c r="C779" s="116"/>
      <c r="D779" s="120"/>
      <c r="E779" s="116"/>
      <c r="F779" s="117"/>
      <c r="G779" s="117"/>
      <c r="H779" s="111"/>
      <c r="I779" s="111"/>
      <c r="J779" s="111"/>
      <c r="K779" s="111"/>
    </row>
    <row r="780">
      <c r="A780" s="120"/>
      <c r="B780" s="117"/>
      <c r="C780" s="116"/>
      <c r="D780" s="120"/>
      <c r="E780" s="116"/>
      <c r="F780" s="117"/>
      <c r="G780" s="117"/>
      <c r="H780" s="111"/>
      <c r="I780" s="111"/>
      <c r="J780" s="111"/>
      <c r="K780" s="111"/>
    </row>
    <row r="781">
      <c r="A781" s="120"/>
      <c r="B781" s="117"/>
      <c r="C781" s="116"/>
      <c r="D781" s="120"/>
      <c r="E781" s="116"/>
      <c r="F781" s="117"/>
      <c r="G781" s="117"/>
      <c r="H781" s="111"/>
      <c r="I781" s="111"/>
      <c r="J781" s="111"/>
      <c r="K781" s="111"/>
    </row>
    <row r="782">
      <c r="A782" s="120"/>
      <c r="B782" s="117"/>
      <c r="C782" s="116"/>
      <c r="D782" s="120"/>
      <c r="E782" s="116"/>
      <c r="F782" s="117"/>
      <c r="G782" s="117"/>
      <c r="H782" s="111"/>
      <c r="I782" s="111"/>
      <c r="J782" s="111"/>
      <c r="K782" s="111"/>
    </row>
    <row r="783">
      <c r="A783" s="120"/>
      <c r="B783" s="117"/>
      <c r="C783" s="116"/>
      <c r="D783" s="120"/>
      <c r="E783" s="116"/>
      <c r="F783" s="117"/>
      <c r="G783" s="117"/>
      <c r="H783" s="111"/>
      <c r="I783" s="111"/>
      <c r="J783" s="111"/>
      <c r="K783" s="111"/>
    </row>
    <row r="784">
      <c r="A784" s="120"/>
      <c r="B784" s="117"/>
      <c r="C784" s="116"/>
      <c r="D784" s="120"/>
      <c r="E784" s="116"/>
      <c r="F784" s="117"/>
      <c r="G784" s="117"/>
      <c r="H784" s="111"/>
      <c r="I784" s="111"/>
      <c r="J784" s="111"/>
      <c r="K784" s="111"/>
    </row>
    <row r="785">
      <c r="A785" s="120"/>
      <c r="B785" s="117"/>
      <c r="C785" s="116"/>
      <c r="D785" s="120"/>
      <c r="E785" s="116"/>
      <c r="F785" s="117"/>
      <c r="G785" s="117"/>
      <c r="H785" s="111"/>
      <c r="I785" s="111"/>
      <c r="J785" s="111"/>
      <c r="K785" s="111"/>
    </row>
    <row r="786">
      <c r="A786" s="120"/>
      <c r="B786" s="117"/>
      <c r="C786" s="116"/>
      <c r="D786" s="120"/>
      <c r="E786" s="116"/>
      <c r="F786" s="117"/>
      <c r="G786" s="117"/>
      <c r="H786" s="111"/>
      <c r="I786" s="111"/>
      <c r="J786" s="111"/>
      <c r="K786" s="111"/>
    </row>
    <row r="787">
      <c r="A787" s="120"/>
      <c r="B787" s="117"/>
      <c r="C787" s="116"/>
      <c r="D787" s="120"/>
      <c r="E787" s="116"/>
      <c r="F787" s="117"/>
      <c r="G787" s="117"/>
      <c r="H787" s="111"/>
      <c r="I787" s="111"/>
      <c r="J787" s="111"/>
      <c r="K787" s="111"/>
    </row>
    <row r="788">
      <c r="A788" s="120"/>
      <c r="B788" s="117"/>
      <c r="C788" s="116"/>
      <c r="D788" s="120"/>
      <c r="E788" s="116"/>
      <c r="F788" s="117"/>
      <c r="G788" s="117"/>
      <c r="H788" s="111"/>
      <c r="I788" s="111"/>
      <c r="J788" s="111"/>
      <c r="K788" s="111"/>
    </row>
    <row r="789">
      <c r="A789" s="120"/>
      <c r="B789" s="117"/>
      <c r="C789" s="116"/>
      <c r="D789" s="120"/>
      <c r="E789" s="116"/>
      <c r="F789" s="117"/>
      <c r="G789" s="117"/>
      <c r="H789" s="111"/>
      <c r="I789" s="111"/>
      <c r="J789" s="111"/>
      <c r="K789" s="111"/>
    </row>
    <row r="790">
      <c r="A790" s="120"/>
      <c r="B790" s="117"/>
      <c r="C790" s="116"/>
      <c r="D790" s="120"/>
      <c r="E790" s="116"/>
      <c r="F790" s="117"/>
      <c r="G790" s="117"/>
      <c r="H790" s="111"/>
      <c r="I790" s="111"/>
      <c r="J790" s="111"/>
      <c r="K790" s="111"/>
    </row>
    <row r="791">
      <c r="A791" s="120"/>
      <c r="B791" s="117"/>
      <c r="C791" s="116"/>
      <c r="D791" s="120"/>
      <c r="E791" s="116"/>
      <c r="F791" s="117"/>
      <c r="G791" s="117"/>
      <c r="H791" s="111"/>
      <c r="I791" s="111"/>
      <c r="J791" s="111"/>
      <c r="K791" s="111"/>
    </row>
    <row r="792">
      <c r="A792" s="120"/>
      <c r="B792" s="117"/>
      <c r="C792" s="116"/>
      <c r="D792" s="120"/>
      <c r="E792" s="116"/>
      <c r="F792" s="117"/>
      <c r="G792" s="117"/>
      <c r="H792" s="111"/>
      <c r="I792" s="111"/>
      <c r="J792" s="111"/>
      <c r="K792" s="111"/>
    </row>
    <row r="793">
      <c r="A793" s="120"/>
      <c r="B793" s="117"/>
      <c r="C793" s="116"/>
      <c r="D793" s="120"/>
      <c r="E793" s="116"/>
      <c r="F793" s="117"/>
      <c r="G793" s="117"/>
      <c r="H793" s="111"/>
      <c r="I793" s="111"/>
      <c r="J793" s="111"/>
      <c r="K793" s="111"/>
    </row>
    <row r="794">
      <c r="A794" s="120"/>
      <c r="B794" s="117"/>
      <c r="C794" s="116"/>
      <c r="D794" s="120"/>
      <c r="E794" s="116"/>
      <c r="F794" s="117"/>
      <c r="G794" s="117"/>
      <c r="H794" s="111"/>
      <c r="I794" s="111"/>
      <c r="J794" s="111"/>
      <c r="K794" s="111"/>
    </row>
    <row r="795">
      <c r="A795" s="120"/>
      <c r="B795" s="117"/>
      <c r="C795" s="116"/>
      <c r="D795" s="120"/>
      <c r="E795" s="116"/>
      <c r="F795" s="117"/>
      <c r="G795" s="117"/>
      <c r="H795" s="111"/>
      <c r="I795" s="111"/>
      <c r="J795" s="111"/>
      <c r="K795" s="111"/>
    </row>
    <row r="796">
      <c r="A796" s="120"/>
      <c r="B796" s="117"/>
      <c r="C796" s="116"/>
      <c r="D796" s="120"/>
      <c r="E796" s="116"/>
      <c r="F796" s="117"/>
      <c r="G796" s="117"/>
      <c r="H796" s="111"/>
      <c r="I796" s="111"/>
      <c r="J796" s="111"/>
      <c r="K796" s="111"/>
    </row>
    <row r="797">
      <c r="A797" s="120"/>
      <c r="B797" s="117"/>
      <c r="C797" s="116"/>
      <c r="D797" s="120"/>
      <c r="E797" s="116"/>
      <c r="F797" s="117"/>
      <c r="G797" s="117"/>
      <c r="H797" s="111"/>
      <c r="I797" s="111"/>
      <c r="J797" s="111"/>
      <c r="K797" s="111"/>
    </row>
    <row r="798">
      <c r="A798" s="120"/>
      <c r="B798" s="117"/>
      <c r="C798" s="116"/>
      <c r="D798" s="120"/>
      <c r="E798" s="116"/>
      <c r="F798" s="117"/>
      <c r="G798" s="117"/>
      <c r="H798" s="111"/>
      <c r="I798" s="111"/>
      <c r="J798" s="111"/>
      <c r="K798" s="111"/>
    </row>
    <row r="799">
      <c r="A799" s="120"/>
      <c r="B799" s="117"/>
      <c r="C799" s="116"/>
      <c r="D799" s="120"/>
      <c r="E799" s="116"/>
      <c r="F799" s="117"/>
      <c r="G799" s="117"/>
      <c r="H799" s="111"/>
      <c r="I799" s="111"/>
      <c r="J799" s="111"/>
      <c r="K799" s="111"/>
    </row>
    <row r="800">
      <c r="A800" s="120"/>
      <c r="B800" s="117"/>
      <c r="C800" s="116"/>
      <c r="D800" s="120"/>
      <c r="E800" s="116"/>
      <c r="F800" s="117"/>
      <c r="G800" s="117"/>
      <c r="H800" s="111"/>
      <c r="I800" s="111"/>
      <c r="J800" s="111"/>
      <c r="K800" s="111"/>
    </row>
    <row r="801">
      <c r="A801" s="120"/>
      <c r="B801" s="117"/>
      <c r="C801" s="116"/>
      <c r="D801" s="120"/>
      <c r="E801" s="116"/>
      <c r="F801" s="117"/>
      <c r="G801" s="117"/>
      <c r="H801" s="111"/>
      <c r="I801" s="111"/>
      <c r="J801" s="111"/>
      <c r="K801" s="111"/>
    </row>
    <row r="802">
      <c r="A802" s="120"/>
      <c r="B802" s="117"/>
      <c r="C802" s="116"/>
      <c r="D802" s="120"/>
      <c r="E802" s="116"/>
      <c r="F802" s="117"/>
      <c r="G802" s="117"/>
      <c r="H802" s="111"/>
      <c r="I802" s="111"/>
      <c r="J802" s="111"/>
      <c r="K802" s="111"/>
    </row>
    <row r="803">
      <c r="A803" s="120"/>
      <c r="B803" s="117"/>
      <c r="C803" s="116"/>
      <c r="D803" s="120"/>
      <c r="E803" s="116"/>
      <c r="F803" s="117"/>
      <c r="G803" s="117"/>
      <c r="H803" s="111"/>
      <c r="I803" s="111"/>
      <c r="J803" s="111"/>
      <c r="K803" s="111"/>
    </row>
    <row r="804">
      <c r="A804" s="120"/>
      <c r="B804" s="117"/>
      <c r="C804" s="116"/>
      <c r="D804" s="120"/>
      <c r="E804" s="116"/>
      <c r="F804" s="117"/>
      <c r="G804" s="117"/>
      <c r="H804" s="111"/>
      <c r="I804" s="111"/>
      <c r="J804" s="111"/>
      <c r="K804" s="111"/>
    </row>
    <row r="805">
      <c r="A805" s="120"/>
      <c r="B805" s="117"/>
      <c r="C805" s="116"/>
      <c r="D805" s="120"/>
      <c r="E805" s="116"/>
      <c r="F805" s="117"/>
      <c r="G805" s="117"/>
      <c r="H805" s="111"/>
      <c r="I805" s="111"/>
      <c r="J805" s="111"/>
      <c r="K805" s="111"/>
    </row>
    <row r="806">
      <c r="A806" s="120"/>
      <c r="B806" s="117"/>
      <c r="C806" s="116"/>
      <c r="D806" s="120"/>
      <c r="E806" s="116"/>
      <c r="F806" s="117"/>
      <c r="G806" s="117"/>
      <c r="H806" s="111"/>
      <c r="I806" s="111"/>
      <c r="J806" s="111"/>
      <c r="K806" s="111"/>
    </row>
    <row r="807">
      <c r="A807" s="120"/>
      <c r="B807" s="117"/>
      <c r="C807" s="116"/>
      <c r="D807" s="120"/>
      <c r="E807" s="116"/>
      <c r="F807" s="117"/>
      <c r="G807" s="117"/>
      <c r="H807" s="111"/>
      <c r="I807" s="111"/>
      <c r="J807" s="111"/>
      <c r="K807" s="111"/>
    </row>
    <row r="808">
      <c r="A808" s="120"/>
      <c r="B808" s="117"/>
      <c r="C808" s="116"/>
      <c r="D808" s="120"/>
      <c r="E808" s="116"/>
      <c r="F808" s="117"/>
      <c r="G808" s="117"/>
      <c r="H808" s="111"/>
      <c r="I808" s="111"/>
      <c r="J808" s="111"/>
      <c r="K808" s="111"/>
    </row>
    <row r="809">
      <c r="A809" s="120"/>
      <c r="B809" s="117"/>
      <c r="C809" s="116"/>
      <c r="D809" s="120"/>
      <c r="E809" s="116"/>
      <c r="F809" s="117"/>
      <c r="G809" s="117"/>
      <c r="H809" s="111"/>
      <c r="I809" s="111"/>
      <c r="J809" s="111"/>
      <c r="K809" s="111"/>
    </row>
    <row r="810">
      <c r="A810" s="120"/>
      <c r="B810" s="117"/>
      <c r="C810" s="116"/>
      <c r="D810" s="120"/>
      <c r="E810" s="116"/>
      <c r="F810" s="117"/>
      <c r="G810" s="117"/>
      <c r="H810" s="111"/>
      <c r="I810" s="111"/>
      <c r="J810" s="111"/>
      <c r="K810" s="111"/>
    </row>
    <row r="811">
      <c r="A811" s="120"/>
      <c r="B811" s="117"/>
      <c r="C811" s="116"/>
      <c r="D811" s="120"/>
      <c r="E811" s="116"/>
      <c r="F811" s="117"/>
      <c r="G811" s="117"/>
      <c r="H811" s="111"/>
      <c r="I811" s="111"/>
      <c r="J811" s="111"/>
      <c r="K811" s="111"/>
    </row>
    <row r="812">
      <c r="A812" s="120"/>
      <c r="B812" s="117"/>
      <c r="C812" s="116"/>
      <c r="D812" s="120"/>
      <c r="E812" s="116"/>
      <c r="F812" s="117"/>
      <c r="G812" s="117"/>
      <c r="H812" s="111"/>
      <c r="I812" s="111"/>
      <c r="J812" s="111"/>
      <c r="K812" s="111"/>
    </row>
    <row r="813">
      <c r="A813" s="120"/>
      <c r="B813" s="117"/>
      <c r="C813" s="116"/>
      <c r="D813" s="120"/>
      <c r="E813" s="116"/>
      <c r="F813" s="117"/>
      <c r="G813" s="117"/>
      <c r="H813" s="111"/>
      <c r="I813" s="111"/>
      <c r="J813" s="111"/>
      <c r="K813" s="111"/>
    </row>
    <row r="814">
      <c r="A814" s="120"/>
      <c r="B814" s="117"/>
      <c r="C814" s="116"/>
      <c r="D814" s="120"/>
      <c r="E814" s="116"/>
      <c r="F814" s="117"/>
      <c r="G814" s="117"/>
      <c r="H814" s="111"/>
      <c r="I814" s="111"/>
      <c r="J814" s="111"/>
      <c r="K814" s="111"/>
    </row>
    <row r="815">
      <c r="A815" s="120"/>
      <c r="B815" s="117"/>
      <c r="C815" s="116"/>
      <c r="D815" s="120"/>
      <c r="E815" s="116"/>
      <c r="F815" s="117"/>
      <c r="G815" s="117"/>
      <c r="H815" s="111"/>
      <c r="I815" s="111"/>
      <c r="J815" s="111"/>
      <c r="K815" s="111"/>
    </row>
    <row r="816">
      <c r="A816" s="120"/>
      <c r="B816" s="117"/>
      <c r="C816" s="116"/>
      <c r="D816" s="120"/>
      <c r="E816" s="116"/>
      <c r="F816" s="117"/>
      <c r="G816" s="117"/>
      <c r="H816" s="111"/>
      <c r="I816" s="111"/>
      <c r="J816" s="111"/>
      <c r="K816" s="111"/>
    </row>
    <row r="817">
      <c r="A817" s="120"/>
      <c r="B817" s="117"/>
      <c r="C817" s="116"/>
      <c r="D817" s="120"/>
      <c r="E817" s="116"/>
      <c r="F817" s="117"/>
      <c r="G817" s="117"/>
      <c r="H817" s="111"/>
      <c r="I817" s="111"/>
      <c r="J817" s="111"/>
      <c r="K817" s="111"/>
    </row>
    <row r="818">
      <c r="A818" s="120"/>
      <c r="B818" s="117"/>
      <c r="C818" s="116"/>
      <c r="D818" s="120"/>
      <c r="E818" s="116"/>
      <c r="F818" s="117"/>
      <c r="G818" s="117"/>
      <c r="H818" s="111"/>
      <c r="I818" s="111"/>
      <c r="J818" s="111"/>
      <c r="K818" s="111"/>
    </row>
    <row r="819">
      <c r="A819" s="120"/>
      <c r="B819" s="117"/>
      <c r="C819" s="116"/>
      <c r="D819" s="120"/>
      <c r="E819" s="116"/>
      <c r="F819" s="117"/>
      <c r="G819" s="117"/>
      <c r="H819" s="111"/>
      <c r="I819" s="111"/>
      <c r="J819" s="111"/>
      <c r="K819" s="111"/>
    </row>
    <row r="820">
      <c r="A820" s="120"/>
      <c r="B820" s="117"/>
      <c r="C820" s="116"/>
      <c r="D820" s="120"/>
      <c r="E820" s="116"/>
      <c r="F820" s="117"/>
      <c r="G820" s="117"/>
      <c r="H820" s="111"/>
      <c r="I820" s="111"/>
      <c r="J820" s="111"/>
      <c r="K820" s="111"/>
    </row>
    <row r="821">
      <c r="A821" s="120"/>
      <c r="B821" s="117"/>
      <c r="C821" s="116"/>
      <c r="D821" s="120"/>
      <c r="E821" s="116"/>
      <c r="F821" s="117"/>
      <c r="G821" s="117"/>
      <c r="H821" s="111"/>
      <c r="I821" s="111"/>
      <c r="J821" s="111"/>
      <c r="K821" s="111"/>
    </row>
    <row r="822">
      <c r="A822" s="120"/>
      <c r="B822" s="117"/>
      <c r="C822" s="116"/>
      <c r="D822" s="120"/>
      <c r="E822" s="116"/>
      <c r="F822" s="117"/>
      <c r="G822" s="117"/>
      <c r="H822" s="111"/>
      <c r="I822" s="111"/>
      <c r="J822" s="111"/>
      <c r="K822" s="111"/>
    </row>
    <row r="823">
      <c r="A823" s="120"/>
      <c r="B823" s="117"/>
      <c r="C823" s="116"/>
      <c r="D823" s="120"/>
      <c r="E823" s="116"/>
      <c r="F823" s="117"/>
      <c r="G823" s="117"/>
      <c r="H823" s="111"/>
      <c r="I823" s="111"/>
      <c r="J823" s="111"/>
      <c r="K823" s="111"/>
    </row>
    <row r="824">
      <c r="A824" s="120"/>
      <c r="B824" s="117"/>
      <c r="C824" s="116"/>
      <c r="D824" s="120"/>
      <c r="E824" s="116"/>
      <c r="F824" s="117"/>
      <c r="G824" s="117"/>
      <c r="H824" s="111"/>
      <c r="I824" s="111"/>
      <c r="J824" s="111"/>
      <c r="K824" s="111"/>
    </row>
    <row r="825">
      <c r="A825" s="120"/>
      <c r="B825" s="117"/>
      <c r="C825" s="116"/>
      <c r="D825" s="120"/>
      <c r="E825" s="116"/>
      <c r="F825" s="117"/>
      <c r="G825" s="117"/>
      <c r="H825" s="111"/>
      <c r="I825" s="111"/>
      <c r="J825" s="111"/>
      <c r="K825" s="111"/>
    </row>
    <row r="826">
      <c r="A826" s="120"/>
      <c r="B826" s="117"/>
      <c r="C826" s="116"/>
      <c r="D826" s="120"/>
      <c r="E826" s="116"/>
      <c r="F826" s="117"/>
      <c r="G826" s="117"/>
      <c r="H826" s="111"/>
      <c r="I826" s="111"/>
      <c r="J826" s="111"/>
      <c r="K826" s="111"/>
    </row>
    <row r="827">
      <c r="A827" s="120"/>
      <c r="B827" s="117"/>
      <c r="C827" s="116"/>
      <c r="D827" s="120"/>
      <c r="E827" s="116"/>
      <c r="F827" s="117"/>
      <c r="G827" s="117"/>
      <c r="H827" s="111"/>
      <c r="I827" s="111"/>
      <c r="J827" s="111"/>
      <c r="K827" s="111"/>
    </row>
    <row r="828">
      <c r="A828" s="120"/>
      <c r="B828" s="117"/>
      <c r="C828" s="116"/>
      <c r="D828" s="120"/>
      <c r="E828" s="116"/>
      <c r="F828" s="117"/>
      <c r="G828" s="117"/>
      <c r="H828" s="111"/>
      <c r="I828" s="111"/>
      <c r="J828" s="111"/>
      <c r="K828" s="111"/>
    </row>
    <row r="829">
      <c r="A829" s="120"/>
      <c r="B829" s="117"/>
      <c r="C829" s="116"/>
      <c r="D829" s="120"/>
      <c r="E829" s="116"/>
      <c r="F829" s="117"/>
      <c r="G829" s="117"/>
      <c r="H829" s="111"/>
      <c r="I829" s="111"/>
      <c r="J829" s="111"/>
      <c r="K829" s="111"/>
    </row>
    <row r="830">
      <c r="A830" s="120"/>
      <c r="B830" s="117"/>
      <c r="C830" s="116"/>
      <c r="D830" s="120"/>
      <c r="E830" s="116"/>
      <c r="F830" s="117"/>
      <c r="G830" s="117"/>
      <c r="H830" s="111"/>
      <c r="I830" s="111"/>
      <c r="J830" s="111"/>
      <c r="K830" s="111"/>
    </row>
    <row r="831">
      <c r="A831" s="120"/>
      <c r="B831" s="117"/>
      <c r="C831" s="116"/>
      <c r="D831" s="120"/>
      <c r="E831" s="116"/>
      <c r="F831" s="117"/>
      <c r="G831" s="117"/>
      <c r="H831" s="111"/>
      <c r="I831" s="111"/>
      <c r="J831" s="111"/>
      <c r="K831" s="111"/>
    </row>
    <row r="832">
      <c r="A832" s="120"/>
      <c r="B832" s="117"/>
      <c r="C832" s="116"/>
      <c r="D832" s="120"/>
      <c r="E832" s="116"/>
      <c r="F832" s="117"/>
      <c r="G832" s="117"/>
      <c r="H832" s="111"/>
      <c r="I832" s="111"/>
      <c r="J832" s="111"/>
      <c r="K832" s="111"/>
    </row>
    <row r="833">
      <c r="A833" s="120"/>
      <c r="B833" s="117"/>
      <c r="C833" s="116"/>
      <c r="D833" s="120"/>
      <c r="E833" s="116"/>
      <c r="F833" s="117"/>
      <c r="G833" s="117"/>
      <c r="H833" s="111"/>
      <c r="I833" s="111"/>
      <c r="J833" s="111"/>
      <c r="K833" s="111"/>
    </row>
    <row r="834">
      <c r="A834" s="120"/>
      <c r="B834" s="117"/>
      <c r="C834" s="116"/>
      <c r="D834" s="120"/>
      <c r="E834" s="116"/>
      <c r="F834" s="117"/>
      <c r="G834" s="117"/>
      <c r="H834" s="111"/>
      <c r="I834" s="111"/>
      <c r="J834" s="111"/>
      <c r="K834" s="111"/>
    </row>
    <row r="835">
      <c r="A835" s="120"/>
      <c r="B835" s="117"/>
      <c r="C835" s="116"/>
      <c r="D835" s="120"/>
      <c r="E835" s="116"/>
      <c r="F835" s="117"/>
      <c r="G835" s="117"/>
      <c r="H835" s="111"/>
      <c r="I835" s="111"/>
      <c r="J835" s="111"/>
      <c r="K835" s="111"/>
    </row>
    <row r="836">
      <c r="A836" s="120"/>
      <c r="B836" s="117"/>
      <c r="C836" s="116"/>
      <c r="D836" s="120"/>
      <c r="E836" s="116"/>
      <c r="F836" s="117"/>
      <c r="G836" s="117"/>
      <c r="H836" s="111"/>
      <c r="I836" s="111"/>
      <c r="J836" s="111"/>
      <c r="K836" s="111"/>
    </row>
    <row r="837">
      <c r="A837" s="120"/>
      <c r="B837" s="117"/>
      <c r="C837" s="116"/>
      <c r="D837" s="120"/>
      <c r="E837" s="116"/>
      <c r="F837" s="117"/>
      <c r="G837" s="117"/>
      <c r="H837" s="111"/>
      <c r="I837" s="111"/>
      <c r="J837" s="111"/>
      <c r="K837" s="111"/>
    </row>
    <row r="838">
      <c r="A838" s="120"/>
      <c r="B838" s="117"/>
      <c r="C838" s="116"/>
      <c r="D838" s="120"/>
      <c r="E838" s="116"/>
      <c r="F838" s="117"/>
      <c r="G838" s="117"/>
      <c r="H838" s="111"/>
      <c r="I838" s="111"/>
      <c r="J838" s="111"/>
      <c r="K838" s="111"/>
    </row>
    <row r="839">
      <c r="A839" s="120"/>
      <c r="B839" s="117"/>
      <c r="C839" s="116"/>
      <c r="D839" s="120"/>
      <c r="E839" s="116"/>
      <c r="F839" s="117"/>
      <c r="G839" s="117"/>
      <c r="H839" s="111"/>
      <c r="I839" s="111"/>
      <c r="J839" s="111"/>
      <c r="K839" s="111"/>
    </row>
    <row r="840">
      <c r="A840" s="120"/>
      <c r="B840" s="117"/>
      <c r="C840" s="116"/>
      <c r="D840" s="120"/>
      <c r="E840" s="116"/>
      <c r="F840" s="117"/>
      <c r="G840" s="117"/>
      <c r="H840" s="111"/>
      <c r="I840" s="111"/>
      <c r="J840" s="111"/>
      <c r="K840" s="111"/>
    </row>
    <row r="841">
      <c r="A841" s="120"/>
      <c r="B841" s="117"/>
      <c r="C841" s="116"/>
      <c r="D841" s="120"/>
      <c r="E841" s="116"/>
      <c r="F841" s="117"/>
      <c r="G841" s="117"/>
      <c r="H841" s="111"/>
      <c r="I841" s="111"/>
      <c r="J841" s="111"/>
      <c r="K841" s="111"/>
    </row>
    <row r="842">
      <c r="A842" s="120"/>
      <c r="B842" s="117"/>
      <c r="C842" s="116"/>
      <c r="D842" s="120"/>
      <c r="E842" s="116"/>
      <c r="F842" s="117"/>
      <c r="G842" s="117"/>
      <c r="H842" s="111"/>
      <c r="I842" s="111"/>
      <c r="J842" s="111"/>
      <c r="K842" s="111"/>
    </row>
    <row r="843">
      <c r="A843" s="120"/>
      <c r="B843" s="117"/>
      <c r="C843" s="116"/>
      <c r="D843" s="120"/>
      <c r="E843" s="116"/>
      <c r="F843" s="117"/>
      <c r="G843" s="117"/>
      <c r="H843" s="111"/>
      <c r="I843" s="111"/>
      <c r="J843" s="111"/>
      <c r="K843" s="111"/>
    </row>
    <row r="844">
      <c r="A844" s="120"/>
      <c r="B844" s="117"/>
      <c r="C844" s="116"/>
      <c r="D844" s="120"/>
      <c r="E844" s="116"/>
      <c r="F844" s="117"/>
      <c r="G844" s="117"/>
      <c r="H844" s="111"/>
      <c r="I844" s="111"/>
      <c r="J844" s="111"/>
      <c r="K844" s="111"/>
    </row>
    <row r="845">
      <c r="A845" s="120"/>
      <c r="B845" s="117"/>
      <c r="C845" s="116"/>
      <c r="D845" s="120"/>
      <c r="E845" s="116"/>
      <c r="F845" s="117"/>
      <c r="G845" s="117"/>
      <c r="H845" s="111"/>
      <c r="I845" s="111"/>
      <c r="J845" s="111"/>
      <c r="K845" s="111"/>
    </row>
    <row r="846">
      <c r="A846" s="120"/>
      <c r="B846" s="117"/>
      <c r="C846" s="116"/>
      <c r="D846" s="120"/>
      <c r="E846" s="116"/>
      <c r="F846" s="117"/>
      <c r="G846" s="117"/>
      <c r="H846" s="111"/>
      <c r="I846" s="111"/>
      <c r="J846" s="111"/>
      <c r="K846" s="111"/>
    </row>
    <row r="847">
      <c r="A847" s="120"/>
      <c r="B847" s="117"/>
      <c r="C847" s="116"/>
      <c r="D847" s="120"/>
      <c r="E847" s="116"/>
      <c r="F847" s="117"/>
      <c r="G847" s="117"/>
      <c r="H847" s="111"/>
      <c r="I847" s="111"/>
      <c r="J847" s="111"/>
      <c r="K847" s="111"/>
    </row>
    <row r="848">
      <c r="A848" s="120"/>
      <c r="B848" s="117"/>
      <c r="C848" s="116"/>
      <c r="D848" s="120"/>
      <c r="E848" s="116"/>
      <c r="F848" s="117"/>
      <c r="G848" s="117"/>
      <c r="H848" s="111"/>
      <c r="I848" s="111"/>
      <c r="J848" s="111"/>
      <c r="K848" s="111"/>
    </row>
    <row r="849">
      <c r="A849" s="120"/>
      <c r="B849" s="117"/>
      <c r="C849" s="116"/>
      <c r="D849" s="120"/>
      <c r="E849" s="116"/>
      <c r="F849" s="117"/>
      <c r="G849" s="117"/>
      <c r="H849" s="111"/>
      <c r="I849" s="111"/>
      <c r="J849" s="111"/>
      <c r="K849" s="111"/>
    </row>
    <row r="850">
      <c r="A850" s="120"/>
      <c r="B850" s="117"/>
      <c r="C850" s="116"/>
      <c r="D850" s="120"/>
      <c r="E850" s="116"/>
      <c r="F850" s="117"/>
      <c r="G850" s="117"/>
      <c r="H850" s="111"/>
      <c r="I850" s="111"/>
      <c r="J850" s="111"/>
      <c r="K850" s="111"/>
    </row>
    <row r="851">
      <c r="A851" s="120"/>
      <c r="B851" s="117"/>
      <c r="C851" s="116"/>
      <c r="D851" s="120"/>
      <c r="E851" s="116"/>
      <c r="F851" s="117"/>
      <c r="G851" s="117"/>
      <c r="H851" s="111"/>
      <c r="I851" s="111"/>
      <c r="J851" s="111"/>
      <c r="K851" s="111"/>
    </row>
    <row r="852">
      <c r="A852" s="120"/>
      <c r="B852" s="117"/>
      <c r="C852" s="116"/>
      <c r="D852" s="120"/>
      <c r="E852" s="116"/>
      <c r="F852" s="117"/>
      <c r="G852" s="117"/>
      <c r="H852" s="111"/>
      <c r="I852" s="111"/>
      <c r="J852" s="111"/>
      <c r="K852" s="111"/>
    </row>
    <row r="853">
      <c r="A853" s="120"/>
      <c r="B853" s="117"/>
      <c r="C853" s="116"/>
      <c r="D853" s="120"/>
      <c r="E853" s="116"/>
      <c r="F853" s="117"/>
      <c r="G853" s="117"/>
      <c r="H853" s="111"/>
      <c r="I853" s="111"/>
      <c r="J853" s="111"/>
      <c r="K853" s="111"/>
    </row>
    <row r="854">
      <c r="A854" s="120"/>
      <c r="B854" s="117"/>
      <c r="C854" s="116"/>
      <c r="D854" s="120"/>
      <c r="E854" s="116"/>
      <c r="F854" s="117"/>
      <c r="G854" s="117"/>
      <c r="H854" s="111"/>
      <c r="I854" s="111"/>
      <c r="J854" s="111"/>
      <c r="K854" s="111"/>
    </row>
    <row r="855">
      <c r="A855" s="120"/>
      <c r="B855" s="117"/>
      <c r="C855" s="116"/>
      <c r="D855" s="120"/>
      <c r="E855" s="116"/>
      <c r="F855" s="117"/>
      <c r="G855" s="117"/>
      <c r="H855" s="111"/>
      <c r="I855" s="111"/>
      <c r="J855" s="111"/>
      <c r="K855" s="111"/>
    </row>
    <row r="856">
      <c r="A856" s="120"/>
      <c r="B856" s="117"/>
      <c r="C856" s="116"/>
      <c r="D856" s="120"/>
      <c r="E856" s="116"/>
      <c r="F856" s="117"/>
      <c r="G856" s="117"/>
      <c r="H856" s="111"/>
      <c r="I856" s="111"/>
      <c r="J856" s="111"/>
      <c r="K856" s="111"/>
    </row>
    <row r="857">
      <c r="A857" s="120"/>
      <c r="B857" s="117"/>
      <c r="C857" s="116"/>
      <c r="D857" s="120"/>
      <c r="E857" s="116"/>
      <c r="F857" s="117"/>
      <c r="G857" s="117"/>
      <c r="H857" s="111"/>
      <c r="I857" s="111"/>
      <c r="J857" s="111"/>
      <c r="K857" s="111"/>
    </row>
    <row r="858">
      <c r="A858" s="120"/>
      <c r="B858" s="117"/>
      <c r="C858" s="116"/>
      <c r="D858" s="120"/>
      <c r="E858" s="116"/>
      <c r="F858" s="117"/>
      <c r="G858" s="117"/>
      <c r="H858" s="111"/>
      <c r="I858" s="111"/>
      <c r="J858" s="111"/>
      <c r="K858" s="111"/>
    </row>
    <row r="859">
      <c r="A859" s="120"/>
      <c r="B859" s="117"/>
      <c r="C859" s="116"/>
      <c r="D859" s="120"/>
      <c r="E859" s="116"/>
      <c r="F859" s="117"/>
      <c r="G859" s="117"/>
      <c r="H859" s="111"/>
      <c r="I859" s="111"/>
      <c r="J859" s="111"/>
      <c r="K859" s="111"/>
    </row>
    <row r="860">
      <c r="A860" s="120"/>
      <c r="B860" s="117"/>
      <c r="C860" s="116"/>
      <c r="D860" s="120"/>
      <c r="E860" s="116"/>
      <c r="F860" s="117"/>
      <c r="G860" s="117"/>
      <c r="H860" s="111"/>
      <c r="I860" s="111"/>
      <c r="J860" s="111"/>
      <c r="K860" s="111"/>
    </row>
    <row r="861">
      <c r="A861" s="120"/>
      <c r="B861" s="117"/>
      <c r="C861" s="116"/>
      <c r="D861" s="120"/>
      <c r="E861" s="116"/>
      <c r="F861" s="117"/>
      <c r="G861" s="117"/>
      <c r="H861" s="111"/>
      <c r="I861" s="111"/>
      <c r="J861" s="111"/>
      <c r="K861" s="111"/>
    </row>
    <row r="862">
      <c r="A862" s="120"/>
      <c r="B862" s="117"/>
      <c r="C862" s="116"/>
      <c r="D862" s="120"/>
      <c r="E862" s="116"/>
      <c r="F862" s="117"/>
      <c r="G862" s="117"/>
      <c r="H862" s="111"/>
      <c r="I862" s="111"/>
      <c r="J862" s="111"/>
      <c r="K862" s="111"/>
    </row>
    <row r="863">
      <c r="A863" s="120"/>
      <c r="B863" s="117"/>
      <c r="C863" s="116"/>
      <c r="D863" s="120"/>
      <c r="E863" s="116"/>
      <c r="F863" s="117"/>
      <c r="G863" s="117"/>
      <c r="H863" s="111"/>
      <c r="I863" s="111"/>
      <c r="J863" s="111"/>
      <c r="K863" s="111"/>
    </row>
    <row r="864">
      <c r="A864" s="120"/>
      <c r="B864" s="117"/>
      <c r="C864" s="116"/>
      <c r="D864" s="120"/>
      <c r="E864" s="116"/>
      <c r="F864" s="117"/>
      <c r="G864" s="117"/>
      <c r="H864" s="111"/>
      <c r="I864" s="111"/>
      <c r="J864" s="111"/>
      <c r="K864" s="111"/>
    </row>
    <row r="865">
      <c r="A865" s="120"/>
      <c r="B865" s="117"/>
      <c r="C865" s="116"/>
      <c r="D865" s="120"/>
      <c r="E865" s="116"/>
      <c r="F865" s="117"/>
      <c r="G865" s="117"/>
      <c r="H865" s="111"/>
      <c r="I865" s="111"/>
      <c r="J865" s="111"/>
      <c r="K865" s="111"/>
    </row>
    <row r="866">
      <c r="A866" s="120"/>
      <c r="B866" s="117"/>
      <c r="C866" s="116"/>
      <c r="D866" s="120"/>
      <c r="E866" s="116"/>
      <c r="F866" s="117"/>
      <c r="G866" s="117"/>
      <c r="H866" s="111"/>
      <c r="I866" s="111"/>
      <c r="J866" s="111"/>
      <c r="K866" s="111"/>
    </row>
    <row r="867">
      <c r="A867" s="120"/>
      <c r="B867" s="117"/>
      <c r="C867" s="116"/>
      <c r="D867" s="120"/>
      <c r="E867" s="116"/>
      <c r="F867" s="117"/>
      <c r="G867" s="117"/>
      <c r="H867" s="111"/>
      <c r="I867" s="111"/>
      <c r="J867" s="111"/>
      <c r="K867" s="111"/>
    </row>
    <row r="868">
      <c r="A868" s="120"/>
      <c r="B868" s="117"/>
      <c r="C868" s="116"/>
      <c r="D868" s="120"/>
      <c r="E868" s="116"/>
      <c r="F868" s="117"/>
      <c r="G868" s="117"/>
      <c r="H868" s="111"/>
      <c r="I868" s="111"/>
      <c r="J868" s="111"/>
      <c r="K868" s="111"/>
    </row>
    <row r="869">
      <c r="A869" s="120"/>
      <c r="B869" s="117"/>
      <c r="C869" s="116"/>
      <c r="D869" s="120"/>
      <c r="E869" s="116"/>
      <c r="F869" s="117"/>
      <c r="G869" s="117"/>
      <c r="H869" s="111"/>
      <c r="I869" s="111"/>
      <c r="J869" s="111"/>
      <c r="K869" s="111"/>
    </row>
    <row r="870">
      <c r="A870" s="120"/>
      <c r="B870" s="117"/>
      <c r="C870" s="116"/>
      <c r="D870" s="120"/>
      <c r="E870" s="116"/>
      <c r="F870" s="117"/>
      <c r="G870" s="117"/>
      <c r="H870" s="111"/>
      <c r="I870" s="111"/>
      <c r="J870" s="111"/>
      <c r="K870" s="111"/>
    </row>
    <row r="871">
      <c r="A871" s="120"/>
      <c r="B871" s="117"/>
      <c r="C871" s="116"/>
      <c r="D871" s="120"/>
      <c r="E871" s="116"/>
      <c r="F871" s="117"/>
      <c r="G871" s="117"/>
      <c r="H871" s="111"/>
      <c r="I871" s="111"/>
      <c r="J871" s="111"/>
      <c r="K871" s="111"/>
    </row>
    <row r="872">
      <c r="A872" s="120"/>
      <c r="B872" s="117"/>
      <c r="C872" s="116"/>
      <c r="D872" s="120"/>
      <c r="E872" s="116"/>
      <c r="F872" s="117"/>
      <c r="G872" s="117"/>
      <c r="H872" s="111"/>
      <c r="I872" s="111"/>
      <c r="J872" s="111"/>
      <c r="K872" s="111"/>
    </row>
    <row r="873">
      <c r="A873" s="120"/>
      <c r="B873" s="117"/>
      <c r="C873" s="116"/>
      <c r="D873" s="120"/>
      <c r="E873" s="116"/>
      <c r="F873" s="117"/>
      <c r="G873" s="117"/>
      <c r="H873" s="111"/>
      <c r="I873" s="111"/>
      <c r="J873" s="111"/>
      <c r="K873" s="111"/>
    </row>
    <row r="874">
      <c r="A874" s="120"/>
      <c r="B874" s="117"/>
      <c r="C874" s="116"/>
      <c r="D874" s="120"/>
      <c r="E874" s="116"/>
      <c r="F874" s="117"/>
      <c r="G874" s="117"/>
      <c r="H874" s="111"/>
      <c r="I874" s="111"/>
      <c r="J874" s="111"/>
      <c r="K874" s="111"/>
    </row>
    <row r="875">
      <c r="A875" s="120"/>
      <c r="B875" s="117"/>
      <c r="C875" s="116"/>
      <c r="D875" s="120"/>
      <c r="E875" s="116"/>
      <c r="F875" s="117"/>
      <c r="G875" s="117"/>
      <c r="H875" s="111"/>
      <c r="I875" s="111"/>
      <c r="J875" s="111"/>
      <c r="K875" s="111"/>
    </row>
    <row r="876">
      <c r="A876" s="120"/>
      <c r="B876" s="117"/>
      <c r="C876" s="116"/>
      <c r="D876" s="120"/>
      <c r="E876" s="116"/>
      <c r="F876" s="117"/>
      <c r="G876" s="117"/>
      <c r="H876" s="111"/>
      <c r="I876" s="111"/>
      <c r="J876" s="111"/>
      <c r="K876" s="111"/>
    </row>
    <row r="877">
      <c r="A877" s="120"/>
      <c r="B877" s="117"/>
      <c r="C877" s="116"/>
      <c r="D877" s="120"/>
      <c r="E877" s="116"/>
      <c r="F877" s="117"/>
      <c r="G877" s="117"/>
      <c r="H877" s="111"/>
      <c r="I877" s="111"/>
      <c r="J877" s="111"/>
      <c r="K877" s="111"/>
    </row>
    <row r="878">
      <c r="A878" s="120"/>
      <c r="B878" s="117"/>
      <c r="C878" s="116"/>
      <c r="D878" s="120"/>
      <c r="E878" s="116"/>
      <c r="F878" s="117"/>
      <c r="G878" s="117"/>
      <c r="H878" s="111"/>
      <c r="I878" s="111"/>
      <c r="J878" s="111"/>
      <c r="K878" s="111"/>
    </row>
    <row r="879">
      <c r="A879" s="120"/>
      <c r="B879" s="117"/>
      <c r="C879" s="116"/>
      <c r="D879" s="120"/>
      <c r="E879" s="116"/>
      <c r="F879" s="117"/>
      <c r="G879" s="117"/>
      <c r="H879" s="111"/>
      <c r="I879" s="111"/>
      <c r="J879" s="111"/>
      <c r="K879" s="111"/>
    </row>
    <row r="880">
      <c r="A880" s="120"/>
      <c r="B880" s="117"/>
      <c r="C880" s="116"/>
      <c r="D880" s="120"/>
      <c r="E880" s="116"/>
      <c r="F880" s="117"/>
      <c r="G880" s="117"/>
      <c r="H880" s="111"/>
      <c r="I880" s="111"/>
      <c r="J880" s="111"/>
      <c r="K880" s="111"/>
    </row>
    <row r="881">
      <c r="A881" s="120"/>
      <c r="B881" s="117"/>
      <c r="C881" s="116"/>
      <c r="D881" s="120"/>
      <c r="E881" s="116"/>
      <c r="F881" s="117"/>
      <c r="G881" s="117"/>
      <c r="H881" s="111"/>
      <c r="I881" s="111"/>
      <c r="J881" s="111"/>
      <c r="K881" s="111"/>
    </row>
    <row r="882">
      <c r="A882" s="120"/>
      <c r="B882" s="117"/>
      <c r="C882" s="116"/>
      <c r="D882" s="120"/>
      <c r="E882" s="116"/>
      <c r="F882" s="117"/>
      <c r="G882" s="117"/>
      <c r="H882" s="111"/>
      <c r="I882" s="111"/>
      <c r="J882" s="111"/>
      <c r="K882" s="111"/>
    </row>
    <row r="883">
      <c r="A883" s="120"/>
      <c r="B883" s="117"/>
      <c r="C883" s="116"/>
      <c r="D883" s="120"/>
      <c r="E883" s="116"/>
      <c r="F883" s="117"/>
      <c r="G883" s="117"/>
      <c r="H883" s="111"/>
      <c r="I883" s="111"/>
      <c r="J883" s="111"/>
      <c r="K883" s="111"/>
    </row>
    <row r="884">
      <c r="A884" s="120"/>
      <c r="B884" s="117"/>
      <c r="C884" s="116"/>
      <c r="D884" s="120"/>
      <c r="E884" s="116"/>
      <c r="F884" s="117"/>
      <c r="G884" s="117"/>
      <c r="H884" s="111"/>
      <c r="I884" s="111"/>
      <c r="J884" s="111"/>
      <c r="K884" s="111"/>
    </row>
    <row r="885">
      <c r="A885" s="120"/>
      <c r="B885" s="117"/>
      <c r="C885" s="116"/>
      <c r="D885" s="120"/>
      <c r="E885" s="116"/>
      <c r="F885" s="117"/>
      <c r="G885" s="117"/>
      <c r="H885" s="111"/>
      <c r="I885" s="111"/>
      <c r="J885" s="111"/>
      <c r="K885" s="111"/>
    </row>
    <row r="886">
      <c r="A886" s="120"/>
      <c r="B886" s="117"/>
      <c r="C886" s="116"/>
      <c r="D886" s="120"/>
      <c r="E886" s="116"/>
      <c r="F886" s="117"/>
      <c r="G886" s="117"/>
      <c r="H886" s="111"/>
      <c r="I886" s="111"/>
      <c r="J886" s="111"/>
      <c r="K886" s="111"/>
    </row>
    <row r="887">
      <c r="A887" s="120"/>
      <c r="B887" s="117"/>
      <c r="C887" s="116"/>
      <c r="D887" s="120"/>
      <c r="E887" s="116"/>
      <c r="F887" s="117"/>
      <c r="G887" s="117"/>
      <c r="H887" s="111"/>
      <c r="I887" s="111"/>
      <c r="J887" s="111"/>
      <c r="K887" s="111"/>
    </row>
    <row r="888">
      <c r="A888" s="120"/>
      <c r="B888" s="117"/>
      <c r="C888" s="116"/>
      <c r="D888" s="120"/>
      <c r="E888" s="116"/>
      <c r="F888" s="117"/>
      <c r="G888" s="117"/>
      <c r="H888" s="111"/>
      <c r="I888" s="111"/>
      <c r="J888" s="111"/>
      <c r="K888" s="111"/>
    </row>
    <row r="889">
      <c r="A889" s="120"/>
      <c r="B889" s="117"/>
      <c r="C889" s="116"/>
      <c r="D889" s="120"/>
      <c r="E889" s="116"/>
      <c r="F889" s="117"/>
      <c r="G889" s="117"/>
      <c r="H889" s="111"/>
      <c r="I889" s="111"/>
      <c r="J889" s="111"/>
      <c r="K889" s="111"/>
    </row>
    <row r="890">
      <c r="A890" s="120"/>
      <c r="B890" s="117"/>
      <c r="C890" s="116"/>
      <c r="D890" s="120"/>
      <c r="E890" s="116"/>
      <c r="F890" s="117"/>
      <c r="G890" s="117"/>
      <c r="H890" s="111"/>
      <c r="I890" s="111"/>
      <c r="J890" s="111"/>
      <c r="K890" s="111"/>
    </row>
    <row r="891">
      <c r="A891" s="120"/>
      <c r="B891" s="117"/>
      <c r="C891" s="116"/>
      <c r="D891" s="120"/>
      <c r="E891" s="116"/>
      <c r="F891" s="117"/>
      <c r="G891" s="117"/>
      <c r="H891" s="111"/>
      <c r="I891" s="111"/>
      <c r="J891" s="111"/>
      <c r="K891" s="111"/>
    </row>
    <row r="892">
      <c r="A892" s="120"/>
      <c r="B892" s="117"/>
      <c r="C892" s="116"/>
      <c r="D892" s="120"/>
      <c r="E892" s="116"/>
      <c r="F892" s="117"/>
      <c r="G892" s="117"/>
      <c r="H892" s="111"/>
      <c r="I892" s="111"/>
      <c r="J892" s="111"/>
      <c r="K892" s="111"/>
    </row>
    <row r="893">
      <c r="A893" s="120"/>
      <c r="B893" s="117"/>
      <c r="C893" s="116"/>
      <c r="D893" s="120"/>
      <c r="E893" s="116"/>
      <c r="F893" s="117"/>
      <c r="G893" s="117"/>
      <c r="H893" s="111"/>
      <c r="I893" s="111"/>
      <c r="J893" s="111"/>
      <c r="K893" s="111"/>
    </row>
    <row r="894">
      <c r="A894" s="120"/>
      <c r="B894" s="117"/>
      <c r="C894" s="116"/>
      <c r="D894" s="120"/>
      <c r="E894" s="116"/>
      <c r="F894" s="117"/>
      <c r="G894" s="117"/>
      <c r="H894" s="111"/>
      <c r="I894" s="111"/>
      <c r="J894" s="111"/>
      <c r="K894" s="111"/>
    </row>
    <row r="895">
      <c r="A895" s="120"/>
      <c r="B895" s="117"/>
      <c r="C895" s="116"/>
      <c r="D895" s="120"/>
      <c r="E895" s="116"/>
      <c r="F895" s="117"/>
      <c r="G895" s="117"/>
      <c r="H895" s="111"/>
      <c r="I895" s="111"/>
      <c r="J895" s="111"/>
      <c r="K895" s="111"/>
    </row>
    <row r="896">
      <c r="A896" s="120"/>
      <c r="B896" s="117"/>
      <c r="C896" s="116"/>
      <c r="D896" s="120"/>
      <c r="E896" s="116"/>
      <c r="F896" s="117"/>
      <c r="G896" s="117"/>
      <c r="H896" s="111"/>
      <c r="I896" s="111"/>
      <c r="J896" s="111"/>
      <c r="K896" s="111"/>
    </row>
    <row r="897">
      <c r="A897" s="120"/>
      <c r="B897" s="117"/>
      <c r="C897" s="116"/>
      <c r="D897" s="120"/>
      <c r="E897" s="116"/>
      <c r="F897" s="117"/>
      <c r="G897" s="117"/>
      <c r="H897" s="111"/>
      <c r="I897" s="111"/>
      <c r="J897" s="111"/>
      <c r="K897" s="111"/>
    </row>
    <row r="898">
      <c r="A898" s="120"/>
      <c r="B898" s="117"/>
      <c r="C898" s="116"/>
      <c r="D898" s="120"/>
      <c r="E898" s="116"/>
      <c r="F898" s="117"/>
      <c r="G898" s="117"/>
      <c r="H898" s="111"/>
      <c r="I898" s="111"/>
      <c r="J898" s="111"/>
      <c r="K898" s="111"/>
    </row>
    <row r="899">
      <c r="A899" s="120"/>
      <c r="B899" s="117"/>
      <c r="C899" s="116"/>
      <c r="D899" s="120"/>
      <c r="E899" s="116"/>
      <c r="F899" s="117"/>
      <c r="G899" s="117"/>
      <c r="H899" s="111"/>
      <c r="I899" s="111"/>
      <c r="J899" s="111"/>
      <c r="K899" s="111"/>
    </row>
    <row r="900">
      <c r="A900" s="120"/>
      <c r="B900" s="117"/>
      <c r="C900" s="116"/>
      <c r="D900" s="120"/>
      <c r="E900" s="116"/>
      <c r="F900" s="117"/>
      <c r="G900" s="117"/>
      <c r="H900" s="111"/>
      <c r="I900" s="111"/>
      <c r="J900" s="111"/>
      <c r="K900" s="111"/>
    </row>
    <row r="901">
      <c r="A901" s="120"/>
      <c r="B901" s="117"/>
      <c r="C901" s="116"/>
      <c r="D901" s="120"/>
      <c r="E901" s="116"/>
      <c r="F901" s="117"/>
      <c r="G901" s="117"/>
      <c r="H901" s="111"/>
      <c r="I901" s="111"/>
      <c r="J901" s="111"/>
      <c r="K901" s="111"/>
    </row>
    <row r="902">
      <c r="A902" s="120"/>
      <c r="B902" s="117"/>
      <c r="C902" s="116"/>
      <c r="D902" s="120"/>
      <c r="E902" s="116"/>
      <c r="F902" s="117"/>
      <c r="G902" s="117"/>
      <c r="H902" s="111"/>
      <c r="I902" s="111"/>
      <c r="J902" s="111"/>
      <c r="K902" s="111"/>
    </row>
    <row r="903">
      <c r="A903" s="120"/>
      <c r="B903" s="117"/>
      <c r="C903" s="116"/>
      <c r="D903" s="120"/>
      <c r="E903" s="116"/>
      <c r="F903" s="117"/>
      <c r="G903" s="117"/>
      <c r="H903" s="111"/>
      <c r="I903" s="111"/>
      <c r="J903" s="111"/>
      <c r="K903" s="111"/>
    </row>
    <row r="904">
      <c r="A904" s="120"/>
      <c r="B904" s="117"/>
      <c r="C904" s="116"/>
      <c r="D904" s="120"/>
      <c r="E904" s="116"/>
      <c r="F904" s="117"/>
      <c r="G904" s="117"/>
      <c r="H904" s="111"/>
      <c r="I904" s="111"/>
      <c r="J904" s="111"/>
      <c r="K904" s="111"/>
    </row>
    <row r="905">
      <c r="A905" s="120"/>
      <c r="B905" s="117"/>
      <c r="C905" s="116"/>
      <c r="D905" s="120"/>
      <c r="E905" s="116"/>
      <c r="F905" s="117"/>
      <c r="G905" s="117"/>
      <c r="H905" s="111"/>
      <c r="I905" s="111"/>
      <c r="J905" s="111"/>
      <c r="K905" s="111"/>
    </row>
    <row r="906">
      <c r="A906" s="120"/>
      <c r="B906" s="117"/>
      <c r="C906" s="116"/>
      <c r="D906" s="120"/>
      <c r="E906" s="116"/>
      <c r="F906" s="117"/>
      <c r="G906" s="117"/>
      <c r="H906" s="111"/>
      <c r="I906" s="111"/>
      <c r="J906" s="111"/>
      <c r="K906" s="111"/>
    </row>
    <row r="907">
      <c r="A907" s="120"/>
      <c r="B907" s="117"/>
      <c r="C907" s="116"/>
      <c r="D907" s="120"/>
      <c r="E907" s="116"/>
      <c r="F907" s="117"/>
      <c r="G907" s="117"/>
      <c r="H907" s="111"/>
      <c r="I907" s="111"/>
      <c r="J907" s="111"/>
      <c r="K907" s="111"/>
    </row>
    <row r="908">
      <c r="A908" s="120"/>
      <c r="B908" s="117"/>
      <c r="C908" s="116"/>
      <c r="D908" s="120"/>
      <c r="E908" s="116"/>
      <c r="F908" s="117"/>
      <c r="G908" s="117"/>
      <c r="H908" s="111"/>
      <c r="I908" s="111"/>
      <c r="J908" s="111"/>
      <c r="K908" s="111"/>
    </row>
    <row r="909">
      <c r="A909" s="120"/>
      <c r="B909" s="117"/>
      <c r="C909" s="116"/>
      <c r="D909" s="120"/>
      <c r="E909" s="116"/>
      <c r="F909" s="117"/>
      <c r="G909" s="117"/>
      <c r="H909" s="111"/>
      <c r="I909" s="111"/>
      <c r="J909" s="111"/>
      <c r="K909" s="111"/>
    </row>
    <row r="910">
      <c r="A910" s="120"/>
      <c r="B910" s="117"/>
      <c r="C910" s="116"/>
      <c r="D910" s="120"/>
      <c r="E910" s="116"/>
      <c r="F910" s="117"/>
      <c r="G910" s="117"/>
      <c r="H910" s="111"/>
      <c r="I910" s="111"/>
      <c r="J910" s="111"/>
      <c r="K910" s="111"/>
    </row>
    <row r="911">
      <c r="A911" s="120"/>
      <c r="B911" s="117"/>
      <c r="C911" s="116"/>
      <c r="D911" s="120"/>
      <c r="E911" s="116"/>
      <c r="F911" s="117"/>
      <c r="G911" s="117"/>
      <c r="H911" s="111"/>
      <c r="I911" s="111"/>
      <c r="J911" s="111"/>
      <c r="K911" s="111"/>
    </row>
    <row r="912">
      <c r="A912" s="120"/>
      <c r="B912" s="117"/>
      <c r="C912" s="116"/>
      <c r="D912" s="120"/>
      <c r="E912" s="116"/>
      <c r="F912" s="117"/>
      <c r="G912" s="117"/>
      <c r="H912" s="111"/>
      <c r="I912" s="111"/>
      <c r="J912" s="111"/>
      <c r="K912" s="111"/>
    </row>
    <row r="913">
      <c r="A913" s="120"/>
      <c r="B913" s="117"/>
      <c r="C913" s="116"/>
      <c r="D913" s="120"/>
      <c r="E913" s="116"/>
      <c r="F913" s="117"/>
      <c r="G913" s="117"/>
      <c r="H913" s="111"/>
      <c r="I913" s="111"/>
      <c r="J913" s="111"/>
      <c r="K913" s="111"/>
    </row>
    <row r="914">
      <c r="A914" s="120"/>
      <c r="B914" s="117"/>
      <c r="C914" s="116"/>
      <c r="D914" s="120"/>
      <c r="E914" s="116"/>
      <c r="F914" s="117"/>
      <c r="G914" s="117"/>
      <c r="H914" s="111"/>
      <c r="I914" s="111"/>
      <c r="J914" s="111"/>
      <c r="K914" s="111"/>
    </row>
    <row r="915">
      <c r="A915" s="120"/>
      <c r="B915" s="117"/>
      <c r="C915" s="116"/>
      <c r="D915" s="120"/>
      <c r="E915" s="116"/>
      <c r="F915" s="117"/>
      <c r="G915" s="117"/>
      <c r="H915" s="111"/>
      <c r="I915" s="111"/>
      <c r="J915" s="111"/>
      <c r="K915" s="111"/>
    </row>
    <row r="916">
      <c r="A916" s="120"/>
      <c r="B916" s="117"/>
      <c r="C916" s="116"/>
      <c r="D916" s="120"/>
      <c r="E916" s="116"/>
      <c r="F916" s="117"/>
      <c r="G916" s="117"/>
      <c r="H916" s="111"/>
      <c r="I916" s="111"/>
      <c r="J916" s="111"/>
      <c r="K916" s="111"/>
    </row>
    <row r="917">
      <c r="A917" s="120"/>
      <c r="B917" s="117"/>
      <c r="C917" s="116"/>
      <c r="D917" s="120"/>
      <c r="E917" s="116"/>
      <c r="F917" s="117"/>
      <c r="G917" s="117"/>
      <c r="H917" s="111"/>
      <c r="I917" s="111"/>
      <c r="J917" s="111"/>
      <c r="K917" s="111"/>
    </row>
    <row r="918">
      <c r="A918" s="120"/>
      <c r="B918" s="117"/>
      <c r="C918" s="116"/>
      <c r="D918" s="120"/>
      <c r="E918" s="116"/>
      <c r="F918" s="117"/>
      <c r="G918" s="117"/>
      <c r="H918" s="111"/>
      <c r="I918" s="111"/>
      <c r="J918" s="111"/>
      <c r="K918" s="111"/>
    </row>
    <row r="919">
      <c r="A919" s="120"/>
      <c r="B919" s="117"/>
      <c r="C919" s="116"/>
      <c r="D919" s="120"/>
      <c r="E919" s="116"/>
      <c r="F919" s="117"/>
      <c r="G919" s="117"/>
      <c r="H919" s="111"/>
      <c r="I919" s="111"/>
      <c r="J919" s="111"/>
      <c r="K919" s="111"/>
    </row>
    <row r="920">
      <c r="A920" s="120"/>
      <c r="B920" s="117"/>
      <c r="C920" s="116"/>
      <c r="D920" s="120"/>
      <c r="E920" s="116"/>
      <c r="F920" s="117"/>
      <c r="G920" s="117"/>
      <c r="H920" s="111"/>
      <c r="I920" s="111"/>
      <c r="J920" s="111"/>
      <c r="K920" s="111"/>
    </row>
    <row r="921">
      <c r="A921" s="120"/>
      <c r="B921" s="117"/>
      <c r="C921" s="116"/>
      <c r="D921" s="120"/>
      <c r="E921" s="116"/>
      <c r="F921" s="117"/>
      <c r="G921" s="117"/>
      <c r="H921" s="111"/>
      <c r="I921" s="111"/>
      <c r="J921" s="111"/>
      <c r="K921" s="111"/>
    </row>
    <row r="922">
      <c r="A922" s="120"/>
      <c r="B922" s="117"/>
      <c r="C922" s="116"/>
      <c r="D922" s="120"/>
      <c r="E922" s="116"/>
      <c r="F922" s="117"/>
      <c r="G922" s="117"/>
      <c r="H922" s="111"/>
      <c r="I922" s="111"/>
      <c r="J922" s="111"/>
      <c r="K922" s="111"/>
    </row>
    <row r="923">
      <c r="A923" s="120"/>
      <c r="B923" s="117"/>
      <c r="C923" s="116"/>
      <c r="D923" s="120"/>
      <c r="E923" s="116"/>
      <c r="F923" s="117"/>
      <c r="G923" s="117"/>
      <c r="H923" s="111"/>
      <c r="I923" s="111"/>
      <c r="J923" s="111"/>
      <c r="K923" s="111"/>
    </row>
    <row r="924">
      <c r="A924" s="120"/>
      <c r="B924" s="117"/>
      <c r="C924" s="116"/>
      <c r="D924" s="120"/>
      <c r="E924" s="116"/>
      <c r="F924" s="117"/>
      <c r="G924" s="117"/>
      <c r="H924" s="111"/>
      <c r="I924" s="111"/>
      <c r="J924" s="111"/>
      <c r="K924" s="111"/>
    </row>
    <row r="925">
      <c r="A925" s="120"/>
      <c r="B925" s="117"/>
      <c r="C925" s="116"/>
      <c r="D925" s="120"/>
      <c r="E925" s="116"/>
      <c r="F925" s="117"/>
      <c r="G925" s="117"/>
      <c r="H925" s="111"/>
      <c r="I925" s="111"/>
      <c r="J925" s="111"/>
      <c r="K925" s="111"/>
    </row>
    <row r="926">
      <c r="A926" s="120"/>
      <c r="B926" s="117"/>
      <c r="C926" s="116"/>
      <c r="D926" s="120"/>
      <c r="E926" s="116"/>
      <c r="F926" s="117"/>
      <c r="G926" s="117"/>
      <c r="H926" s="111"/>
      <c r="I926" s="111"/>
      <c r="J926" s="111"/>
      <c r="K926" s="111"/>
    </row>
    <row r="927">
      <c r="A927" s="120"/>
      <c r="B927" s="117"/>
      <c r="C927" s="116"/>
      <c r="D927" s="120"/>
      <c r="E927" s="116"/>
      <c r="F927" s="117"/>
      <c r="G927" s="117"/>
      <c r="H927" s="111"/>
      <c r="I927" s="111"/>
      <c r="J927" s="111"/>
      <c r="K927" s="111"/>
    </row>
    <row r="928">
      <c r="A928" s="120"/>
      <c r="B928" s="117"/>
      <c r="C928" s="116"/>
      <c r="D928" s="120"/>
      <c r="E928" s="116"/>
      <c r="F928" s="117"/>
      <c r="G928" s="117"/>
      <c r="H928" s="111"/>
      <c r="I928" s="111"/>
      <c r="J928" s="111"/>
      <c r="K928" s="111"/>
    </row>
    <row r="929">
      <c r="A929" s="120"/>
      <c r="B929" s="117"/>
      <c r="C929" s="116"/>
      <c r="D929" s="120"/>
      <c r="E929" s="116"/>
      <c r="F929" s="117"/>
      <c r="G929" s="117"/>
      <c r="H929" s="111"/>
      <c r="I929" s="111"/>
      <c r="J929" s="111"/>
      <c r="K929" s="111"/>
    </row>
    <row r="930">
      <c r="A930" s="120"/>
      <c r="B930" s="117"/>
      <c r="C930" s="116"/>
      <c r="D930" s="120"/>
      <c r="E930" s="116"/>
      <c r="F930" s="117"/>
      <c r="G930" s="117"/>
      <c r="H930" s="111"/>
      <c r="I930" s="111"/>
      <c r="J930" s="111"/>
      <c r="K930" s="111"/>
    </row>
    <row r="931">
      <c r="A931" s="120"/>
      <c r="B931" s="117"/>
      <c r="C931" s="116"/>
      <c r="D931" s="120"/>
      <c r="E931" s="116"/>
      <c r="F931" s="117"/>
      <c r="G931" s="117"/>
      <c r="H931" s="111"/>
      <c r="I931" s="111"/>
      <c r="J931" s="111"/>
      <c r="K931" s="111"/>
    </row>
    <row r="932">
      <c r="A932" s="120"/>
      <c r="B932" s="117"/>
      <c r="C932" s="116"/>
      <c r="D932" s="120"/>
      <c r="E932" s="116"/>
      <c r="F932" s="117"/>
      <c r="G932" s="117"/>
      <c r="H932" s="111"/>
      <c r="I932" s="111"/>
      <c r="J932" s="111"/>
      <c r="K932" s="111"/>
    </row>
    <row r="933">
      <c r="A933" s="120"/>
      <c r="B933" s="117"/>
      <c r="C933" s="116"/>
      <c r="D933" s="120"/>
      <c r="E933" s="116"/>
      <c r="F933" s="117"/>
      <c r="G933" s="117"/>
      <c r="H933" s="111"/>
      <c r="I933" s="111"/>
      <c r="J933" s="111"/>
      <c r="K933" s="111"/>
    </row>
    <row r="934">
      <c r="A934" s="120"/>
      <c r="B934" s="117"/>
      <c r="C934" s="116"/>
      <c r="D934" s="120"/>
      <c r="E934" s="116"/>
      <c r="F934" s="117"/>
      <c r="G934" s="117"/>
      <c r="H934" s="111"/>
      <c r="I934" s="111"/>
      <c r="J934" s="111"/>
      <c r="K934" s="111"/>
    </row>
    <row r="935">
      <c r="A935" s="120"/>
      <c r="B935" s="117"/>
      <c r="C935" s="116"/>
      <c r="D935" s="120"/>
      <c r="E935" s="116"/>
      <c r="F935" s="117"/>
      <c r="G935" s="117"/>
      <c r="H935" s="111"/>
      <c r="I935" s="111"/>
      <c r="J935" s="111"/>
      <c r="K935" s="111"/>
    </row>
    <row r="936">
      <c r="A936" s="120"/>
      <c r="B936" s="117"/>
      <c r="C936" s="116"/>
      <c r="D936" s="120"/>
      <c r="E936" s="116"/>
      <c r="F936" s="117"/>
      <c r="G936" s="117"/>
      <c r="H936" s="111"/>
      <c r="I936" s="111"/>
      <c r="J936" s="111"/>
      <c r="K936" s="111"/>
    </row>
    <row r="937">
      <c r="A937" s="120"/>
      <c r="B937" s="117"/>
      <c r="C937" s="116"/>
      <c r="D937" s="120"/>
      <c r="E937" s="116"/>
      <c r="F937" s="117"/>
      <c r="G937" s="117"/>
      <c r="H937" s="111"/>
      <c r="I937" s="111"/>
      <c r="J937" s="111"/>
      <c r="K937" s="111"/>
    </row>
    <row r="938">
      <c r="A938" s="120"/>
      <c r="B938" s="117"/>
      <c r="C938" s="116"/>
      <c r="D938" s="120"/>
      <c r="E938" s="116"/>
      <c r="F938" s="117"/>
      <c r="G938" s="117"/>
      <c r="H938" s="111"/>
      <c r="I938" s="111"/>
      <c r="J938" s="111"/>
      <c r="K938" s="111"/>
    </row>
    <row r="939">
      <c r="A939" s="120"/>
      <c r="B939" s="117"/>
      <c r="C939" s="116"/>
      <c r="D939" s="120"/>
      <c r="E939" s="116"/>
      <c r="F939" s="117"/>
      <c r="G939" s="117"/>
      <c r="H939" s="111"/>
      <c r="I939" s="111"/>
      <c r="J939" s="111"/>
      <c r="K939" s="111"/>
    </row>
    <row r="940">
      <c r="A940" s="120"/>
      <c r="B940" s="117"/>
      <c r="C940" s="116"/>
      <c r="D940" s="120"/>
      <c r="E940" s="116"/>
      <c r="F940" s="117"/>
      <c r="G940" s="117"/>
      <c r="H940" s="111"/>
      <c r="I940" s="111"/>
      <c r="J940" s="111"/>
      <c r="K940" s="111"/>
    </row>
    <row r="941">
      <c r="A941" s="120"/>
      <c r="B941" s="117"/>
      <c r="C941" s="116"/>
      <c r="D941" s="120"/>
      <c r="E941" s="116"/>
      <c r="F941" s="117"/>
      <c r="G941" s="117"/>
      <c r="H941" s="111"/>
      <c r="I941" s="111"/>
      <c r="J941" s="111"/>
      <c r="K941" s="111"/>
    </row>
    <row r="942">
      <c r="A942" s="120"/>
      <c r="B942" s="117"/>
      <c r="C942" s="116"/>
      <c r="D942" s="120"/>
      <c r="E942" s="116"/>
      <c r="F942" s="117"/>
      <c r="G942" s="117"/>
      <c r="H942" s="111"/>
      <c r="I942" s="111"/>
      <c r="J942" s="111"/>
      <c r="K942" s="111"/>
    </row>
    <row r="943">
      <c r="A943" s="120"/>
      <c r="B943" s="117"/>
      <c r="C943" s="116"/>
      <c r="D943" s="120"/>
      <c r="E943" s="116"/>
      <c r="F943" s="117"/>
      <c r="G943" s="117"/>
      <c r="H943" s="111"/>
      <c r="I943" s="111"/>
      <c r="J943" s="111"/>
      <c r="K943" s="111"/>
    </row>
    <row r="944">
      <c r="A944" s="120"/>
      <c r="B944" s="117"/>
      <c r="C944" s="116"/>
      <c r="D944" s="120"/>
      <c r="E944" s="116"/>
      <c r="F944" s="117"/>
      <c r="G944" s="117"/>
      <c r="H944" s="111"/>
      <c r="I944" s="111"/>
      <c r="J944" s="111"/>
      <c r="K944" s="111"/>
    </row>
    <row r="945">
      <c r="A945" s="120"/>
      <c r="B945" s="117"/>
      <c r="C945" s="116"/>
      <c r="D945" s="120"/>
      <c r="E945" s="116"/>
      <c r="F945" s="117"/>
      <c r="G945" s="117"/>
      <c r="H945" s="111"/>
      <c r="I945" s="111"/>
      <c r="J945" s="111"/>
      <c r="K945" s="111"/>
    </row>
    <row r="946">
      <c r="A946" s="120"/>
      <c r="B946" s="117"/>
      <c r="C946" s="116"/>
      <c r="D946" s="120"/>
      <c r="E946" s="116"/>
      <c r="F946" s="117"/>
      <c r="G946" s="117"/>
      <c r="H946" s="111"/>
      <c r="I946" s="111"/>
      <c r="J946" s="111"/>
      <c r="K946" s="111"/>
    </row>
    <row r="947">
      <c r="A947" s="120"/>
      <c r="B947" s="117"/>
      <c r="C947" s="116"/>
      <c r="D947" s="120"/>
      <c r="E947" s="116"/>
      <c r="F947" s="117"/>
      <c r="G947" s="117"/>
      <c r="H947" s="111"/>
      <c r="I947" s="111"/>
      <c r="J947" s="111"/>
      <c r="K947" s="111"/>
    </row>
    <row r="948">
      <c r="A948" s="120"/>
      <c r="B948" s="117"/>
      <c r="C948" s="116"/>
      <c r="D948" s="120"/>
      <c r="E948" s="116"/>
      <c r="F948" s="117"/>
      <c r="G948" s="117"/>
      <c r="H948" s="111"/>
      <c r="I948" s="111"/>
      <c r="J948" s="111"/>
      <c r="K948" s="111"/>
    </row>
    <row r="949">
      <c r="A949" s="120"/>
      <c r="B949" s="117"/>
      <c r="C949" s="116"/>
      <c r="D949" s="120"/>
      <c r="E949" s="116"/>
      <c r="F949" s="117"/>
      <c r="G949" s="117"/>
      <c r="H949" s="111"/>
      <c r="I949" s="111"/>
      <c r="J949" s="111"/>
      <c r="K949" s="111"/>
    </row>
    <row r="950">
      <c r="A950" s="120"/>
      <c r="B950" s="117"/>
      <c r="C950" s="116"/>
      <c r="D950" s="120"/>
      <c r="E950" s="116"/>
      <c r="F950" s="117"/>
      <c r="G950" s="117"/>
      <c r="H950" s="111"/>
      <c r="I950" s="111"/>
      <c r="J950" s="111"/>
      <c r="K950" s="111"/>
    </row>
    <row r="951">
      <c r="A951" s="120"/>
      <c r="B951" s="117"/>
      <c r="C951" s="116"/>
      <c r="D951" s="120"/>
      <c r="E951" s="116"/>
      <c r="F951" s="117"/>
      <c r="G951" s="117"/>
      <c r="H951" s="111"/>
      <c r="I951" s="111"/>
      <c r="J951" s="111"/>
      <c r="K951" s="111"/>
    </row>
    <row r="952">
      <c r="A952" s="120"/>
      <c r="B952" s="117"/>
      <c r="C952" s="116"/>
      <c r="D952" s="120"/>
      <c r="E952" s="116"/>
      <c r="F952" s="117"/>
      <c r="G952" s="117"/>
      <c r="H952" s="111"/>
      <c r="I952" s="111"/>
      <c r="J952" s="111"/>
      <c r="K952" s="111"/>
    </row>
    <row r="953">
      <c r="A953" s="120"/>
      <c r="B953" s="117"/>
      <c r="C953" s="116"/>
      <c r="D953" s="120"/>
      <c r="E953" s="116"/>
      <c r="F953" s="117"/>
      <c r="G953" s="117"/>
      <c r="H953" s="111"/>
      <c r="I953" s="111"/>
      <c r="J953" s="111"/>
      <c r="K953" s="111"/>
    </row>
    <row r="954">
      <c r="A954" s="120"/>
      <c r="B954" s="117"/>
      <c r="C954" s="116"/>
      <c r="D954" s="120"/>
      <c r="E954" s="116"/>
      <c r="F954" s="117"/>
      <c r="G954" s="117"/>
      <c r="H954" s="111"/>
      <c r="I954" s="111"/>
      <c r="J954" s="111"/>
      <c r="K954" s="111"/>
    </row>
    <row r="955">
      <c r="A955" s="120"/>
      <c r="B955" s="117"/>
      <c r="C955" s="116"/>
      <c r="D955" s="120"/>
      <c r="E955" s="116"/>
      <c r="F955" s="117"/>
      <c r="G955" s="117"/>
      <c r="H955" s="111"/>
      <c r="I955" s="111"/>
      <c r="J955" s="111"/>
      <c r="K955" s="111"/>
    </row>
    <row r="956">
      <c r="A956" s="120"/>
      <c r="B956" s="117"/>
      <c r="C956" s="116"/>
      <c r="D956" s="120"/>
      <c r="E956" s="116"/>
      <c r="F956" s="117"/>
      <c r="G956" s="117"/>
      <c r="H956" s="111"/>
      <c r="I956" s="111"/>
      <c r="J956" s="111"/>
      <c r="K956" s="111"/>
    </row>
    <row r="957">
      <c r="A957" s="120"/>
      <c r="B957" s="117"/>
      <c r="C957" s="116"/>
      <c r="D957" s="120"/>
      <c r="E957" s="116"/>
      <c r="F957" s="117"/>
      <c r="G957" s="117"/>
      <c r="H957" s="111"/>
      <c r="I957" s="111"/>
      <c r="J957" s="111"/>
      <c r="K957" s="111"/>
    </row>
    <row r="958">
      <c r="A958" s="120"/>
      <c r="B958" s="117"/>
      <c r="C958" s="116"/>
      <c r="D958" s="120"/>
      <c r="E958" s="116"/>
      <c r="F958" s="117"/>
      <c r="G958" s="117"/>
      <c r="H958" s="111"/>
      <c r="I958" s="111"/>
      <c r="J958" s="111"/>
      <c r="K958" s="111"/>
    </row>
    <row r="959">
      <c r="A959" s="120"/>
      <c r="B959" s="117"/>
      <c r="C959" s="116"/>
      <c r="D959" s="120"/>
      <c r="E959" s="116"/>
      <c r="F959" s="117"/>
      <c r="G959" s="117"/>
      <c r="H959" s="111"/>
      <c r="I959" s="111"/>
      <c r="J959" s="111"/>
      <c r="K959" s="111"/>
    </row>
    <row r="960">
      <c r="A960" s="120"/>
      <c r="B960" s="117"/>
      <c r="C960" s="116"/>
      <c r="D960" s="120"/>
      <c r="E960" s="116"/>
      <c r="F960" s="117"/>
      <c r="G960" s="117"/>
      <c r="H960" s="111"/>
      <c r="I960" s="111"/>
      <c r="J960" s="111"/>
      <c r="K960" s="111"/>
    </row>
    <row r="961">
      <c r="A961" s="120"/>
      <c r="B961" s="117"/>
      <c r="C961" s="116"/>
      <c r="D961" s="120"/>
      <c r="E961" s="116"/>
      <c r="F961" s="117"/>
      <c r="G961" s="117"/>
      <c r="H961" s="111"/>
      <c r="I961" s="111"/>
      <c r="J961" s="111"/>
      <c r="K961" s="111"/>
    </row>
    <row r="962">
      <c r="A962" s="120"/>
      <c r="B962" s="117"/>
      <c r="C962" s="116"/>
      <c r="D962" s="120"/>
      <c r="E962" s="116"/>
      <c r="F962" s="117"/>
      <c r="G962" s="117"/>
      <c r="H962" s="111"/>
      <c r="I962" s="111"/>
      <c r="J962" s="111"/>
      <c r="K962" s="111"/>
    </row>
    <row r="963">
      <c r="A963" s="120"/>
      <c r="B963" s="117"/>
      <c r="C963" s="116"/>
      <c r="D963" s="120"/>
      <c r="E963" s="116"/>
      <c r="F963" s="117"/>
      <c r="G963" s="117"/>
      <c r="H963" s="111"/>
      <c r="I963" s="111"/>
      <c r="J963" s="111"/>
      <c r="K963" s="111"/>
    </row>
    <row r="964">
      <c r="A964" s="120"/>
      <c r="B964" s="117"/>
      <c r="C964" s="116"/>
      <c r="D964" s="120"/>
      <c r="E964" s="116"/>
      <c r="F964" s="117"/>
      <c r="G964" s="117"/>
      <c r="H964" s="111"/>
      <c r="I964" s="111"/>
      <c r="J964" s="111"/>
      <c r="K964" s="111"/>
    </row>
    <row r="965">
      <c r="A965" s="120"/>
      <c r="B965" s="117"/>
      <c r="C965" s="116"/>
      <c r="D965" s="120"/>
      <c r="E965" s="116"/>
      <c r="F965" s="117"/>
      <c r="G965" s="117"/>
      <c r="H965" s="111"/>
      <c r="I965" s="111"/>
      <c r="J965" s="111"/>
      <c r="K965" s="111"/>
    </row>
    <row r="966">
      <c r="A966" s="120"/>
      <c r="B966" s="117"/>
      <c r="C966" s="116"/>
      <c r="D966" s="120"/>
      <c r="E966" s="116"/>
      <c r="F966" s="117"/>
      <c r="G966" s="117"/>
      <c r="H966" s="111"/>
      <c r="I966" s="111"/>
      <c r="J966" s="111"/>
      <c r="K966" s="111"/>
    </row>
    <row r="967">
      <c r="A967" s="120"/>
      <c r="B967" s="117"/>
      <c r="C967" s="116"/>
      <c r="D967" s="120"/>
      <c r="E967" s="116"/>
      <c r="F967" s="117"/>
      <c r="G967" s="117"/>
      <c r="H967" s="111"/>
      <c r="I967" s="111"/>
      <c r="J967" s="111"/>
      <c r="K967" s="111"/>
    </row>
    <row r="968">
      <c r="A968" s="120"/>
      <c r="B968" s="117"/>
      <c r="C968" s="116"/>
      <c r="D968" s="120"/>
      <c r="E968" s="116"/>
      <c r="F968" s="117"/>
      <c r="G968" s="117"/>
      <c r="H968" s="111"/>
      <c r="I968" s="111"/>
      <c r="J968" s="111"/>
      <c r="K968" s="111"/>
    </row>
    <row r="969">
      <c r="A969" s="120"/>
      <c r="B969" s="117"/>
      <c r="C969" s="116"/>
      <c r="D969" s="120"/>
      <c r="E969" s="116"/>
      <c r="F969" s="117"/>
      <c r="G969" s="117"/>
      <c r="H969" s="111"/>
      <c r="I969" s="111"/>
      <c r="J969" s="111"/>
      <c r="K969" s="111"/>
    </row>
    <row r="970">
      <c r="A970" s="120"/>
      <c r="B970" s="117"/>
      <c r="C970" s="116"/>
      <c r="D970" s="120"/>
      <c r="E970" s="116"/>
      <c r="F970" s="117"/>
      <c r="G970" s="117"/>
      <c r="H970" s="111"/>
      <c r="I970" s="111"/>
      <c r="J970" s="111"/>
      <c r="K970" s="111"/>
    </row>
    <row r="971">
      <c r="A971" s="120"/>
      <c r="B971" s="117"/>
      <c r="C971" s="116"/>
      <c r="D971" s="120"/>
      <c r="E971" s="116"/>
      <c r="F971" s="117"/>
      <c r="G971" s="117"/>
      <c r="H971" s="111"/>
      <c r="I971" s="111"/>
      <c r="J971" s="111"/>
      <c r="K971" s="111"/>
    </row>
    <row r="972">
      <c r="A972" s="120"/>
      <c r="B972" s="117"/>
      <c r="C972" s="116"/>
      <c r="D972" s="120"/>
      <c r="E972" s="116"/>
      <c r="F972" s="117"/>
      <c r="G972" s="117"/>
      <c r="H972" s="111"/>
      <c r="I972" s="111"/>
      <c r="J972" s="111"/>
      <c r="K972" s="111"/>
    </row>
    <row r="973">
      <c r="A973" s="120"/>
      <c r="B973" s="117"/>
      <c r="C973" s="116"/>
      <c r="D973" s="120"/>
      <c r="E973" s="116"/>
      <c r="F973" s="117"/>
      <c r="G973" s="117"/>
      <c r="H973" s="111"/>
      <c r="I973" s="111"/>
      <c r="J973" s="111"/>
      <c r="K973" s="111"/>
    </row>
    <row r="974">
      <c r="A974" s="120"/>
      <c r="B974" s="117"/>
      <c r="C974" s="116"/>
      <c r="D974" s="120"/>
      <c r="E974" s="116"/>
      <c r="F974" s="117"/>
      <c r="G974" s="117"/>
      <c r="H974" s="111"/>
      <c r="I974" s="111"/>
      <c r="J974" s="111"/>
      <c r="K974" s="111"/>
    </row>
    <row r="975">
      <c r="A975" s="120"/>
      <c r="B975" s="117"/>
      <c r="C975" s="116"/>
      <c r="D975" s="120"/>
      <c r="E975" s="116"/>
      <c r="F975" s="117"/>
      <c r="G975" s="117"/>
      <c r="H975" s="111"/>
      <c r="I975" s="111"/>
      <c r="J975" s="111"/>
      <c r="K975" s="111"/>
    </row>
    <row r="976">
      <c r="A976" s="120"/>
      <c r="B976" s="117"/>
      <c r="C976" s="116"/>
      <c r="D976" s="120"/>
      <c r="E976" s="116"/>
      <c r="F976" s="117"/>
      <c r="G976" s="117"/>
      <c r="H976" s="111"/>
      <c r="I976" s="111"/>
      <c r="J976" s="111"/>
      <c r="K976" s="111"/>
    </row>
    <row r="977">
      <c r="A977" s="120"/>
      <c r="B977" s="117"/>
      <c r="C977" s="116"/>
      <c r="D977" s="120"/>
      <c r="E977" s="116"/>
      <c r="F977" s="117"/>
      <c r="G977" s="117"/>
      <c r="H977" s="111"/>
      <c r="I977" s="111"/>
      <c r="J977" s="111"/>
      <c r="K977" s="111"/>
    </row>
    <row r="978">
      <c r="A978" s="120"/>
      <c r="B978" s="117"/>
      <c r="C978" s="116"/>
      <c r="D978" s="120"/>
      <c r="E978" s="116"/>
      <c r="F978" s="117"/>
      <c r="G978" s="117"/>
      <c r="H978" s="111"/>
      <c r="I978" s="111"/>
      <c r="J978" s="111"/>
      <c r="K978" s="111"/>
    </row>
    <row r="979">
      <c r="A979" s="120"/>
      <c r="B979" s="117"/>
      <c r="C979" s="116"/>
      <c r="D979" s="120"/>
      <c r="E979" s="116"/>
      <c r="F979" s="117"/>
      <c r="G979" s="117"/>
      <c r="H979" s="111"/>
      <c r="I979" s="111"/>
      <c r="J979" s="111"/>
      <c r="K979" s="111"/>
    </row>
    <row r="980">
      <c r="A980" s="120"/>
      <c r="B980" s="117"/>
      <c r="C980" s="116"/>
      <c r="D980" s="120"/>
      <c r="E980" s="116"/>
      <c r="F980" s="117"/>
      <c r="G980" s="117"/>
      <c r="H980" s="111"/>
      <c r="I980" s="111"/>
      <c r="J980" s="111"/>
      <c r="K980" s="111"/>
    </row>
    <row r="981">
      <c r="A981" s="120"/>
      <c r="B981" s="117"/>
      <c r="C981" s="116"/>
      <c r="D981" s="120"/>
      <c r="E981" s="116"/>
      <c r="F981" s="117"/>
      <c r="G981" s="117"/>
      <c r="H981" s="111"/>
      <c r="I981" s="111"/>
      <c r="J981" s="111"/>
      <c r="K981" s="111"/>
    </row>
    <row r="982">
      <c r="A982" s="120"/>
      <c r="B982" s="117"/>
      <c r="C982" s="116"/>
      <c r="D982" s="120"/>
      <c r="E982" s="116"/>
      <c r="F982" s="117"/>
      <c r="G982" s="117"/>
      <c r="H982" s="111"/>
      <c r="I982" s="111"/>
      <c r="J982" s="111"/>
      <c r="K982" s="111"/>
    </row>
    <row r="983">
      <c r="A983" s="120"/>
      <c r="B983" s="117"/>
      <c r="C983" s="116"/>
      <c r="D983" s="120"/>
      <c r="E983" s="116"/>
      <c r="F983" s="117"/>
      <c r="G983" s="117"/>
      <c r="H983" s="111"/>
      <c r="I983" s="111"/>
      <c r="J983" s="111"/>
      <c r="K983" s="111"/>
    </row>
    <row r="984">
      <c r="A984" s="120"/>
      <c r="B984" s="117"/>
      <c r="C984" s="116"/>
      <c r="D984" s="120"/>
      <c r="E984" s="116"/>
      <c r="F984" s="117"/>
      <c r="G984" s="117"/>
      <c r="H984" s="111"/>
      <c r="I984" s="111"/>
      <c r="J984" s="111"/>
      <c r="K984" s="111"/>
    </row>
    <row r="985">
      <c r="A985" s="120"/>
      <c r="B985" s="117"/>
      <c r="C985" s="116"/>
      <c r="D985" s="120"/>
      <c r="E985" s="116"/>
      <c r="F985" s="117"/>
      <c r="G985" s="117"/>
      <c r="H985" s="111"/>
      <c r="I985" s="111"/>
      <c r="J985" s="111"/>
      <c r="K985" s="111"/>
    </row>
    <row r="986">
      <c r="A986" s="120"/>
      <c r="B986" s="117"/>
      <c r="C986" s="116"/>
      <c r="D986" s="120"/>
      <c r="E986" s="116"/>
      <c r="F986" s="117"/>
      <c r="G986" s="117"/>
      <c r="H986" s="111"/>
      <c r="I986" s="111"/>
      <c r="J986" s="111"/>
      <c r="K986" s="111"/>
    </row>
    <row r="987">
      <c r="A987" s="120"/>
      <c r="B987" s="117"/>
      <c r="C987" s="116"/>
      <c r="D987" s="120"/>
      <c r="E987" s="116"/>
      <c r="F987" s="117"/>
      <c r="G987" s="117"/>
      <c r="H987" s="111"/>
      <c r="I987" s="111"/>
      <c r="J987" s="111"/>
      <c r="K987" s="111"/>
    </row>
    <row r="988">
      <c r="A988" s="120"/>
      <c r="B988" s="117"/>
      <c r="C988" s="116"/>
      <c r="D988" s="120"/>
      <c r="E988" s="116"/>
      <c r="F988" s="117"/>
      <c r="G988" s="117"/>
      <c r="H988" s="111"/>
      <c r="I988" s="111"/>
      <c r="J988" s="111"/>
      <c r="K988" s="111"/>
    </row>
    <row r="989">
      <c r="A989" s="120"/>
      <c r="B989" s="117"/>
      <c r="C989" s="116"/>
      <c r="D989" s="120"/>
      <c r="E989" s="116"/>
      <c r="F989" s="117"/>
      <c r="G989" s="117"/>
      <c r="H989" s="111"/>
      <c r="I989" s="111"/>
      <c r="J989" s="111"/>
      <c r="K989" s="111"/>
    </row>
    <row r="990">
      <c r="A990" s="120"/>
      <c r="B990" s="117"/>
      <c r="C990" s="116"/>
      <c r="D990" s="120"/>
      <c r="E990" s="116"/>
      <c r="F990" s="117"/>
      <c r="G990" s="117"/>
      <c r="H990" s="111"/>
      <c r="I990" s="111"/>
      <c r="J990" s="111"/>
      <c r="K990" s="111"/>
    </row>
    <row r="991">
      <c r="A991" s="120"/>
      <c r="B991" s="117"/>
      <c r="C991" s="116"/>
      <c r="D991" s="120"/>
      <c r="E991" s="116"/>
      <c r="F991" s="117"/>
      <c r="G991" s="117"/>
      <c r="H991" s="111"/>
      <c r="I991" s="111"/>
      <c r="J991" s="111"/>
      <c r="K991" s="111"/>
    </row>
    <row r="992">
      <c r="A992" s="120"/>
      <c r="B992" s="117"/>
      <c r="C992" s="116"/>
      <c r="D992" s="120"/>
      <c r="E992" s="116"/>
      <c r="F992" s="117"/>
      <c r="G992" s="117"/>
      <c r="H992" s="111"/>
      <c r="I992" s="111"/>
      <c r="J992" s="111"/>
      <c r="K992" s="111"/>
    </row>
    <row r="993">
      <c r="A993" s="120"/>
      <c r="B993" s="117"/>
      <c r="C993" s="116"/>
      <c r="D993" s="120"/>
      <c r="E993" s="116"/>
      <c r="F993" s="117"/>
      <c r="G993" s="117"/>
      <c r="H993" s="111"/>
      <c r="I993" s="111"/>
      <c r="J993" s="111"/>
      <c r="K993" s="111"/>
    </row>
    <row r="994">
      <c r="A994" s="120"/>
      <c r="B994" s="117"/>
      <c r="C994" s="116"/>
      <c r="D994" s="120"/>
      <c r="E994" s="116"/>
      <c r="F994" s="117"/>
      <c r="G994" s="117"/>
      <c r="H994" s="111"/>
      <c r="I994" s="111"/>
      <c r="J994" s="111"/>
      <c r="K994" s="111"/>
    </row>
    <row r="995">
      <c r="A995" s="120"/>
      <c r="B995" s="117"/>
      <c r="C995" s="116"/>
      <c r="D995" s="120"/>
      <c r="E995" s="116"/>
      <c r="F995" s="117"/>
      <c r="G995" s="117"/>
      <c r="H995" s="111"/>
      <c r="I995" s="111"/>
      <c r="J995" s="111"/>
      <c r="K995" s="111"/>
    </row>
    <row r="996">
      <c r="A996" s="120"/>
      <c r="B996" s="117"/>
      <c r="C996" s="116"/>
      <c r="D996" s="120"/>
      <c r="E996" s="116"/>
      <c r="F996" s="117"/>
      <c r="G996" s="117"/>
      <c r="H996" s="111"/>
      <c r="I996" s="111"/>
      <c r="J996" s="111"/>
      <c r="K996" s="111"/>
    </row>
    <row r="997">
      <c r="A997" s="120"/>
      <c r="B997" s="117"/>
      <c r="C997" s="116"/>
      <c r="D997" s="120"/>
      <c r="E997" s="116"/>
      <c r="F997" s="117"/>
      <c r="G997" s="117"/>
      <c r="H997" s="111"/>
      <c r="I997" s="111"/>
      <c r="J997" s="111"/>
      <c r="K997" s="111"/>
    </row>
    <row r="998">
      <c r="A998" s="120"/>
      <c r="B998" s="117"/>
      <c r="C998" s="116"/>
      <c r="D998" s="120"/>
      <c r="E998" s="116"/>
      <c r="F998" s="117"/>
      <c r="G998" s="117"/>
      <c r="H998" s="111"/>
      <c r="I998" s="111"/>
      <c r="J998" s="111"/>
      <c r="K998" s="111"/>
    </row>
    <row r="999">
      <c r="A999" s="120"/>
      <c r="B999" s="117"/>
      <c r="C999" s="116"/>
      <c r="D999" s="120"/>
      <c r="E999" s="116"/>
      <c r="F999" s="117"/>
      <c r="G999" s="117"/>
      <c r="H999" s="111"/>
      <c r="I999" s="111"/>
      <c r="J999" s="111"/>
      <c r="K999" s="111"/>
    </row>
    <row r="1000">
      <c r="A1000" s="120"/>
      <c r="B1000" s="117"/>
      <c r="C1000" s="116"/>
      <c r="D1000" s="120"/>
      <c r="E1000" s="116"/>
      <c r="F1000" s="117"/>
      <c r="G1000" s="117"/>
      <c r="H1000" s="111"/>
      <c r="I1000" s="111"/>
      <c r="J1000" s="111"/>
      <c r="K1000" s="111"/>
    </row>
  </sheetData>
  <conditionalFormatting sqref="D2:D1000">
    <cfRule type="beginsWith" dxfId="4" priority="1" stopIfTrue="1" operator="beginsWith" text="❓">
      <formula>LEFT((D2),LEN("❓"))=("❓")</formula>
    </cfRule>
  </conditionalFormatting>
  <conditionalFormatting sqref="D2:D1000">
    <cfRule type="beginsWith" dxfId="5" priority="2" stopIfTrue="1" operator="beginsWith" text="❌">
      <formula>LEFT((D2),LEN("❌"))=("❌")</formula>
    </cfRule>
  </conditionalFormatting>
  <conditionalFormatting sqref="D2:D1000">
    <cfRule type="beginsWith" dxfId="6" priority="3" stopIfTrue="1" operator="beginsWith" text="✅">
      <formula>LEFT((D2),LEN("✅"))=("✅")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A127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12" width="14.5"/>
  </cols>
  <sheetData>
    <row r="1" ht="34.5" customHeight="1">
      <c r="A1" s="123" t="s">
        <v>211</v>
      </c>
      <c r="M1" s="111"/>
      <c r="N1" s="111"/>
    </row>
    <row r="2">
      <c r="A2" s="124" t="s">
        <v>212</v>
      </c>
      <c r="M2" s="111"/>
      <c r="N2" s="111"/>
    </row>
    <row r="3" ht="22.5" customHeight="1">
      <c r="A3" s="125" t="s">
        <v>14</v>
      </c>
      <c r="B3" s="126">
        <v>46296.0</v>
      </c>
      <c r="C3" s="127" t="s">
        <v>15</v>
      </c>
      <c r="D3" s="126">
        <v>46326.0</v>
      </c>
      <c r="E3" s="128" t="s">
        <v>58</v>
      </c>
      <c r="F3" s="111"/>
      <c r="G3" s="111"/>
      <c r="H3" s="111"/>
      <c r="I3" s="111"/>
      <c r="J3" s="111"/>
      <c r="K3" s="111"/>
      <c r="L3" s="111"/>
      <c r="M3" s="111"/>
      <c r="N3" s="111"/>
    </row>
    <row r="4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ht="27.0" customHeight="1">
      <c r="A5" s="129" t="s">
        <v>213</v>
      </c>
      <c r="C5" s="130" t="s">
        <v>214</v>
      </c>
      <c r="E5" s="131" t="s">
        <v>215</v>
      </c>
      <c r="G5" s="132" t="s">
        <v>216</v>
      </c>
      <c r="I5" s="133" t="s">
        <v>217</v>
      </c>
      <c r="K5" s="134" t="s">
        <v>218</v>
      </c>
      <c r="M5" s="111"/>
      <c r="N5" s="111"/>
    </row>
    <row r="6" ht="34.5" customHeight="1">
      <c r="A6" s="135">
        <f>COUNTIFS(Bonuslar!K:K,"✅ Olindi",Bonuslar!G:G,"&gt;="&amp;$B$3,Bonuslar!G:G,"&lt;="&amp;$D$3)</f>
        <v>7</v>
      </c>
      <c r="B6" s="136"/>
      <c r="C6" s="137">
        <f>COUNTIFS(Bonuslar!K:K,"✅ Olindi",Bonuslar!G:G,"&gt;="&amp;$B$3,Bonuslar!G:G,"&lt;="&amp;$D$3,Bonuslar!H:H,"&lt;=3")</f>
        <v>7</v>
      </c>
      <c r="D6" s="138"/>
      <c r="E6" s="139">
        <f>COUNTIFS(Bonuslar!K:K,"✅ Olindi",Bonuslar!G:G,"&gt;="&amp;$B$3,Bonuslar!G:G,"&lt;="&amp;$D$3,Bonuslar!H:H,"&gt;=4",Bonuslar!H:H,"&lt;=7")</f>
        <v>0</v>
      </c>
      <c r="F6" s="140"/>
      <c r="G6" s="141">
        <f>COUNTIFS(Bonuslar!K:K,"✅ Olindi",Bonuslar!G:G,"&gt;="&amp;$B$3,Bonuslar!G:G,"&lt;="&amp;$D$3,Bonuslar!H:H,"&gt;=8",Bonuslar!H:H,"&lt;=30")</f>
        <v>0</v>
      </c>
      <c r="H6" s="142"/>
      <c r="I6" s="143">
        <f>COUNTIFS(Bonuslar!K:K,"❌*",Bonuslar!A:A,"&gt;="&amp;($B$3-31),Bonuslar!A:A,"&lt;="&amp;($D$3-31))+COUNTIFS(Bonuslar!K:K,"✅ Olindi",Bonuslar!G:G,"&gt;="&amp;$B$3,Bonuslar!G:G,"&lt;="&amp;$D$3,Bonuslar!H:H,"&gt;30")</f>
        <v>0</v>
      </c>
      <c r="J6" s="144"/>
      <c r="K6" s="145">
        <f>SUMIFS(Bonuslar!J:J,Bonuslar!K:K,"✅ Olindi",Bonuslar!G:G,"&gt;="&amp;$B$3,Bonuslar!G:G,"&lt;="&amp;$D$3)</f>
        <v>3798467</v>
      </c>
      <c r="L6" s="7"/>
      <c r="M6" s="111"/>
      <c r="N6" s="111"/>
    </row>
    <row r="7" ht="24.0" customHeight="1">
      <c r="A7" s="146" t="str">
        <f>"⏳ Hozir pul kutilayotgan zakazlar: "&amp;COUNTIF(Bonuslar!K:K,"⏳ Kutilmoqda")&amp;" ta  ·  Shu davrda Готов bo'lgan: "&amp;COUNTIFS(Bonuslar!A:A,"&gt;="&amp;$B$3,Bonuslar!A:A,"&lt;="&amp;$D$3)&amp;" ta"</f>
        <v>⏳ Hozir pul kutilayotgan zakazlar: 0 ta  ·  Shu davrda Готов bo'lgan: 7 ta</v>
      </c>
      <c r="M7" s="111"/>
      <c r="N7" s="111"/>
    </row>
    <row r="8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</row>
    <row r="9">
      <c r="A9" s="147" t="s">
        <v>219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</row>
    <row r="10" ht="22.5" customHeight="1">
      <c r="A10" s="110" t="s">
        <v>220</v>
      </c>
      <c r="B10" s="110" t="s">
        <v>132</v>
      </c>
      <c r="C10" s="110" t="s">
        <v>133</v>
      </c>
      <c r="D10" s="110" t="s">
        <v>221</v>
      </c>
      <c r="E10" s="110" t="s">
        <v>222</v>
      </c>
      <c r="F10" s="110" t="s">
        <v>223</v>
      </c>
      <c r="G10" s="110" t="s">
        <v>224</v>
      </c>
      <c r="H10" s="110" t="s">
        <v>134</v>
      </c>
      <c r="I10" s="111"/>
      <c r="J10" s="111"/>
      <c r="K10" s="111"/>
      <c r="L10" s="111"/>
      <c r="M10" s="111"/>
      <c r="N10" s="111"/>
    </row>
    <row r="11">
      <c r="A11" s="117">
        <f>IFERROR(__xludf.DUMMYFUNCTION("IFERROR(SORT(FILTER({Bonuslar!B2:B400,Bonuslar!C2:C400,Bonuslar!A2:A400,Bonuslar!G2:G400,Bonuslar!H2:H400,Bonuslar!I2:I400,Bonuslar!J2:J400,Bonuslar!K2:K400},Bonuslar!B2:B400&lt;&gt;"""",(Bonuslar!A2:A400&gt;=$B$3)*(Bonuslar!A2:A400&lt;=$D$3)+(Bonuslar!G2:G400&gt;=$B$3)"&amp;"*(Bonuslar!G2:G400&lt;=$D$3)*(Bonuslar!G2:G400&lt;&gt;"""")+(Bonuslar!K2:K400=""⏳ Kutilmoqda"")),3,FALSE),""Hali yozuv yo'q — birinchi «Готов» zakazdan keyin bot o'zi to'ldiradi"")"),404.0)</f>
        <v>404</v>
      </c>
      <c r="B11" s="117" t="str">
        <f>IFERROR(__xludf.DUMMYFUNCTION("""COMPUTED_VALUE"""),"ФЕРУЗА ОПА")</f>
        <v>ФЕРУЗА ОПА</v>
      </c>
      <c r="C11" s="116">
        <f>IFERROR(__xludf.DUMMYFUNCTION("""COMPUTED_VALUE"""),46319.0)</f>
        <v>46319</v>
      </c>
      <c r="D11" s="116">
        <f>IFERROR(__xludf.DUMMYFUNCTION("""COMPUTED_VALUE"""),46319.0)</f>
        <v>46319</v>
      </c>
      <c r="E11" s="148">
        <f>IFERROR(__xludf.DUMMYFUNCTION("""COMPUTED_VALUE"""),0.0)</f>
        <v>0</v>
      </c>
      <c r="F11" s="149">
        <f>IFERROR(__xludf.DUMMYFUNCTION("""COMPUTED_VALUE"""),0.005)</f>
        <v>0.005</v>
      </c>
      <c r="G11" s="150">
        <f>IFERROR(__xludf.DUMMYFUNCTION("""COMPUTED_VALUE"""),82110.0)</f>
        <v>82110</v>
      </c>
      <c r="H11" s="117" t="str">
        <f>IFERROR(__xludf.DUMMYFUNCTION("""COMPUTED_VALUE"""),"✅ Olindi")</f>
        <v>✅ Olindi</v>
      </c>
      <c r="I11" s="111"/>
      <c r="J11" s="111"/>
      <c r="K11" s="111"/>
      <c r="L11" s="111"/>
      <c r="M11" s="111"/>
      <c r="N11" s="111"/>
    </row>
    <row r="12">
      <c r="A12" s="117">
        <f>IFERROR(__xludf.DUMMYFUNCTION("""COMPUTED_VALUE"""),397.0)</f>
        <v>397</v>
      </c>
      <c r="B12" s="117" t="str">
        <f>IFERROR(__xludf.DUMMYFUNCTION("""COMPUTED_VALUE"""),"XAMID AKA")</f>
        <v>XAMID AKA</v>
      </c>
      <c r="C12" s="116">
        <f>IFERROR(__xludf.DUMMYFUNCTION("""COMPUTED_VALUE"""),46319.0)</f>
        <v>46319</v>
      </c>
      <c r="D12" s="116">
        <f>IFERROR(__xludf.DUMMYFUNCTION("""COMPUTED_VALUE"""),46319.0)</f>
        <v>46319</v>
      </c>
      <c r="E12" s="148">
        <f>IFERROR(__xludf.DUMMYFUNCTION("""COMPUTED_VALUE"""),0.0)</f>
        <v>0</v>
      </c>
      <c r="F12" s="149">
        <f>IFERROR(__xludf.DUMMYFUNCTION("""COMPUTED_VALUE"""),0.005)</f>
        <v>0.005</v>
      </c>
      <c r="G12" s="150">
        <f>IFERROR(__xludf.DUMMYFUNCTION("""COMPUTED_VALUE"""),417690.0)</f>
        <v>417690</v>
      </c>
      <c r="H12" s="117" t="str">
        <f>IFERROR(__xludf.DUMMYFUNCTION("""COMPUTED_VALUE"""),"✅ Olindi")</f>
        <v>✅ Olindi</v>
      </c>
      <c r="I12" s="111"/>
      <c r="J12" s="111"/>
      <c r="K12" s="111"/>
      <c r="L12" s="111"/>
      <c r="M12" s="111"/>
      <c r="N12" s="111"/>
    </row>
    <row r="13">
      <c r="A13" s="117">
        <f>IFERROR(__xludf.DUMMYFUNCTION("""COMPUTED_VALUE"""),403.0)</f>
        <v>403</v>
      </c>
      <c r="B13" s="117" t="str">
        <f>IFERROR(__xludf.DUMMYFUNCTION("""COMPUTED_VALUE"""),"Ezoza opa")</f>
        <v>Ezoza opa</v>
      </c>
      <c r="C13" s="116">
        <f>IFERROR(__xludf.DUMMYFUNCTION("""COMPUTED_VALUE"""),46318.0)</f>
        <v>46318</v>
      </c>
      <c r="D13" s="116">
        <f>IFERROR(__xludf.DUMMYFUNCTION("""COMPUTED_VALUE"""),46318.0)</f>
        <v>46318</v>
      </c>
      <c r="E13" s="148">
        <f>IFERROR(__xludf.DUMMYFUNCTION("""COMPUTED_VALUE"""),0.0)</f>
        <v>0</v>
      </c>
      <c r="F13" s="149">
        <f>IFERROR(__xludf.DUMMYFUNCTION("""COMPUTED_VALUE"""),0.005)</f>
        <v>0.005</v>
      </c>
      <c r="G13" s="150">
        <f>IFERROR(__xludf.DUMMYFUNCTION("""COMPUTED_VALUE"""),201705.0)</f>
        <v>201705</v>
      </c>
      <c r="H13" s="117" t="str">
        <f>IFERROR(__xludf.DUMMYFUNCTION("""COMPUTED_VALUE"""),"✅ Olindi")</f>
        <v>✅ Olindi</v>
      </c>
      <c r="I13" s="111"/>
      <c r="J13" s="111"/>
      <c r="K13" s="111"/>
      <c r="L13" s="111"/>
      <c r="M13" s="111"/>
      <c r="N13" s="111"/>
    </row>
    <row r="14">
      <c r="A14" s="117">
        <f>IFERROR(__xludf.DUMMYFUNCTION("""COMPUTED_VALUE"""),395.0)</f>
        <v>395</v>
      </c>
      <c r="B14" s="117" t="str">
        <f>IFERROR(__xludf.DUMMYFUNCTION("""COMPUTED_VALUE"""),"БЕКЗОД")</f>
        <v>БЕКЗОД</v>
      </c>
      <c r="C14" s="116">
        <f>IFERROR(__xludf.DUMMYFUNCTION("""COMPUTED_VALUE"""),46317.0)</f>
        <v>46317</v>
      </c>
      <c r="D14" s="116">
        <f>IFERROR(__xludf.DUMMYFUNCTION("""COMPUTED_VALUE"""),46318.0)</f>
        <v>46318</v>
      </c>
      <c r="E14" s="148">
        <f>IFERROR(__xludf.DUMMYFUNCTION("""COMPUTED_VALUE"""),1.0)</f>
        <v>1</v>
      </c>
      <c r="F14" s="149">
        <f>IFERROR(__xludf.DUMMYFUNCTION("""COMPUTED_VALUE"""),0.005)</f>
        <v>0.005</v>
      </c>
      <c r="G14" s="150">
        <f>IFERROR(__xludf.DUMMYFUNCTION("""COMPUTED_VALUE"""),720129.0)</f>
        <v>720129</v>
      </c>
      <c r="H14" s="117" t="str">
        <f>IFERROR(__xludf.DUMMYFUNCTION("""COMPUTED_VALUE"""),"✅ Olindi")</f>
        <v>✅ Olindi</v>
      </c>
      <c r="I14" s="111"/>
      <c r="J14" s="111"/>
      <c r="K14" s="111"/>
      <c r="L14" s="111"/>
      <c r="M14" s="111"/>
      <c r="N14" s="111"/>
    </row>
    <row r="15">
      <c r="A15" s="117">
        <f>IFERROR(__xludf.DUMMYFUNCTION("""COMPUTED_VALUE"""),383.0)</f>
        <v>383</v>
      </c>
      <c r="B15" s="117" t="str">
        <f>IFERROR(__xludf.DUMMYFUNCTION("""COMPUTED_VALUE"""),"Хуршид")</f>
        <v>Хуршид</v>
      </c>
      <c r="C15" s="116">
        <f>IFERROR(__xludf.DUMMYFUNCTION("""COMPUTED_VALUE"""),46315.0)</f>
        <v>46315</v>
      </c>
      <c r="D15" s="116">
        <f>IFERROR(__xludf.DUMMYFUNCTION("""COMPUTED_VALUE"""),46316.0)</f>
        <v>46316</v>
      </c>
      <c r="E15" s="148">
        <f>IFERROR(__xludf.DUMMYFUNCTION("""COMPUTED_VALUE"""),1.0)</f>
        <v>1</v>
      </c>
      <c r="F15" s="149">
        <f>IFERROR(__xludf.DUMMYFUNCTION("""COMPUTED_VALUE"""),0.005)</f>
        <v>0.005</v>
      </c>
      <c r="G15" s="150">
        <f>IFERROR(__xludf.DUMMYFUNCTION("""COMPUTED_VALUE"""),1358291.0)</f>
        <v>1358291</v>
      </c>
      <c r="H15" s="117" t="str">
        <f>IFERROR(__xludf.DUMMYFUNCTION("""COMPUTED_VALUE"""),"✅ Olindi")</f>
        <v>✅ Olindi</v>
      </c>
      <c r="I15" s="111"/>
      <c r="J15" s="111"/>
      <c r="K15" s="111"/>
      <c r="L15" s="111"/>
      <c r="M15" s="111"/>
      <c r="N15" s="111"/>
    </row>
    <row r="16">
      <c r="A16" s="117">
        <f>IFERROR(__xludf.DUMMYFUNCTION("""COMPUTED_VALUE"""),388.0)</f>
        <v>388</v>
      </c>
      <c r="B16" s="117" t="str">
        <f>IFERROR(__xludf.DUMMYFUNCTION("""COMPUTED_VALUE"""),"КОМИЛ")</f>
        <v>КОМИЛ</v>
      </c>
      <c r="C16" s="116">
        <f>IFERROR(__xludf.DUMMYFUNCTION("""COMPUTED_VALUE"""),46313.0)</f>
        <v>46313</v>
      </c>
      <c r="D16" s="116">
        <f>IFERROR(__xludf.DUMMYFUNCTION("""COMPUTED_VALUE"""),46314.0)</f>
        <v>46314</v>
      </c>
      <c r="E16" s="148">
        <f>IFERROR(__xludf.DUMMYFUNCTION("""COMPUTED_VALUE"""),1.0)</f>
        <v>1</v>
      </c>
      <c r="F16" s="149">
        <f>IFERROR(__xludf.DUMMYFUNCTION("""COMPUTED_VALUE"""),0.005)</f>
        <v>0.005</v>
      </c>
      <c r="G16" s="150">
        <f>IFERROR(__xludf.DUMMYFUNCTION("""COMPUTED_VALUE"""),828662.0)</f>
        <v>828662</v>
      </c>
      <c r="H16" s="117" t="str">
        <f>IFERROR(__xludf.DUMMYFUNCTION("""COMPUTED_VALUE"""),"✅ Olindi")</f>
        <v>✅ Olindi</v>
      </c>
      <c r="I16" s="111"/>
      <c r="J16" s="111"/>
      <c r="K16" s="111"/>
      <c r="L16" s="111"/>
      <c r="M16" s="111"/>
      <c r="N16" s="111"/>
    </row>
    <row r="17">
      <c r="A17" s="117">
        <f>IFERROR(__xludf.DUMMYFUNCTION("""COMPUTED_VALUE"""),398.0)</f>
        <v>398</v>
      </c>
      <c r="B17" s="117" t="str">
        <f>IFERROR(__xludf.DUMMYFUNCTION("""COMPUTED_VALUE"""),"СОХИБА")</f>
        <v>СОХИБА</v>
      </c>
      <c r="C17" s="116">
        <f>IFERROR(__xludf.DUMMYFUNCTION("""COMPUTED_VALUE"""),46311.0)</f>
        <v>46311</v>
      </c>
      <c r="D17" s="116">
        <f>IFERROR(__xludf.DUMMYFUNCTION("""COMPUTED_VALUE"""),46314.0)</f>
        <v>46314</v>
      </c>
      <c r="E17" s="148">
        <f>IFERROR(__xludf.DUMMYFUNCTION("""COMPUTED_VALUE"""),3.0)</f>
        <v>3</v>
      </c>
      <c r="F17" s="149">
        <f>IFERROR(__xludf.DUMMYFUNCTION("""COMPUTED_VALUE"""),0.005)</f>
        <v>0.005</v>
      </c>
      <c r="G17" s="150">
        <f>IFERROR(__xludf.DUMMYFUNCTION("""COMPUTED_VALUE"""),189880.0)</f>
        <v>189880</v>
      </c>
      <c r="H17" s="117" t="str">
        <f>IFERROR(__xludf.DUMMYFUNCTION("""COMPUTED_VALUE"""),"✅ Olindi")</f>
        <v>✅ Olindi</v>
      </c>
      <c r="I17" s="111"/>
      <c r="J17" s="111"/>
      <c r="K17" s="111"/>
      <c r="L17" s="111"/>
      <c r="M17" s="111"/>
      <c r="N17" s="111"/>
    </row>
    <row r="18">
      <c r="A18" s="117"/>
      <c r="B18" s="117"/>
      <c r="C18" s="116"/>
      <c r="D18" s="116"/>
      <c r="E18" s="148"/>
      <c r="F18" s="149"/>
      <c r="G18" s="150"/>
      <c r="H18" s="117"/>
      <c r="I18" s="111"/>
      <c r="J18" s="111"/>
      <c r="K18" s="111"/>
      <c r="L18" s="111"/>
      <c r="M18" s="111"/>
      <c r="N18" s="111"/>
    </row>
    <row r="19">
      <c r="A19" s="117"/>
      <c r="B19" s="117"/>
      <c r="C19" s="116"/>
      <c r="D19" s="116"/>
      <c r="E19" s="148"/>
      <c r="F19" s="149"/>
      <c r="G19" s="150"/>
      <c r="H19" s="117"/>
      <c r="I19" s="111"/>
      <c r="J19" s="111"/>
      <c r="K19" s="111"/>
      <c r="L19" s="111"/>
      <c r="M19" s="111"/>
      <c r="N19" s="111"/>
    </row>
    <row r="20">
      <c r="A20" s="117"/>
      <c r="B20" s="117"/>
      <c r="C20" s="116"/>
      <c r="D20" s="116"/>
      <c r="E20" s="148"/>
      <c r="F20" s="149"/>
      <c r="G20" s="150"/>
      <c r="H20" s="117"/>
      <c r="I20" s="111"/>
      <c r="J20" s="111"/>
      <c r="K20" s="111"/>
      <c r="L20" s="111"/>
      <c r="M20" s="111"/>
      <c r="N20" s="111"/>
    </row>
    <row r="21">
      <c r="A21" s="117"/>
      <c r="B21" s="117"/>
      <c r="C21" s="116"/>
      <c r="D21" s="116"/>
      <c r="E21" s="148"/>
      <c r="F21" s="149"/>
      <c r="G21" s="150"/>
      <c r="H21" s="117"/>
      <c r="I21" s="111"/>
      <c r="J21" s="111"/>
      <c r="K21" s="111"/>
      <c r="L21" s="111"/>
      <c r="M21" s="111"/>
      <c r="N21" s="111"/>
    </row>
    <row r="22">
      <c r="A22" s="117"/>
      <c r="B22" s="117"/>
      <c r="C22" s="116"/>
      <c r="D22" s="116"/>
      <c r="E22" s="148"/>
      <c r="F22" s="149"/>
      <c r="G22" s="150"/>
      <c r="H22" s="117"/>
      <c r="I22" s="111"/>
      <c r="J22" s="111"/>
      <c r="K22" s="111"/>
      <c r="L22" s="111"/>
      <c r="M22" s="111"/>
      <c r="N22" s="111"/>
    </row>
    <row r="23">
      <c r="A23" s="117"/>
      <c r="B23" s="117"/>
      <c r="C23" s="116"/>
      <c r="D23" s="116"/>
      <c r="E23" s="148"/>
      <c r="F23" s="149"/>
      <c r="G23" s="150"/>
      <c r="H23" s="117"/>
      <c r="I23" s="111"/>
      <c r="J23" s="111"/>
      <c r="K23" s="111"/>
      <c r="L23" s="111"/>
      <c r="M23" s="111"/>
      <c r="N23" s="111"/>
    </row>
    <row r="24">
      <c r="A24" s="117"/>
      <c r="B24" s="117"/>
      <c r="C24" s="116"/>
      <c r="D24" s="116"/>
      <c r="E24" s="148"/>
      <c r="F24" s="149"/>
      <c r="G24" s="150"/>
      <c r="H24" s="117"/>
      <c r="I24" s="111"/>
      <c r="J24" s="111"/>
      <c r="K24" s="111"/>
      <c r="L24" s="111"/>
      <c r="M24" s="111"/>
      <c r="N24" s="111"/>
    </row>
    <row r="25">
      <c r="A25" s="117"/>
      <c r="B25" s="117"/>
      <c r="C25" s="116"/>
      <c r="D25" s="116"/>
      <c r="E25" s="148"/>
      <c r="F25" s="149"/>
      <c r="G25" s="150"/>
      <c r="H25" s="117"/>
      <c r="I25" s="111"/>
      <c r="J25" s="111"/>
      <c r="K25" s="111"/>
      <c r="L25" s="111"/>
      <c r="M25" s="111"/>
      <c r="N25" s="111"/>
    </row>
    <row r="26">
      <c r="A26" s="117"/>
      <c r="B26" s="117"/>
      <c r="C26" s="116"/>
      <c r="D26" s="116"/>
      <c r="E26" s="148"/>
      <c r="F26" s="149"/>
      <c r="G26" s="150"/>
      <c r="H26" s="117"/>
      <c r="I26" s="111"/>
      <c r="J26" s="111"/>
      <c r="K26" s="111"/>
      <c r="L26" s="111"/>
      <c r="M26" s="111"/>
      <c r="N26" s="111"/>
    </row>
    <row r="27">
      <c r="A27" s="117"/>
      <c r="B27" s="117"/>
      <c r="C27" s="116"/>
      <c r="D27" s="116"/>
      <c r="E27" s="148"/>
      <c r="F27" s="149"/>
      <c r="G27" s="150"/>
      <c r="H27" s="117"/>
      <c r="I27" s="111"/>
      <c r="J27" s="111"/>
      <c r="K27" s="111"/>
      <c r="L27" s="111"/>
      <c r="M27" s="111"/>
      <c r="N27" s="111"/>
    </row>
    <row r="28">
      <c r="A28" s="117"/>
      <c r="B28" s="117"/>
      <c r="C28" s="116"/>
      <c r="D28" s="116"/>
      <c r="E28" s="148"/>
      <c r="F28" s="149"/>
      <c r="G28" s="150"/>
      <c r="H28" s="117"/>
      <c r="I28" s="111"/>
      <c r="J28" s="111"/>
      <c r="K28" s="111"/>
      <c r="L28" s="111"/>
      <c r="M28" s="111"/>
      <c r="N28" s="111"/>
    </row>
    <row r="29">
      <c r="A29" s="117"/>
      <c r="B29" s="117"/>
      <c r="C29" s="116"/>
      <c r="D29" s="116"/>
      <c r="E29" s="148"/>
      <c r="F29" s="149"/>
      <c r="G29" s="150"/>
      <c r="H29" s="117"/>
      <c r="I29" s="111"/>
      <c r="J29" s="111"/>
      <c r="K29" s="111"/>
      <c r="L29" s="111"/>
      <c r="M29" s="111"/>
      <c r="N29" s="111"/>
    </row>
    <row r="30">
      <c r="A30" s="117"/>
      <c r="B30" s="117"/>
      <c r="C30" s="116"/>
      <c r="D30" s="116"/>
      <c r="E30" s="148"/>
      <c r="F30" s="149"/>
      <c r="G30" s="150"/>
      <c r="H30" s="117"/>
      <c r="I30" s="111"/>
      <c r="J30" s="111"/>
      <c r="K30" s="111"/>
      <c r="L30" s="111"/>
      <c r="M30" s="111"/>
      <c r="N30" s="111"/>
    </row>
    <row r="31">
      <c r="A31" s="117"/>
      <c r="B31" s="117"/>
      <c r="C31" s="116"/>
      <c r="D31" s="116"/>
      <c r="E31" s="148"/>
      <c r="F31" s="149"/>
      <c r="G31" s="150"/>
      <c r="H31" s="117"/>
      <c r="I31" s="111"/>
      <c r="J31" s="111"/>
      <c r="K31" s="111"/>
      <c r="L31" s="111"/>
      <c r="M31" s="111"/>
      <c r="N31" s="111"/>
    </row>
    <row r="32">
      <c r="A32" s="117"/>
      <c r="B32" s="117"/>
      <c r="C32" s="116"/>
      <c r="D32" s="116"/>
      <c r="E32" s="148"/>
      <c r="F32" s="149"/>
      <c r="G32" s="150"/>
      <c r="H32" s="117"/>
      <c r="I32" s="111"/>
      <c r="J32" s="111"/>
      <c r="K32" s="111"/>
      <c r="L32" s="111"/>
      <c r="M32" s="111"/>
      <c r="N32" s="111"/>
    </row>
    <row r="33">
      <c r="A33" s="117"/>
      <c r="B33" s="117"/>
      <c r="C33" s="116"/>
      <c r="D33" s="116"/>
      <c r="E33" s="148"/>
      <c r="F33" s="149"/>
      <c r="G33" s="150"/>
      <c r="H33" s="117"/>
      <c r="I33" s="111"/>
      <c r="J33" s="111"/>
      <c r="K33" s="111"/>
      <c r="L33" s="111"/>
      <c r="M33" s="111"/>
      <c r="N33" s="111"/>
    </row>
    <row r="34">
      <c r="A34" s="117"/>
      <c r="B34" s="117"/>
      <c r="C34" s="116"/>
      <c r="D34" s="116"/>
      <c r="E34" s="148"/>
      <c r="F34" s="149"/>
      <c r="G34" s="150"/>
      <c r="H34" s="117"/>
      <c r="I34" s="111"/>
      <c r="J34" s="111"/>
      <c r="K34" s="111"/>
      <c r="L34" s="111"/>
      <c r="M34" s="111"/>
      <c r="N34" s="111"/>
    </row>
    <row r="35">
      <c r="A35" s="117"/>
      <c r="B35" s="117"/>
      <c r="C35" s="116"/>
      <c r="D35" s="116"/>
      <c r="E35" s="148"/>
      <c r="F35" s="149"/>
      <c r="G35" s="150"/>
      <c r="H35" s="117"/>
      <c r="I35" s="111"/>
      <c r="J35" s="111"/>
      <c r="K35" s="111"/>
      <c r="L35" s="111"/>
      <c r="M35" s="111"/>
      <c r="N35" s="111"/>
    </row>
    <row r="36">
      <c r="A36" s="117"/>
      <c r="B36" s="117"/>
      <c r="C36" s="116"/>
      <c r="D36" s="116"/>
      <c r="E36" s="148"/>
      <c r="F36" s="149"/>
      <c r="G36" s="150"/>
      <c r="H36" s="117"/>
      <c r="I36" s="111"/>
      <c r="J36" s="111"/>
      <c r="K36" s="111"/>
      <c r="L36" s="111"/>
      <c r="M36" s="111"/>
      <c r="N36" s="111"/>
    </row>
    <row r="37">
      <c r="A37" s="117"/>
      <c r="B37" s="117"/>
      <c r="C37" s="116"/>
      <c r="D37" s="116"/>
      <c r="E37" s="148"/>
      <c r="F37" s="149"/>
      <c r="G37" s="150"/>
      <c r="H37" s="117"/>
      <c r="I37" s="111"/>
      <c r="J37" s="111"/>
      <c r="K37" s="111"/>
      <c r="L37" s="111"/>
      <c r="M37" s="111"/>
      <c r="N37" s="111"/>
    </row>
    <row r="38">
      <c r="A38" s="117"/>
      <c r="B38" s="117"/>
      <c r="C38" s="116"/>
      <c r="D38" s="116"/>
      <c r="E38" s="148"/>
      <c r="F38" s="149"/>
      <c r="G38" s="150"/>
      <c r="H38" s="117"/>
      <c r="I38" s="111"/>
      <c r="J38" s="111"/>
      <c r="K38" s="111"/>
      <c r="L38" s="111"/>
      <c r="M38" s="111"/>
      <c r="N38" s="111"/>
    </row>
    <row r="39">
      <c r="A39" s="117"/>
      <c r="B39" s="117"/>
      <c r="C39" s="116"/>
      <c r="D39" s="116"/>
      <c r="E39" s="148"/>
      <c r="F39" s="149"/>
      <c r="G39" s="150"/>
      <c r="H39" s="117"/>
      <c r="I39" s="111"/>
      <c r="J39" s="111"/>
      <c r="K39" s="111"/>
      <c r="L39" s="111"/>
      <c r="M39" s="111"/>
      <c r="N39" s="111"/>
    </row>
    <row r="40">
      <c r="A40" s="117"/>
      <c r="B40" s="117"/>
      <c r="C40" s="116"/>
      <c r="D40" s="116"/>
      <c r="E40" s="148"/>
      <c r="F40" s="149"/>
      <c r="G40" s="150"/>
      <c r="H40" s="117"/>
      <c r="I40" s="111"/>
      <c r="J40" s="111"/>
      <c r="K40" s="111"/>
      <c r="L40" s="111"/>
      <c r="M40" s="111"/>
      <c r="N40" s="111"/>
    </row>
    <row r="41">
      <c r="A41" s="117"/>
      <c r="B41" s="117"/>
      <c r="C41" s="116"/>
      <c r="D41" s="116"/>
      <c r="E41" s="148"/>
      <c r="F41" s="149"/>
      <c r="G41" s="150"/>
      <c r="H41" s="117"/>
      <c r="I41" s="111"/>
      <c r="J41" s="111"/>
      <c r="K41" s="111"/>
      <c r="L41" s="111"/>
      <c r="M41" s="111"/>
      <c r="N41" s="111"/>
    </row>
    <row r="42">
      <c r="A42" s="117"/>
      <c r="B42" s="117"/>
      <c r="C42" s="116"/>
      <c r="D42" s="116"/>
      <c r="E42" s="148"/>
      <c r="F42" s="149"/>
      <c r="G42" s="150"/>
      <c r="H42" s="117"/>
      <c r="I42" s="111"/>
      <c r="J42" s="111"/>
      <c r="K42" s="111"/>
      <c r="L42" s="111"/>
      <c r="M42" s="111"/>
      <c r="N42" s="111"/>
    </row>
    <row r="43">
      <c r="A43" s="117"/>
      <c r="B43" s="117"/>
      <c r="C43" s="116"/>
      <c r="D43" s="116"/>
      <c r="E43" s="148"/>
      <c r="F43" s="149"/>
      <c r="G43" s="150"/>
      <c r="H43" s="117"/>
      <c r="I43" s="111"/>
      <c r="J43" s="111"/>
      <c r="K43" s="111"/>
      <c r="L43" s="111"/>
      <c r="M43" s="111"/>
      <c r="N43" s="111"/>
    </row>
    <row r="44">
      <c r="A44" s="117"/>
      <c r="B44" s="117"/>
      <c r="C44" s="116"/>
      <c r="D44" s="116"/>
      <c r="E44" s="148"/>
      <c r="F44" s="149"/>
      <c r="G44" s="150"/>
      <c r="H44" s="117"/>
      <c r="I44" s="111"/>
      <c r="J44" s="111"/>
      <c r="K44" s="111"/>
      <c r="L44" s="111"/>
      <c r="M44" s="111"/>
      <c r="N44" s="111"/>
    </row>
    <row r="45">
      <c r="A45" s="117"/>
      <c r="B45" s="117"/>
      <c r="C45" s="116"/>
      <c r="D45" s="116"/>
      <c r="E45" s="148"/>
      <c r="F45" s="149"/>
      <c r="G45" s="150"/>
      <c r="H45" s="117"/>
      <c r="I45" s="111"/>
      <c r="J45" s="111"/>
      <c r="K45" s="111"/>
      <c r="L45" s="111"/>
      <c r="M45" s="111"/>
      <c r="N45" s="111"/>
    </row>
    <row r="46">
      <c r="A46" s="117"/>
      <c r="B46" s="117"/>
      <c r="C46" s="116"/>
      <c r="D46" s="116"/>
      <c r="E46" s="148"/>
      <c r="F46" s="149"/>
      <c r="G46" s="150"/>
      <c r="H46" s="117"/>
      <c r="I46" s="111"/>
      <c r="J46" s="111"/>
      <c r="K46" s="111"/>
      <c r="L46" s="111"/>
      <c r="M46" s="111"/>
      <c r="N46" s="111"/>
    </row>
    <row r="47">
      <c r="A47" s="117"/>
      <c r="B47" s="117"/>
      <c r="C47" s="116"/>
      <c r="D47" s="116"/>
      <c r="E47" s="148"/>
      <c r="F47" s="149"/>
      <c r="G47" s="150"/>
      <c r="H47" s="117"/>
      <c r="I47" s="111"/>
      <c r="J47" s="111"/>
      <c r="K47" s="111"/>
      <c r="L47" s="111"/>
      <c r="M47" s="111"/>
      <c r="N47" s="111"/>
    </row>
    <row r="48">
      <c r="A48" s="117"/>
      <c r="B48" s="117"/>
      <c r="C48" s="116"/>
      <c r="D48" s="116"/>
      <c r="E48" s="148"/>
      <c r="F48" s="149"/>
      <c r="G48" s="150"/>
      <c r="H48" s="117"/>
      <c r="I48" s="111"/>
      <c r="J48" s="111"/>
      <c r="K48" s="111"/>
      <c r="L48" s="111"/>
      <c r="M48" s="111"/>
      <c r="N48" s="111"/>
    </row>
    <row r="49">
      <c r="A49" s="117"/>
      <c r="B49" s="117"/>
      <c r="C49" s="116"/>
      <c r="D49" s="116"/>
      <c r="E49" s="148"/>
      <c r="F49" s="149"/>
      <c r="G49" s="150"/>
      <c r="H49" s="117"/>
      <c r="I49" s="111"/>
      <c r="J49" s="111"/>
      <c r="K49" s="111"/>
      <c r="L49" s="111"/>
      <c r="M49" s="111"/>
      <c r="N49" s="111"/>
    </row>
    <row r="50">
      <c r="A50" s="117"/>
      <c r="B50" s="117"/>
      <c r="C50" s="116"/>
      <c r="D50" s="116"/>
      <c r="E50" s="148"/>
      <c r="F50" s="149"/>
      <c r="G50" s="150"/>
      <c r="H50" s="117"/>
      <c r="I50" s="111"/>
      <c r="J50" s="111"/>
      <c r="K50" s="111"/>
      <c r="L50" s="111"/>
      <c r="M50" s="111"/>
      <c r="N50" s="111"/>
    </row>
    <row r="51">
      <c r="A51" s="117"/>
      <c r="B51" s="117"/>
      <c r="C51" s="116"/>
      <c r="D51" s="116"/>
      <c r="E51" s="148"/>
      <c r="F51" s="149"/>
      <c r="G51" s="150"/>
      <c r="H51" s="117"/>
      <c r="I51" s="111"/>
      <c r="J51" s="111"/>
      <c r="K51" s="111"/>
      <c r="L51" s="111"/>
      <c r="M51" s="111"/>
      <c r="N51" s="111"/>
    </row>
    <row r="52">
      <c r="A52" s="117"/>
      <c r="B52" s="117"/>
      <c r="C52" s="116"/>
      <c r="D52" s="116"/>
      <c r="E52" s="148"/>
      <c r="F52" s="149"/>
      <c r="G52" s="150"/>
      <c r="H52" s="117"/>
      <c r="I52" s="111"/>
      <c r="J52" s="111"/>
      <c r="K52" s="111"/>
      <c r="L52" s="111"/>
      <c r="M52" s="111"/>
      <c r="N52" s="111"/>
    </row>
    <row r="53">
      <c r="A53" s="117"/>
      <c r="B53" s="117"/>
      <c r="C53" s="116"/>
      <c r="D53" s="116"/>
      <c r="E53" s="148"/>
      <c r="F53" s="149"/>
      <c r="G53" s="150"/>
      <c r="H53" s="117"/>
      <c r="I53" s="111"/>
      <c r="J53" s="111"/>
      <c r="K53" s="111"/>
      <c r="L53" s="111"/>
      <c r="M53" s="111"/>
      <c r="N53" s="111"/>
    </row>
    <row r="54">
      <c r="A54" s="117"/>
      <c r="B54" s="117"/>
      <c r="C54" s="116"/>
      <c r="D54" s="116"/>
      <c r="E54" s="148"/>
      <c r="F54" s="149"/>
      <c r="G54" s="150"/>
      <c r="H54" s="117"/>
      <c r="I54" s="111"/>
      <c r="J54" s="111"/>
      <c r="K54" s="111"/>
      <c r="L54" s="111"/>
      <c r="M54" s="111"/>
      <c r="N54" s="111"/>
    </row>
    <row r="55">
      <c r="A55" s="117"/>
      <c r="B55" s="117"/>
      <c r="C55" s="116"/>
      <c r="D55" s="116"/>
      <c r="E55" s="148"/>
      <c r="F55" s="149"/>
      <c r="G55" s="150"/>
      <c r="H55" s="117"/>
      <c r="I55" s="111"/>
      <c r="J55" s="111"/>
      <c r="K55" s="111"/>
      <c r="L55" s="111"/>
      <c r="M55" s="111"/>
      <c r="N55" s="111"/>
    </row>
    <row r="56">
      <c r="A56" s="117"/>
      <c r="B56" s="117"/>
      <c r="C56" s="116"/>
      <c r="D56" s="116"/>
      <c r="E56" s="148"/>
      <c r="F56" s="149"/>
      <c r="G56" s="150"/>
      <c r="H56" s="117"/>
      <c r="I56" s="111"/>
      <c r="J56" s="111"/>
      <c r="K56" s="111"/>
      <c r="L56" s="111"/>
      <c r="M56" s="111"/>
      <c r="N56" s="111"/>
    </row>
    <row r="57">
      <c r="A57" s="117"/>
      <c r="B57" s="117"/>
      <c r="C57" s="116"/>
      <c r="D57" s="116"/>
      <c r="E57" s="148"/>
      <c r="F57" s="149"/>
      <c r="G57" s="150"/>
      <c r="H57" s="117"/>
      <c r="I57" s="111"/>
      <c r="J57" s="111"/>
      <c r="K57" s="111"/>
      <c r="L57" s="111"/>
      <c r="M57" s="111"/>
      <c r="N57" s="111"/>
    </row>
    <row r="58">
      <c r="A58" s="117"/>
      <c r="B58" s="117"/>
      <c r="C58" s="116"/>
      <c r="D58" s="116"/>
      <c r="E58" s="148"/>
      <c r="F58" s="149"/>
      <c r="G58" s="150"/>
      <c r="H58" s="117"/>
      <c r="I58" s="111"/>
      <c r="J58" s="111"/>
      <c r="K58" s="111"/>
      <c r="L58" s="111"/>
      <c r="M58" s="111"/>
      <c r="N58" s="111"/>
    </row>
    <row r="59">
      <c r="A59" s="117"/>
      <c r="B59" s="117"/>
      <c r="C59" s="116"/>
      <c r="D59" s="116"/>
      <c r="E59" s="148"/>
      <c r="F59" s="149"/>
      <c r="G59" s="150"/>
      <c r="H59" s="117"/>
      <c r="I59" s="111"/>
      <c r="J59" s="111"/>
      <c r="K59" s="111"/>
      <c r="L59" s="111"/>
      <c r="M59" s="111"/>
      <c r="N59" s="111"/>
    </row>
    <row r="60">
      <c r="A60" s="117"/>
      <c r="B60" s="117"/>
      <c r="C60" s="116"/>
      <c r="D60" s="116"/>
      <c r="E60" s="148"/>
      <c r="F60" s="149"/>
      <c r="G60" s="150"/>
      <c r="H60" s="117"/>
      <c r="I60" s="111"/>
      <c r="J60" s="111"/>
      <c r="K60" s="111"/>
      <c r="L60" s="111"/>
      <c r="M60" s="111"/>
      <c r="N60" s="111"/>
    </row>
    <row r="61">
      <c r="A61" s="117"/>
      <c r="B61" s="117"/>
      <c r="C61" s="116"/>
      <c r="D61" s="116"/>
      <c r="E61" s="148"/>
      <c r="F61" s="149"/>
      <c r="G61" s="150"/>
      <c r="H61" s="117"/>
      <c r="I61" s="111"/>
      <c r="J61" s="111"/>
      <c r="K61" s="111"/>
      <c r="L61" s="111"/>
      <c r="M61" s="111"/>
      <c r="N61" s="111"/>
    </row>
    <row r="62">
      <c r="A62" s="117"/>
      <c r="B62" s="117"/>
      <c r="C62" s="116"/>
      <c r="D62" s="116"/>
      <c r="E62" s="148"/>
      <c r="F62" s="149"/>
      <c r="G62" s="150"/>
      <c r="H62" s="117"/>
      <c r="I62" s="111"/>
      <c r="J62" s="111"/>
      <c r="K62" s="111"/>
      <c r="L62" s="111"/>
      <c r="M62" s="111"/>
      <c r="N62" s="111"/>
    </row>
    <row r="63">
      <c r="A63" s="117"/>
      <c r="B63" s="117"/>
      <c r="C63" s="116"/>
      <c r="D63" s="116"/>
      <c r="E63" s="148"/>
      <c r="F63" s="149"/>
      <c r="G63" s="150"/>
      <c r="H63" s="117"/>
      <c r="I63" s="111"/>
      <c r="J63" s="111"/>
      <c r="K63" s="111"/>
      <c r="L63" s="111"/>
      <c r="M63" s="111"/>
      <c r="N63" s="111"/>
    </row>
    <row r="64">
      <c r="A64" s="117"/>
      <c r="B64" s="117"/>
      <c r="C64" s="116"/>
      <c r="D64" s="116"/>
      <c r="E64" s="148"/>
      <c r="F64" s="149"/>
      <c r="G64" s="150"/>
      <c r="H64" s="117"/>
      <c r="I64" s="111"/>
      <c r="J64" s="111"/>
      <c r="K64" s="111"/>
      <c r="L64" s="111"/>
      <c r="M64" s="111"/>
      <c r="N64" s="111"/>
    </row>
    <row r="65">
      <c r="A65" s="117"/>
      <c r="B65" s="117"/>
      <c r="C65" s="116"/>
      <c r="D65" s="116"/>
      <c r="E65" s="148"/>
      <c r="F65" s="149"/>
      <c r="G65" s="150"/>
      <c r="H65" s="117"/>
      <c r="I65" s="111"/>
      <c r="J65" s="111"/>
      <c r="K65" s="111"/>
      <c r="L65" s="111"/>
      <c r="M65" s="111"/>
      <c r="N65" s="111"/>
    </row>
    <row r="66">
      <c r="A66" s="117"/>
      <c r="B66" s="117"/>
      <c r="C66" s="116"/>
      <c r="D66" s="116"/>
      <c r="E66" s="148"/>
      <c r="F66" s="149"/>
      <c r="G66" s="150"/>
      <c r="H66" s="117"/>
      <c r="I66" s="111"/>
      <c r="J66" s="111"/>
      <c r="K66" s="111"/>
      <c r="L66" s="111"/>
      <c r="M66" s="111"/>
      <c r="N66" s="111"/>
    </row>
    <row r="67">
      <c r="A67" s="117"/>
      <c r="B67" s="117"/>
      <c r="C67" s="116"/>
      <c r="D67" s="116"/>
      <c r="E67" s="148"/>
      <c r="F67" s="149"/>
      <c r="G67" s="150"/>
      <c r="H67" s="117"/>
      <c r="I67" s="111"/>
      <c r="J67" s="111"/>
      <c r="K67" s="111"/>
      <c r="L67" s="111"/>
      <c r="M67" s="111"/>
      <c r="N67" s="111"/>
    </row>
    <row r="68">
      <c r="A68" s="117"/>
      <c r="B68" s="117"/>
      <c r="C68" s="116"/>
      <c r="D68" s="116"/>
      <c r="E68" s="148"/>
      <c r="F68" s="149"/>
      <c r="G68" s="150"/>
      <c r="H68" s="117"/>
      <c r="I68" s="111"/>
      <c r="J68" s="111"/>
      <c r="K68" s="111"/>
      <c r="L68" s="111"/>
      <c r="M68" s="111"/>
      <c r="N68" s="111"/>
    </row>
    <row r="69">
      <c r="A69" s="117"/>
      <c r="B69" s="117"/>
      <c r="C69" s="116"/>
      <c r="D69" s="116"/>
      <c r="E69" s="148"/>
      <c r="F69" s="149"/>
      <c r="G69" s="150"/>
      <c r="H69" s="117"/>
      <c r="I69" s="111"/>
      <c r="J69" s="111"/>
      <c r="K69" s="111"/>
      <c r="L69" s="111"/>
      <c r="M69" s="111"/>
      <c r="N69" s="111"/>
    </row>
    <row r="70">
      <c r="A70" s="117"/>
      <c r="B70" s="117"/>
      <c r="C70" s="116"/>
      <c r="D70" s="116"/>
      <c r="E70" s="148"/>
      <c r="F70" s="149"/>
      <c r="G70" s="150"/>
      <c r="H70" s="117"/>
      <c r="I70" s="111"/>
      <c r="J70" s="111"/>
      <c r="K70" s="111"/>
      <c r="L70" s="111"/>
      <c r="M70" s="111"/>
      <c r="N70" s="111"/>
    </row>
    <row r="71">
      <c r="A71" s="117"/>
      <c r="B71" s="117"/>
      <c r="C71" s="116"/>
      <c r="D71" s="116"/>
      <c r="E71" s="148"/>
      <c r="F71" s="149"/>
      <c r="G71" s="150"/>
      <c r="H71" s="117"/>
      <c r="I71" s="111"/>
      <c r="J71" s="111"/>
      <c r="K71" s="111"/>
      <c r="L71" s="111"/>
      <c r="M71" s="111"/>
      <c r="N71" s="111"/>
    </row>
    <row r="72">
      <c r="A72" s="117"/>
      <c r="B72" s="117"/>
      <c r="C72" s="116"/>
      <c r="D72" s="116"/>
      <c r="E72" s="148"/>
      <c r="F72" s="149"/>
      <c r="G72" s="150"/>
      <c r="H72" s="117"/>
      <c r="I72" s="111"/>
      <c r="J72" s="111"/>
      <c r="K72" s="111"/>
      <c r="L72" s="111"/>
      <c r="M72" s="111"/>
      <c r="N72" s="111"/>
    </row>
    <row r="73">
      <c r="A73" s="117"/>
      <c r="B73" s="117"/>
      <c r="C73" s="116"/>
      <c r="D73" s="116"/>
      <c r="E73" s="148"/>
      <c r="F73" s="149"/>
      <c r="G73" s="150"/>
      <c r="H73" s="117"/>
      <c r="I73" s="111"/>
      <c r="J73" s="111"/>
      <c r="K73" s="111"/>
      <c r="L73" s="111"/>
      <c r="M73" s="111"/>
      <c r="N73" s="111"/>
    </row>
    <row r="74">
      <c r="A74" s="117"/>
      <c r="B74" s="117"/>
      <c r="C74" s="116"/>
      <c r="D74" s="116"/>
      <c r="E74" s="148"/>
      <c r="F74" s="149"/>
      <c r="G74" s="150"/>
      <c r="H74" s="117"/>
      <c r="I74" s="111"/>
      <c r="J74" s="111"/>
      <c r="K74" s="111"/>
      <c r="L74" s="111"/>
      <c r="M74" s="111"/>
      <c r="N74" s="111"/>
    </row>
    <row r="75">
      <c r="A75" s="117"/>
      <c r="B75" s="117"/>
      <c r="C75" s="116"/>
      <c r="D75" s="116"/>
      <c r="E75" s="148"/>
      <c r="F75" s="149"/>
      <c r="G75" s="150"/>
      <c r="H75" s="117"/>
      <c r="I75" s="111"/>
      <c r="J75" s="111"/>
      <c r="K75" s="111"/>
      <c r="L75" s="111"/>
      <c r="M75" s="111"/>
      <c r="N75" s="111"/>
    </row>
    <row r="76">
      <c r="A76" s="117"/>
      <c r="B76" s="117"/>
      <c r="C76" s="116"/>
      <c r="D76" s="116"/>
      <c r="E76" s="148"/>
      <c r="F76" s="149"/>
      <c r="G76" s="150"/>
      <c r="H76" s="117"/>
      <c r="I76" s="111"/>
      <c r="J76" s="111"/>
      <c r="K76" s="111"/>
      <c r="L76" s="111"/>
      <c r="M76" s="111"/>
      <c r="N76" s="111"/>
    </row>
    <row r="77">
      <c r="A77" s="117"/>
      <c r="B77" s="117"/>
      <c r="C77" s="116"/>
      <c r="D77" s="116"/>
      <c r="E77" s="148"/>
      <c r="F77" s="149"/>
      <c r="G77" s="150"/>
      <c r="H77" s="117"/>
      <c r="I77" s="111"/>
      <c r="J77" s="111"/>
      <c r="K77" s="111"/>
      <c r="L77" s="111"/>
      <c r="M77" s="111"/>
      <c r="N77" s="111"/>
    </row>
    <row r="78">
      <c r="A78" s="117"/>
      <c r="B78" s="117"/>
      <c r="C78" s="116"/>
      <c r="D78" s="116"/>
      <c r="E78" s="148"/>
      <c r="F78" s="149"/>
      <c r="G78" s="150"/>
      <c r="H78" s="117"/>
      <c r="I78" s="111"/>
      <c r="J78" s="111"/>
      <c r="K78" s="111"/>
      <c r="L78" s="111"/>
      <c r="M78" s="111"/>
      <c r="N78" s="111"/>
    </row>
    <row r="79">
      <c r="A79" s="117"/>
      <c r="B79" s="117"/>
      <c r="C79" s="116"/>
      <c r="D79" s="116"/>
      <c r="E79" s="148"/>
      <c r="F79" s="149"/>
      <c r="G79" s="150"/>
      <c r="H79" s="117"/>
      <c r="I79" s="111"/>
      <c r="J79" s="111"/>
      <c r="K79" s="111"/>
      <c r="L79" s="111"/>
      <c r="M79" s="111"/>
      <c r="N79" s="111"/>
    </row>
    <row r="80">
      <c r="A80" s="117"/>
      <c r="B80" s="117"/>
      <c r="C80" s="116"/>
      <c r="D80" s="116"/>
      <c r="E80" s="148"/>
      <c r="F80" s="149"/>
      <c r="G80" s="150"/>
      <c r="H80" s="117"/>
      <c r="I80" s="111"/>
      <c r="J80" s="111"/>
      <c r="K80" s="111"/>
      <c r="L80" s="111"/>
      <c r="M80" s="111"/>
      <c r="N80" s="111"/>
    </row>
    <row r="81">
      <c r="A81" s="117"/>
      <c r="B81" s="117"/>
      <c r="C81" s="116"/>
      <c r="D81" s="116"/>
      <c r="E81" s="148"/>
      <c r="F81" s="149"/>
      <c r="G81" s="150"/>
      <c r="H81" s="117"/>
      <c r="I81" s="111"/>
      <c r="J81" s="111"/>
      <c r="K81" s="111"/>
      <c r="L81" s="111"/>
      <c r="M81" s="111"/>
      <c r="N81" s="111"/>
    </row>
    <row r="82">
      <c r="A82" s="117"/>
      <c r="B82" s="117"/>
      <c r="C82" s="116"/>
      <c r="D82" s="116"/>
      <c r="E82" s="148"/>
      <c r="F82" s="149"/>
      <c r="G82" s="150"/>
      <c r="H82" s="117"/>
      <c r="I82" s="111"/>
      <c r="J82" s="111"/>
      <c r="K82" s="111"/>
      <c r="L82" s="111"/>
      <c r="M82" s="111"/>
      <c r="N82" s="111"/>
    </row>
    <row r="83">
      <c r="A83" s="117"/>
      <c r="B83" s="117"/>
      <c r="C83" s="116"/>
      <c r="D83" s="116"/>
      <c r="E83" s="148"/>
      <c r="F83" s="149"/>
      <c r="G83" s="150"/>
      <c r="H83" s="117"/>
      <c r="I83" s="111"/>
      <c r="J83" s="111"/>
      <c r="K83" s="111"/>
      <c r="L83" s="111"/>
      <c r="M83" s="111"/>
      <c r="N83" s="111"/>
    </row>
    <row r="84">
      <c r="A84" s="117"/>
      <c r="B84" s="117"/>
      <c r="C84" s="116"/>
      <c r="D84" s="116"/>
      <c r="E84" s="148"/>
      <c r="F84" s="149"/>
      <c r="G84" s="150"/>
      <c r="H84" s="117"/>
      <c r="I84" s="111"/>
      <c r="J84" s="111"/>
      <c r="K84" s="111"/>
      <c r="L84" s="111"/>
      <c r="M84" s="111"/>
      <c r="N84" s="111"/>
    </row>
    <row r="85">
      <c r="A85" s="117"/>
      <c r="B85" s="117"/>
      <c r="C85" s="116"/>
      <c r="D85" s="116"/>
      <c r="E85" s="148"/>
      <c r="F85" s="149"/>
      <c r="G85" s="150"/>
      <c r="H85" s="117"/>
      <c r="I85" s="111"/>
      <c r="J85" s="111"/>
      <c r="K85" s="111"/>
      <c r="L85" s="111"/>
      <c r="M85" s="111"/>
      <c r="N85" s="111"/>
    </row>
    <row r="86">
      <c r="A86" s="117"/>
      <c r="B86" s="117"/>
      <c r="C86" s="116"/>
      <c r="D86" s="116"/>
      <c r="E86" s="148"/>
      <c r="F86" s="149"/>
      <c r="G86" s="150"/>
      <c r="H86" s="117"/>
      <c r="I86" s="111"/>
      <c r="J86" s="111"/>
      <c r="K86" s="111"/>
      <c r="L86" s="111"/>
      <c r="M86" s="111"/>
      <c r="N86" s="111"/>
    </row>
    <row r="87">
      <c r="A87" s="117"/>
      <c r="B87" s="117"/>
      <c r="C87" s="116"/>
      <c r="D87" s="116"/>
      <c r="E87" s="148"/>
      <c r="F87" s="149"/>
      <c r="G87" s="150"/>
      <c r="H87" s="117"/>
      <c r="I87" s="111"/>
      <c r="J87" s="111"/>
      <c r="K87" s="111"/>
      <c r="L87" s="111"/>
      <c r="M87" s="111"/>
      <c r="N87" s="111"/>
    </row>
    <row r="88">
      <c r="A88" s="117"/>
      <c r="B88" s="117"/>
      <c r="C88" s="116"/>
      <c r="D88" s="116"/>
      <c r="E88" s="148"/>
      <c r="F88" s="149"/>
      <c r="G88" s="150"/>
      <c r="H88" s="117"/>
      <c r="I88" s="111"/>
      <c r="J88" s="111"/>
      <c r="K88" s="111"/>
      <c r="L88" s="111"/>
      <c r="M88" s="111"/>
      <c r="N88" s="111"/>
    </row>
    <row r="89">
      <c r="A89" s="117"/>
      <c r="B89" s="117"/>
      <c r="C89" s="116"/>
      <c r="D89" s="116"/>
      <c r="E89" s="148"/>
      <c r="F89" s="149"/>
      <c r="G89" s="150"/>
      <c r="H89" s="117"/>
      <c r="I89" s="111"/>
      <c r="J89" s="111"/>
      <c r="K89" s="111"/>
      <c r="L89" s="111"/>
      <c r="M89" s="111"/>
      <c r="N89" s="111"/>
    </row>
    <row r="90">
      <c r="A90" s="117"/>
      <c r="B90" s="117"/>
      <c r="C90" s="116"/>
      <c r="D90" s="116"/>
      <c r="E90" s="148"/>
      <c r="F90" s="149"/>
      <c r="G90" s="150"/>
      <c r="H90" s="117"/>
      <c r="I90" s="111"/>
      <c r="J90" s="111"/>
      <c r="K90" s="111"/>
      <c r="L90" s="111"/>
      <c r="M90" s="111"/>
      <c r="N90" s="111"/>
    </row>
    <row r="91">
      <c r="A91" s="117"/>
      <c r="B91" s="117"/>
      <c r="C91" s="116"/>
      <c r="D91" s="116"/>
      <c r="E91" s="148"/>
      <c r="F91" s="149"/>
      <c r="G91" s="150"/>
      <c r="H91" s="117"/>
      <c r="I91" s="111"/>
      <c r="J91" s="111"/>
      <c r="K91" s="111"/>
      <c r="L91" s="111"/>
      <c r="M91" s="111"/>
      <c r="N91" s="111"/>
    </row>
    <row r="92">
      <c r="A92" s="117"/>
      <c r="B92" s="117"/>
      <c r="C92" s="116"/>
      <c r="D92" s="116"/>
      <c r="E92" s="148"/>
      <c r="F92" s="149"/>
      <c r="G92" s="150"/>
      <c r="H92" s="117"/>
      <c r="I92" s="111"/>
      <c r="J92" s="111"/>
      <c r="K92" s="111"/>
      <c r="L92" s="111"/>
      <c r="M92" s="111"/>
      <c r="N92" s="111"/>
    </row>
    <row r="93">
      <c r="A93" s="117"/>
      <c r="B93" s="117"/>
      <c r="C93" s="116"/>
      <c r="D93" s="116"/>
      <c r="E93" s="148"/>
      <c r="F93" s="149"/>
      <c r="G93" s="150"/>
      <c r="H93" s="117"/>
      <c r="I93" s="111"/>
      <c r="J93" s="111"/>
      <c r="K93" s="111"/>
      <c r="L93" s="111"/>
      <c r="M93" s="111"/>
      <c r="N93" s="111"/>
    </row>
    <row r="94">
      <c r="A94" s="117"/>
      <c r="B94" s="117"/>
      <c r="C94" s="116"/>
      <c r="D94" s="116"/>
      <c r="E94" s="148"/>
      <c r="F94" s="149"/>
      <c r="G94" s="150"/>
      <c r="H94" s="117"/>
      <c r="I94" s="111"/>
      <c r="J94" s="111"/>
      <c r="K94" s="111"/>
      <c r="L94" s="111"/>
      <c r="M94" s="111"/>
      <c r="N94" s="111"/>
    </row>
    <row r="95">
      <c r="A95" s="117"/>
      <c r="B95" s="117"/>
      <c r="C95" s="116"/>
      <c r="D95" s="116"/>
      <c r="E95" s="148"/>
      <c r="F95" s="149"/>
      <c r="G95" s="150"/>
      <c r="H95" s="117"/>
      <c r="I95" s="111"/>
      <c r="J95" s="111"/>
      <c r="K95" s="111"/>
      <c r="L95" s="111"/>
      <c r="M95" s="111"/>
      <c r="N95" s="111"/>
    </row>
    <row r="96">
      <c r="A96" s="117"/>
      <c r="B96" s="117"/>
      <c r="C96" s="116"/>
      <c r="D96" s="116"/>
      <c r="E96" s="148"/>
      <c r="F96" s="149"/>
      <c r="G96" s="150"/>
      <c r="H96" s="117"/>
      <c r="I96" s="111"/>
      <c r="J96" s="111"/>
      <c r="K96" s="111"/>
      <c r="L96" s="111"/>
      <c r="M96" s="111"/>
      <c r="N96" s="111"/>
    </row>
    <row r="97">
      <c r="A97" s="117"/>
      <c r="B97" s="117"/>
      <c r="C97" s="116"/>
      <c r="D97" s="116"/>
      <c r="E97" s="148"/>
      <c r="F97" s="149"/>
      <c r="G97" s="150"/>
      <c r="H97" s="117"/>
      <c r="I97" s="111"/>
      <c r="J97" s="111"/>
      <c r="K97" s="111"/>
      <c r="L97" s="111"/>
      <c r="M97" s="111"/>
      <c r="N97" s="111"/>
    </row>
    <row r="98">
      <c r="A98" s="117"/>
      <c r="B98" s="117"/>
      <c r="C98" s="116"/>
      <c r="D98" s="116"/>
      <c r="E98" s="148"/>
      <c r="F98" s="149"/>
      <c r="G98" s="150"/>
      <c r="H98" s="117"/>
      <c r="I98" s="111"/>
      <c r="J98" s="111"/>
      <c r="K98" s="111"/>
      <c r="L98" s="111"/>
      <c r="M98" s="111"/>
      <c r="N98" s="111"/>
    </row>
    <row r="99">
      <c r="A99" s="117"/>
      <c r="B99" s="117"/>
      <c r="C99" s="116"/>
      <c r="D99" s="116"/>
      <c r="E99" s="148"/>
      <c r="F99" s="149"/>
      <c r="G99" s="150"/>
      <c r="H99" s="117"/>
      <c r="I99" s="111"/>
      <c r="J99" s="111"/>
      <c r="K99" s="111"/>
      <c r="L99" s="111"/>
      <c r="M99" s="111"/>
      <c r="N99" s="111"/>
    </row>
    <row r="100">
      <c r="A100" s="117"/>
      <c r="B100" s="117"/>
      <c r="C100" s="116"/>
      <c r="D100" s="116"/>
      <c r="E100" s="148"/>
      <c r="F100" s="149"/>
      <c r="G100" s="150"/>
      <c r="H100" s="117"/>
      <c r="I100" s="111"/>
      <c r="J100" s="111"/>
      <c r="K100" s="111"/>
      <c r="L100" s="111"/>
      <c r="M100" s="111"/>
      <c r="N100" s="111"/>
    </row>
    <row r="101">
      <c r="A101" s="117"/>
      <c r="B101" s="117"/>
      <c r="C101" s="116"/>
      <c r="D101" s="116"/>
      <c r="E101" s="148"/>
      <c r="F101" s="149"/>
      <c r="G101" s="150"/>
      <c r="H101" s="117"/>
      <c r="I101" s="111"/>
      <c r="J101" s="111"/>
      <c r="K101" s="111"/>
      <c r="L101" s="111"/>
      <c r="M101" s="111"/>
      <c r="N101" s="111"/>
    </row>
    <row r="102">
      <c r="A102" s="117"/>
      <c r="B102" s="117"/>
      <c r="C102" s="116"/>
      <c r="D102" s="116"/>
      <c r="E102" s="148"/>
      <c r="F102" s="149"/>
      <c r="G102" s="150"/>
      <c r="H102" s="117"/>
      <c r="I102" s="111"/>
      <c r="J102" s="111"/>
      <c r="K102" s="111"/>
      <c r="L102" s="111"/>
      <c r="M102" s="111"/>
      <c r="N102" s="111"/>
    </row>
    <row r="103">
      <c r="A103" s="117"/>
      <c r="B103" s="117"/>
      <c r="C103" s="116"/>
      <c r="D103" s="116"/>
      <c r="E103" s="148"/>
      <c r="F103" s="149"/>
      <c r="G103" s="150"/>
      <c r="H103" s="117"/>
      <c r="I103" s="111"/>
      <c r="J103" s="111"/>
      <c r="K103" s="111"/>
      <c r="L103" s="111"/>
      <c r="M103" s="111"/>
      <c r="N103" s="111"/>
    </row>
    <row r="104">
      <c r="A104" s="117"/>
      <c r="B104" s="117"/>
      <c r="C104" s="116"/>
      <c r="D104" s="116"/>
      <c r="E104" s="148"/>
      <c r="F104" s="149"/>
      <c r="G104" s="150"/>
      <c r="H104" s="117"/>
      <c r="I104" s="111"/>
      <c r="J104" s="111"/>
      <c r="K104" s="111"/>
      <c r="L104" s="111"/>
      <c r="M104" s="111"/>
      <c r="N104" s="111"/>
    </row>
    <row r="105">
      <c r="A105" s="117"/>
      <c r="B105" s="117"/>
      <c r="C105" s="116"/>
      <c r="D105" s="116"/>
      <c r="E105" s="148"/>
      <c r="F105" s="149"/>
      <c r="G105" s="150"/>
      <c r="H105" s="117"/>
      <c r="I105" s="111"/>
      <c r="J105" s="111"/>
      <c r="K105" s="111"/>
      <c r="L105" s="111"/>
      <c r="M105" s="111"/>
      <c r="N105" s="111"/>
    </row>
    <row r="106">
      <c r="A106" s="117"/>
      <c r="B106" s="117"/>
      <c r="C106" s="116"/>
      <c r="D106" s="116"/>
      <c r="E106" s="148"/>
      <c r="F106" s="149"/>
      <c r="G106" s="150"/>
      <c r="H106" s="117"/>
      <c r="I106" s="111"/>
      <c r="J106" s="111"/>
      <c r="K106" s="111"/>
      <c r="L106" s="111"/>
      <c r="M106" s="111"/>
      <c r="N106" s="111"/>
    </row>
    <row r="107">
      <c r="A107" s="117"/>
      <c r="B107" s="117"/>
      <c r="C107" s="116"/>
      <c r="D107" s="116"/>
      <c r="E107" s="148"/>
      <c r="F107" s="149"/>
      <c r="G107" s="150"/>
      <c r="H107" s="117"/>
      <c r="I107" s="111"/>
      <c r="J107" s="111"/>
      <c r="K107" s="111"/>
      <c r="L107" s="111"/>
      <c r="M107" s="111"/>
      <c r="N107" s="111"/>
    </row>
    <row r="108">
      <c r="A108" s="117"/>
      <c r="B108" s="117"/>
      <c r="C108" s="116"/>
      <c r="D108" s="116"/>
      <c r="E108" s="148"/>
      <c r="F108" s="149"/>
      <c r="G108" s="150"/>
      <c r="H108" s="117"/>
      <c r="I108" s="111"/>
      <c r="J108" s="111"/>
      <c r="K108" s="111"/>
      <c r="L108" s="111"/>
      <c r="M108" s="111"/>
      <c r="N108" s="111"/>
    </row>
    <row r="109">
      <c r="A109" s="117"/>
      <c r="B109" s="117"/>
      <c r="C109" s="116"/>
      <c r="D109" s="116"/>
      <c r="E109" s="148"/>
      <c r="F109" s="149"/>
      <c r="G109" s="150"/>
      <c r="H109" s="117"/>
      <c r="I109" s="111"/>
      <c r="J109" s="111"/>
      <c r="K109" s="111"/>
      <c r="L109" s="111"/>
      <c r="M109" s="111"/>
      <c r="N109" s="111"/>
    </row>
    <row r="110">
      <c r="A110" s="117"/>
      <c r="B110" s="117"/>
      <c r="C110" s="116"/>
      <c r="D110" s="116"/>
      <c r="E110" s="148"/>
      <c r="F110" s="149"/>
      <c r="G110" s="150"/>
      <c r="H110" s="117"/>
      <c r="I110" s="111"/>
      <c r="J110" s="111"/>
      <c r="K110" s="111"/>
      <c r="L110" s="111"/>
      <c r="M110" s="111"/>
      <c r="N110" s="111"/>
    </row>
    <row r="111">
      <c r="A111" s="117"/>
      <c r="B111" s="117"/>
      <c r="C111" s="116"/>
      <c r="D111" s="116"/>
      <c r="E111" s="148"/>
      <c r="F111" s="149"/>
      <c r="G111" s="150"/>
      <c r="H111" s="117"/>
      <c r="I111" s="111"/>
      <c r="J111" s="111"/>
      <c r="K111" s="111"/>
      <c r="L111" s="111"/>
      <c r="M111" s="111"/>
      <c r="N111" s="111"/>
    </row>
    <row r="112">
      <c r="A112" s="117"/>
      <c r="B112" s="117"/>
      <c r="C112" s="116"/>
      <c r="D112" s="116"/>
      <c r="E112" s="148"/>
      <c r="F112" s="149"/>
      <c r="G112" s="150"/>
      <c r="H112" s="117"/>
      <c r="I112" s="111"/>
      <c r="J112" s="111"/>
      <c r="K112" s="111"/>
      <c r="L112" s="111"/>
      <c r="M112" s="111"/>
      <c r="N112" s="111"/>
    </row>
    <row r="113">
      <c r="A113" s="117"/>
      <c r="B113" s="117"/>
      <c r="C113" s="116"/>
      <c r="D113" s="116"/>
      <c r="E113" s="148"/>
      <c r="F113" s="149"/>
      <c r="G113" s="150"/>
      <c r="H113" s="117"/>
      <c r="I113" s="111"/>
      <c r="J113" s="111"/>
      <c r="K113" s="111"/>
      <c r="L113" s="111"/>
      <c r="M113" s="111"/>
      <c r="N113" s="111"/>
    </row>
    <row r="114">
      <c r="A114" s="117"/>
      <c r="B114" s="117"/>
      <c r="C114" s="116"/>
      <c r="D114" s="116"/>
      <c r="E114" s="148"/>
      <c r="F114" s="149"/>
      <c r="G114" s="150"/>
      <c r="H114" s="117"/>
      <c r="I114" s="111"/>
      <c r="J114" s="111"/>
      <c r="K114" s="111"/>
      <c r="L114" s="111"/>
      <c r="M114" s="111"/>
      <c r="N114" s="111"/>
    </row>
    <row r="115">
      <c r="A115" s="117"/>
      <c r="B115" s="117"/>
      <c r="C115" s="116"/>
      <c r="D115" s="116"/>
      <c r="E115" s="148"/>
      <c r="F115" s="149"/>
      <c r="G115" s="150"/>
      <c r="H115" s="117"/>
      <c r="I115" s="111"/>
      <c r="J115" s="111"/>
      <c r="K115" s="111"/>
      <c r="L115" s="111"/>
      <c r="M115" s="111"/>
      <c r="N115" s="111"/>
    </row>
    <row r="116">
      <c r="A116" s="117"/>
      <c r="B116" s="117"/>
      <c r="C116" s="116"/>
      <c r="D116" s="116"/>
      <c r="E116" s="148"/>
      <c r="F116" s="149"/>
      <c r="G116" s="150"/>
      <c r="H116" s="117"/>
      <c r="I116" s="111"/>
      <c r="J116" s="111"/>
      <c r="K116" s="111"/>
      <c r="L116" s="111"/>
      <c r="M116" s="111"/>
      <c r="N116" s="111"/>
    </row>
    <row r="117">
      <c r="A117" s="117"/>
      <c r="B117" s="117"/>
      <c r="C117" s="116"/>
      <c r="D117" s="116"/>
      <c r="E117" s="148"/>
      <c r="F117" s="149"/>
      <c r="G117" s="150"/>
      <c r="H117" s="117"/>
      <c r="I117" s="111"/>
      <c r="J117" s="111"/>
      <c r="K117" s="111"/>
      <c r="L117" s="111"/>
      <c r="M117" s="111"/>
      <c r="N117" s="111"/>
    </row>
    <row r="118">
      <c r="A118" s="117"/>
      <c r="B118" s="117"/>
      <c r="C118" s="116"/>
      <c r="D118" s="116"/>
      <c r="E118" s="148"/>
      <c r="F118" s="149"/>
      <c r="G118" s="150"/>
      <c r="H118" s="117"/>
      <c r="I118" s="111"/>
      <c r="J118" s="111"/>
      <c r="K118" s="111"/>
      <c r="L118" s="111"/>
      <c r="M118" s="111"/>
      <c r="N118" s="111"/>
    </row>
    <row r="119">
      <c r="A119" s="117"/>
      <c r="B119" s="117"/>
      <c r="C119" s="116"/>
      <c r="D119" s="116"/>
      <c r="E119" s="148"/>
      <c r="F119" s="149"/>
      <c r="G119" s="150"/>
      <c r="H119" s="117"/>
      <c r="I119" s="111"/>
      <c r="J119" s="111"/>
      <c r="K119" s="111"/>
      <c r="L119" s="111"/>
      <c r="M119" s="111"/>
      <c r="N119" s="111"/>
    </row>
    <row r="120">
      <c r="A120" s="117"/>
      <c r="B120" s="117"/>
      <c r="C120" s="116"/>
      <c r="D120" s="116"/>
      <c r="E120" s="148"/>
      <c r="F120" s="149"/>
      <c r="G120" s="150"/>
      <c r="H120" s="117"/>
      <c r="I120" s="111"/>
      <c r="J120" s="111"/>
      <c r="K120" s="111"/>
      <c r="L120" s="111"/>
      <c r="M120" s="111"/>
      <c r="N120" s="111"/>
    </row>
    <row r="121">
      <c r="A121" s="117"/>
      <c r="B121" s="117"/>
      <c r="C121" s="116"/>
      <c r="D121" s="116"/>
      <c r="E121" s="148"/>
      <c r="F121" s="149"/>
      <c r="G121" s="150"/>
      <c r="H121" s="117"/>
      <c r="I121" s="111"/>
      <c r="J121" s="111"/>
      <c r="K121" s="111"/>
      <c r="L121" s="111"/>
      <c r="M121" s="111"/>
      <c r="N121" s="111"/>
    </row>
    <row r="122">
      <c r="A122" s="117"/>
      <c r="B122" s="117"/>
      <c r="C122" s="116"/>
      <c r="D122" s="116"/>
      <c r="E122" s="148"/>
      <c r="F122" s="149"/>
      <c r="G122" s="150"/>
      <c r="H122" s="117"/>
      <c r="I122" s="111"/>
      <c r="J122" s="111"/>
      <c r="K122" s="111"/>
      <c r="L122" s="111"/>
      <c r="M122" s="111"/>
      <c r="N122" s="111"/>
    </row>
    <row r="123">
      <c r="A123" s="117"/>
      <c r="B123" s="117"/>
      <c r="C123" s="116"/>
      <c r="D123" s="116"/>
      <c r="E123" s="148"/>
      <c r="F123" s="149"/>
      <c r="G123" s="150"/>
      <c r="H123" s="117"/>
      <c r="I123" s="111"/>
      <c r="J123" s="111"/>
      <c r="K123" s="111"/>
      <c r="L123" s="111"/>
      <c r="M123" s="111"/>
      <c r="N123" s="111"/>
    </row>
    <row r="124">
      <c r="A124" s="117"/>
      <c r="B124" s="117"/>
      <c r="C124" s="116"/>
      <c r="D124" s="116"/>
      <c r="E124" s="148"/>
      <c r="F124" s="149"/>
      <c r="G124" s="150"/>
      <c r="H124" s="117"/>
      <c r="I124" s="111"/>
      <c r="J124" s="111"/>
      <c r="K124" s="111"/>
      <c r="L124" s="111"/>
      <c r="M124" s="111"/>
      <c r="N124" s="111"/>
    </row>
    <row r="125">
      <c r="A125" s="117"/>
      <c r="B125" s="117"/>
      <c r="C125" s="116"/>
      <c r="D125" s="116"/>
      <c r="E125" s="148"/>
      <c r="F125" s="149"/>
      <c r="G125" s="150"/>
      <c r="H125" s="117"/>
      <c r="I125" s="111"/>
      <c r="J125" s="111"/>
      <c r="K125" s="111"/>
      <c r="L125" s="111"/>
      <c r="M125" s="111"/>
      <c r="N125" s="111"/>
    </row>
    <row r="126">
      <c r="A126" s="117"/>
      <c r="B126" s="117"/>
      <c r="C126" s="116"/>
      <c r="D126" s="116"/>
      <c r="E126" s="148"/>
      <c r="F126" s="149"/>
      <c r="G126" s="150"/>
      <c r="H126" s="117"/>
      <c r="I126" s="111"/>
      <c r="J126" s="111"/>
      <c r="K126" s="111"/>
      <c r="L126" s="111"/>
      <c r="M126" s="111"/>
      <c r="N126" s="111"/>
    </row>
    <row r="127">
      <c r="A127" s="117"/>
      <c r="B127" s="117"/>
      <c r="C127" s="116"/>
      <c r="D127" s="116"/>
      <c r="E127" s="148"/>
      <c r="F127" s="149"/>
      <c r="G127" s="150"/>
      <c r="H127" s="117"/>
      <c r="I127" s="111"/>
      <c r="J127" s="111"/>
      <c r="K127" s="111"/>
      <c r="L127" s="111"/>
      <c r="M127" s="111"/>
      <c r="N127" s="111"/>
    </row>
    <row r="128">
      <c r="A128" s="117"/>
      <c r="B128" s="117"/>
      <c r="C128" s="116"/>
      <c r="D128" s="116"/>
      <c r="E128" s="148"/>
      <c r="F128" s="149"/>
      <c r="G128" s="150"/>
      <c r="H128" s="117"/>
      <c r="I128" s="111"/>
      <c r="J128" s="111"/>
      <c r="K128" s="111"/>
      <c r="L128" s="111"/>
      <c r="M128" s="111"/>
      <c r="N128" s="111"/>
    </row>
    <row r="129">
      <c r="A129" s="117"/>
      <c r="B129" s="117"/>
      <c r="C129" s="116"/>
      <c r="D129" s="116"/>
      <c r="E129" s="148"/>
      <c r="F129" s="149"/>
      <c r="G129" s="150"/>
      <c r="H129" s="117"/>
      <c r="I129" s="111"/>
      <c r="J129" s="111"/>
      <c r="K129" s="111"/>
      <c r="L129" s="111"/>
      <c r="M129" s="111"/>
      <c r="N129" s="111"/>
    </row>
    <row r="130">
      <c r="A130" s="117"/>
      <c r="B130" s="117"/>
      <c r="C130" s="116"/>
      <c r="D130" s="116"/>
      <c r="E130" s="148"/>
      <c r="F130" s="149"/>
      <c r="G130" s="150"/>
      <c r="H130" s="117"/>
      <c r="I130" s="111"/>
      <c r="J130" s="111"/>
      <c r="K130" s="111"/>
      <c r="L130" s="111"/>
      <c r="M130" s="111"/>
      <c r="N130" s="111"/>
    </row>
    <row r="131">
      <c r="A131" s="117"/>
      <c r="B131" s="117"/>
      <c r="C131" s="116"/>
      <c r="D131" s="116"/>
      <c r="E131" s="148"/>
      <c r="F131" s="149"/>
      <c r="G131" s="150"/>
      <c r="H131" s="117"/>
      <c r="I131" s="111"/>
      <c r="J131" s="111"/>
      <c r="K131" s="111"/>
      <c r="L131" s="111"/>
      <c r="M131" s="111"/>
      <c r="N131" s="111"/>
    </row>
    <row r="132">
      <c r="A132" s="117"/>
      <c r="B132" s="117"/>
      <c r="C132" s="116"/>
      <c r="D132" s="116"/>
      <c r="E132" s="148"/>
      <c r="F132" s="149"/>
      <c r="G132" s="150"/>
      <c r="H132" s="117"/>
      <c r="I132" s="111"/>
      <c r="J132" s="111"/>
      <c r="K132" s="111"/>
      <c r="L132" s="111"/>
      <c r="M132" s="111"/>
      <c r="N132" s="111"/>
    </row>
    <row r="133">
      <c r="A133" s="117"/>
      <c r="B133" s="117"/>
      <c r="C133" s="116"/>
      <c r="D133" s="116"/>
      <c r="E133" s="148"/>
      <c r="F133" s="149"/>
      <c r="G133" s="150"/>
      <c r="H133" s="117"/>
      <c r="I133" s="111"/>
      <c r="J133" s="111"/>
      <c r="K133" s="111"/>
      <c r="L133" s="111"/>
      <c r="M133" s="111"/>
      <c r="N133" s="111"/>
    </row>
    <row r="134">
      <c r="A134" s="117"/>
      <c r="B134" s="117"/>
      <c r="C134" s="116"/>
      <c r="D134" s="116"/>
      <c r="E134" s="148"/>
      <c r="F134" s="149"/>
      <c r="G134" s="150"/>
      <c r="H134" s="117"/>
      <c r="I134" s="111"/>
      <c r="J134" s="111"/>
      <c r="K134" s="111"/>
      <c r="L134" s="111"/>
      <c r="M134" s="111"/>
      <c r="N134" s="111"/>
    </row>
    <row r="135">
      <c r="A135" s="117"/>
      <c r="B135" s="117"/>
      <c r="C135" s="116"/>
      <c r="D135" s="116"/>
      <c r="E135" s="148"/>
      <c r="F135" s="149"/>
      <c r="G135" s="150"/>
      <c r="H135" s="117"/>
      <c r="I135" s="111"/>
      <c r="J135" s="111"/>
      <c r="K135" s="111"/>
      <c r="L135" s="111"/>
      <c r="M135" s="111"/>
      <c r="N135" s="111"/>
    </row>
    <row r="136">
      <c r="A136" s="117"/>
      <c r="B136" s="117"/>
      <c r="C136" s="116"/>
      <c r="D136" s="116"/>
      <c r="E136" s="148"/>
      <c r="F136" s="149"/>
      <c r="G136" s="150"/>
      <c r="H136" s="117"/>
      <c r="I136" s="111"/>
      <c r="J136" s="111"/>
      <c r="K136" s="111"/>
      <c r="L136" s="111"/>
      <c r="M136" s="111"/>
      <c r="N136" s="111"/>
    </row>
    <row r="137">
      <c r="A137" s="117"/>
      <c r="B137" s="117"/>
      <c r="C137" s="116"/>
      <c r="D137" s="116"/>
      <c r="E137" s="148"/>
      <c r="F137" s="149"/>
      <c r="G137" s="150"/>
      <c r="H137" s="117"/>
      <c r="I137" s="111"/>
      <c r="J137" s="111"/>
      <c r="K137" s="111"/>
      <c r="L137" s="111"/>
      <c r="M137" s="111"/>
      <c r="N137" s="111"/>
    </row>
    <row r="138">
      <c r="A138" s="117"/>
      <c r="B138" s="117"/>
      <c r="C138" s="116"/>
      <c r="D138" s="116"/>
      <c r="E138" s="148"/>
      <c r="F138" s="149"/>
      <c r="G138" s="150"/>
      <c r="H138" s="117"/>
      <c r="I138" s="111"/>
      <c r="J138" s="111"/>
      <c r="K138" s="111"/>
      <c r="L138" s="111"/>
      <c r="M138" s="111"/>
      <c r="N138" s="111"/>
    </row>
    <row r="139">
      <c r="A139" s="117"/>
      <c r="B139" s="117"/>
      <c r="C139" s="116"/>
      <c r="D139" s="116"/>
      <c r="E139" s="148"/>
      <c r="F139" s="149"/>
      <c r="G139" s="150"/>
      <c r="H139" s="117"/>
      <c r="I139" s="111"/>
      <c r="J139" s="111"/>
      <c r="K139" s="111"/>
      <c r="L139" s="111"/>
      <c r="M139" s="111"/>
      <c r="N139" s="111"/>
    </row>
    <row r="140">
      <c r="A140" s="117"/>
      <c r="B140" s="117"/>
      <c r="C140" s="116"/>
      <c r="D140" s="116"/>
      <c r="E140" s="148"/>
      <c r="F140" s="149"/>
      <c r="G140" s="150"/>
      <c r="H140" s="117"/>
      <c r="I140" s="111"/>
      <c r="J140" s="111"/>
      <c r="K140" s="111"/>
      <c r="L140" s="111"/>
      <c r="M140" s="111"/>
      <c r="N140" s="111"/>
    </row>
    <row r="141">
      <c r="A141" s="117"/>
      <c r="B141" s="117"/>
      <c r="C141" s="116"/>
      <c r="D141" s="116"/>
      <c r="E141" s="148"/>
      <c r="F141" s="149"/>
      <c r="G141" s="150"/>
      <c r="H141" s="117"/>
      <c r="I141" s="111"/>
      <c r="J141" s="111"/>
      <c r="K141" s="111"/>
      <c r="L141" s="111"/>
      <c r="M141" s="111"/>
      <c r="N141" s="111"/>
    </row>
    <row r="142">
      <c r="A142" s="117"/>
      <c r="B142" s="117"/>
      <c r="C142" s="116"/>
      <c r="D142" s="116"/>
      <c r="E142" s="148"/>
      <c r="F142" s="149"/>
      <c r="G142" s="150"/>
      <c r="H142" s="117"/>
      <c r="I142" s="111"/>
      <c r="J142" s="111"/>
      <c r="K142" s="111"/>
      <c r="L142" s="111"/>
      <c r="M142" s="111"/>
      <c r="N142" s="111"/>
    </row>
    <row r="143">
      <c r="A143" s="117"/>
      <c r="B143" s="117"/>
      <c r="C143" s="116"/>
      <c r="D143" s="116"/>
      <c r="E143" s="148"/>
      <c r="F143" s="149"/>
      <c r="G143" s="150"/>
      <c r="H143" s="117"/>
      <c r="I143" s="111"/>
      <c r="J143" s="111"/>
      <c r="K143" s="111"/>
      <c r="L143" s="111"/>
      <c r="M143" s="111"/>
      <c r="N143" s="111"/>
    </row>
    <row r="144">
      <c r="A144" s="117"/>
      <c r="B144" s="117"/>
      <c r="C144" s="116"/>
      <c r="D144" s="116"/>
      <c r="E144" s="148"/>
      <c r="F144" s="149"/>
      <c r="G144" s="150"/>
      <c r="H144" s="117"/>
      <c r="I144" s="111"/>
      <c r="J144" s="111"/>
      <c r="K144" s="111"/>
      <c r="L144" s="111"/>
      <c r="M144" s="111"/>
      <c r="N144" s="111"/>
    </row>
    <row r="145">
      <c r="A145" s="117"/>
      <c r="B145" s="117"/>
      <c r="C145" s="116"/>
      <c r="D145" s="116"/>
      <c r="E145" s="148"/>
      <c r="F145" s="149"/>
      <c r="G145" s="150"/>
      <c r="H145" s="117"/>
      <c r="I145" s="111"/>
      <c r="J145" s="111"/>
      <c r="K145" s="111"/>
      <c r="L145" s="111"/>
      <c r="M145" s="111"/>
      <c r="N145" s="111"/>
    </row>
    <row r="146">
      <c r="A146" s="117"/>
      <c r="B146" s="117"/>
      <c r="C146" s="116"/>
      <c r="D146" s="116"/>
      <c r="E146" s="148"/>
      <c r="F146" s="149"/>
      <c r="G146" s="150"/>
      <c r="H146" s="117"/>
      <c r="I146" s="111"/>
      <c r="J146" s="111"/>
      <c r="K146" s="111"/>
      <c r="L146" s="111"/>
      <c r="M146" s="111"/>
      <c r="N146" s="111"/>
    </row>
    <row r="147">
      <c r="A147" s="117"/>
      <c r="B147" s="117"/>
      <c r="C147" s="116"/>
      <c r="D147" s="116"/>
      <c r="E147" s="148"/>
      <c r="F147" s="149"/>
      <c r="G147" s="150"/>
      <c r="H147" s="117"/>
      <c r="I147" s="111"/>
      <c r="J147" s="111"/>
      <c r="K147" s="111"/>
      <c r="L147" s="111"/>
      <c r="M147" s="111"/>
      <c r="N147" s="111"/>
    </row>
    <row r="148">
      <c r="A148" s="117"/>
      <c r="B148" s="117"/>
      <c r="C148" s="116"/>
      <c r="D148" s="116"/>
      <c r="E148" s="148"/>
      <c r="F148" s="149"/>
      <c r="G148" s="150"/>
      <c r="H148" s="117"/>
      <c r="I148" s="111"/>
      <c r="J148" s="111"/>
      <c r="K148" s="111"/>
      <c r="L148" s="111"/>
      <c r="M148" s="111"/>
      <c r="N148" s="111"/>
    </row>
    <row r="149">
      <c r="A149" s="117"/>
      <c r="B149" s="117"/>
      <c r="C149" s="116"/>
      <c r="D149" s="116"/>
      <c r="E149" s="148"/>
      <c r="F149" s="149"/>
      <c r="G149" s="150"/>
      <c r="H149" s="117"/>
      <c r="I149" s="111"/>
      <c r="J149" s="111"/>
      <c r="K149" s="111"/>
      <c r="L149" s="111"/>
      <c r="M149" s="111"/>
      <c r="N149" s="111"/>
    </row>
    <row r="150">
      <c r="A150" s="117"/>
      <c r="B150" s="117"/>
      <c r="C150" s="116"/>
      <c r="D150" s="116"/>
      <c r="E150" s="148"/>
      <c r="F150" s="149"/>
      <c r="G150" s="150"/>
      <c r="H150" s="117"/>
      <c r="I150" s="111"/>
      <c r="J150" s="111"/>
      <c r="K150" s="111"/>
      <c r="L150" s="111"/>
      <c r="M150" s="111"/>
      <c r="N150" s="111"/>
    </row>
    <row r="151">
      <c r="A151" s="117"/>
      <c r="B151" s="117"/>
      <c r="C151" s="116"/>
      <c r="D151" s="116"/>
      <c r="E151" s="148"/>
      <c r="F151" s="149"/>
      <c r="G151" s="150"/>
      <c r="H151" s="117"/>
      <c r="I151" s="111"/>
      <c r="J151" s="111"/>
      <c r="K151" s="111"/>
      <c r="L151" s="111"/>
      <c r="M151" s="111"/>
      <c r="N151" s="111"/>
    </row>
    <row r="152">
      <c r="A152" s="117"/>
      <c r="B152" s="117"/>
      <c r="C152" s="116"/>
      <c r="D152" s="116"/>
      <c r="E152" s="148"/>
      <c r="F152" s="149"/>
      <c r="G152" s="150"/>
      <c r="H152" s="117"/>
      <c r="I152" s="111"/>
      <c r="J152" s="111"/>
      <c r="K152" s="111"/>
      <c r="L152" s="111"/>
      <c r="M152" s="111"/>
      <c r="N152" s="111"/>
    </row>
    <row r="153">
      <c r="A153" s="117"/>
      <c r="B153" s="117"/>
      <c r="C153" s="116"/>
      <c r="D153" s="116"/>
      <c r="E153" s="148"/>
      <c r="F153" s="149"/>
      <c r="G153" s="150"/>
      <c r="H153" s="117"/>
      <c r="I153" s="111"/>
      <c r="J153" s="111"/>
      <c r="K153" s="111"/>
      <c r="L153" s="111"/>
      <c r="M153" s="111"/>
      <c r="N153" s="111"/>
    </row>
    <row r="154">
      <c r="A154" s="117"/>
      <c r="B154" s="117"/>
      <c r="C154" s="116"/>
      <c r="D154" s="116"/>
      <c r="E154" s="148"/>
      <c r="F154" s="149"/>
      <c r="G154" s="150"/>
      <c r="H154" s="117"/>
      <c r="I154" s="111"/>
      <c r="J154" s="111"/>
      <c r="K154" s="111"/>
      <c r="L154" s="111"/>
      <c r="M154" s="111"/>
      <c r="N154" s="111"/>
    </row>
    <row r="155">
      <c r="A155" s="117"/>
      <c r="B155" s="117"/>
      <c r="C155" s="116"/>
      <c r="D155" s="116"/>
      <c r="E155" s="148"/>
      <c r="F155" s="149"/>
      <c r="G155" s="150"/>
      <c r="H155" s="117"/>
      <c r="I155" s="111"/>
      <c r="J155" s="111"/>
      <c r="K155" s="111"/>
      <c r="L155" s="111"/>
      <c r="M155" s="111"/>
      <c r="N155" s="111"/>
    </row>
    <row r="156">
      <c r="A156" s="117"/>
      <c r="B156" s="117"/>
      <c r="C156" s="116"/>
      <c r="D156" s="116"/>
      <c r="E156" s="148"/>
      <c r="F156" s="149"/>
      <c r="G156" s="150"/>
      <c r="H156" s="117"/>
      <c r="I156" s="111"/>
      <c r="J156" s="111"/>
      <c r="K156" s="111"/>
      <c r="L156" s="111"/>
      <c r="M156" s="111"/>
      <c r="N156" s="111"/>
    </row>
    <row r="157">
      <c r="A157" s="117"/>
      <c r="B157" s="117"/>
      <c r="C157" s="116"/>
      <c r="D157" s="116"/>
      <c r="E157" s="148"/>
      <c r="F157" s="149"/>
      <c r="G157" s="150"/>
      <c r="H157" s="117"/>
      <c r="I157" s="111"/>
      <c r="J157" s="111"/>
      <c r="K157" s="111"/>
      <c r="L157" s="111"/>
      <c r="M157" s="111"/>
      <c r="N157" s="111"/>
    </row>
    <row r="158">
      <c r="A158" s="117"/>
      <c r="B158" s="117"/>
      <c r="C158" s="116"/>
      <c r="D158" s="116"/>
      <c r="E158" s="148"/>
      <c r="F158" s="149"/>
      <c r="G158" s="150"/>
      <c r="H158" s="117"/>
      <c r="I158" s="111"/>
      <c r="J158" s="111"/>
      <c r="K158" s="111"/>
      <c r="L158" s="111"/>
      <c r="M158" s="111"/>
      <c r="N158" s="111"/>
    </row>
    <row r="159">
      <c r="A159" s="117"/>
      <c r="B159" s="117"/>
      <c r="C159" s="116"/>
      <c r="D159" s="116"/>
      <c r="E159" s="148"/>
      <c r="F159" s="149"/>
      <c r="G159" s="150"/>
      <c r="H159" s="117"/>
      <c r="I159" s="111"/>
      <c r="J159" s="111"/>
      <c r="K159" s="111"/>
      <c r="L159" s="111"/>
      <c r="M159" s="111"/>
      <c r="N159" s="111"/>
    </row>
    <row r="160">
      <c r="A160" s="117"/>
      <c r="B160" s="117"/>
      <c r="C160" s="116"/>
      <c r="D160" s="116"/>
      <c r="E160" s="148"/>
      <c r="F160" s="149"/>
      <c r="G160" s="150"/>
      <c r="H160" s="117"/>
      <c r="I160" s="111"/>
      <c r="J160" s="111"/>
      <c r="K160" s="111"/>
      <c r="L160" s="111"/>
      <c r="M160" s="111"/>
      <c r="N160" s="111"/>
    </row>
    <row r="161">
      <c r="A161" s="117"/>
      <c r="B161" s="117"/>
      <c r="C161" s="116"/>
      <c r="D161" s="116"/>
      <c r="E161" s="148"/>
      <c r="F161" s="149"/>
      <c r="G161" s="150"/>
      <c r="H161" s="117"/>
      <c r="I161" s="111"/>
      <c r="J161" s="111"/>
      <c r="K161" s="111"/>
      <c r="L161" s="111"/>
      <c r="M161" s="111"/>
      <c r="N161" s="111"/>
    </row>
    <row r="162">
      <c r="A162" s="117"/>
      <c r="B162" s="117"/>
      <c r="C162" s="116"/>
      <c r="D162" s="116"/>
      <c r="E162" s="148"/>
      <c r="F162" s="149"/>
      <c r="G162" s="150"/>
      <c r="H162" s="117"/>
      <c r="I162" s="111"/>
      <c r="J162" s="111"/>
      <c r="K162" s="111"/>
      <c r="L162" s="111"/>
      <c r="M162" s="111"/>
      <c r="N162" s="111"/>
    </row>
    <row r="163">
      <c r="A163" s="117"/>
      <c r="B163" s="117"/>
      <c r="C163" s="116"/>
      <c r="D163" s="116"/>
      <c r="E163" s="148"/>
      <c r="F163" s="149"/>
      <c r="G163" s="150"/>
      <c r="H163" s="117"/>
      <c r="I163" s="111"/>
      <c r="J163" s="111"/>
      <c r="K163" s="111"/>
      <c r="L163" s="111"/>
      <c r="M163" s="111"/>
      <c r="N163" s="111"/>
    </row>
    <row r="164">
      <c r="A164" s="117"/>
      <c r="B164" s="117"/>
      <c r="C164" s="116"/>
      <c r="D164" s="116"/>
      <c r="E164" s="148"/>
      <c r="F164" s="149"/>
      <c r="G164" s="150"/>
      <c r="H164" s="117"/>
      <c r="I164" s="111"/>
      <c r="J164" s="111"/>
      <c r="K164" s="111"/>
      <c r="L164" s="111"/>
      <c r="M164" s="111"/>
      <c r="N164" s="111"/>
    </row>
    <row r="165">
      <c r="A165" s="117"/>
      <c r="B165" s="117"/>
      <c r="C165" s="116"/>
      <c r="D165" s="116"/>
      <c r="E165" s="148"/>
      <c r="F165" s="149"/>
      <c r="G165" s="150"/>
      <c r="H165" s="117"/>
      <c r="I165" s="111"/>
      <c r="J165" s="111"/>
      <c r="K165" s="111"/>
      <c r="L165" s="111"/>
      <c r="M165" s="111"/>
      <c r="N165" s="111"/>
    </row>
    <row r="166">
      <c r="A166" s="117"/>
      <c r="B166" s="117"/>
      <c r="C166" s="116"/>
      <c r="D166" s="116"/>
      <c r="E166" s="148"/>
      <c r="F166" s="149"/>
      <c r="G166" s="150"/>
      <c r="H166" s="117"/>
      <c r="I166" s="111"/>
      <c r="J166" s="111"/>
      <c r="K166" s="111"/>
      <c r="L166" s="111"/>
      <c r="M166" s="111"/>
      <c r="N166" s="111"/>
    </row>
    <row r="167">
      <c r="A167" s="117"/>
      <c r="B167" s="117"/>
      <c r="C167" s="116"/>
      <c r="D167" s="116"/>
      <c r="E167" s="148"/>
      <c r="F167" s="149"/>
      <c r="G167" s="150"/>
      <c r="H167" s="117"/>
      <c r="I167" s="111"/>
      <c r="J167" s="111"/>
      <c r="K167" s="111"/>
      <c r="L167" s="111"/>
      <c r="M167" s="111"/>
      <c r="N167" s="111"/>
    </row>
    <row r="168">
      <c r="A168" s="117"/>
      <c r="B168" s="117"/>
      <c r="C168" s="116"/>
      <c r="D168" s="116"/>
      <c r="E168" s="148"/>
      <c r="F168" s="149"/>
      <c r="G168" s="150"/>
      <c r="H168" s="117"/>
      <c r="I168" s="111"/>
      <c r="J168" s="111"/>
      <c r="K168" s="111"/>
      <c r="L168" s="111"/>
      <c r="M168" s="111"/>
      <c r="N168" s="111"/>
    </row>
    <row r="169">
      <c r="A169" s="117"/>
      <c r="B169" s="117"/>
      <c r="C169" s="116"/>
      <c r="D169" s="116"/>
      <c r="E169" s="148"/>
      <c r="F169" s="149"/>
      <c r="G169" s="150"/>
      <c r="H169" s="117"/>
      <c r="I169" s="111"/>
      <c r="J169" s="111"/>
      <c r="K169" s="111"/>
      <c r="L169" s="111"/>
      <c r="M169" s="111"/>
      <c r="N169" s="111"/>
    </row>
    <row r="170">
      <c r="A170" s="117"/>
      <c r="B170" s="117"/>
      <c r="C170" s="116"/>
      <c r="D170" s="116"/>
      <c r="E170" s="148"/>
      <c r="F170" s="149"/>
      <c r="G170" s="150"/>
      <c r="H170" s="117"/>
      <c r="I170" s="111"/>
      <c r="J170" s="111"/>
      <c r="K170" s="111"/>
      <c r="L170" s="111"/>
      <c r="M170" s="111"/>
      <c r="N170" s="111"/>
    </row>
    <row r="171">
      <c r="A171" s="117"/>
      <c r="B171" s="117"/>
      <c r="C171" s="116"/>
      <c r="D171" s="116"/>
      <c r="E171" s="148"/>
      <c r="F171" s="149"/>
      <c r="G171" s="150"/>
      <c r="H171" s="117"/>
      <c r="I171" s="111"/>
      <c r="J171" s="111"/>
      <c r="K171" s="111"/>
      <c r="L171" s="111"/>
      <c r="M171" s="111"/>
      <c r="N171" s="111"/>
    </row>
    <row r="172">
      <c r="A172" s="117"/>
      <c r="B172" s="117"/>
      <c r="C172" s="116"/>
      <c r="D172" s="116"/>
      <c r="E172" s="148"/>
      <c r="F172" s="149"/>
      <c r="G172" s="150"/>
      <c r="H172" s="117"/>
      <c r="I172" s="111"/>
      <c r="J172" s="111"/>
      <c r="K172" s="111"/>
      <c r="L172" s="111"/>
      <c r="M172" s="111"/>
      <c r="N172" s="111"/>
    </row>
    <row r="173">
      <c r="A173" s="117"/>
      <c r="B173" s="117"/>
      <c r="C173" s="116"/>
      <c r="D173" s="116"/>
      <c r="E173" s="148"/>
      <c r="F173" s="149"/>
      <c r="G173" s="150"/>
      <c r="H173" s="117"/>
      <c r="I173" s="111"/>
      <c r="J173" s="111"/>
      <c r="K173" s="111"/>
      <c r="L173" s="111"/>
      <c r="M173" s="111"/>
      <c r="N173" s="111"/>
    </row>
    <row r="174">
      <c r="A174" s="117"/>
      <c r="B174" s="117"/>
      <c r="C174" s="116"/>
      <c r="D174" s="116"/>
      <c r="E174" s="148"/>
      <c r="F174" s="149"/>
      <c r="G174" s="150"/>
      <c r="H174" s="117"/>
      <c r="I174" s="111"/>
      <c r="J174" s="111"/>
      <c r="K174" s="111"/>
      <c r="L174" s="111"/>
      <c r="M174" s="111"/>
      <c r="N174" s="111"/>
    </row>
    <row r="175">
      <c r="A175" s="117"/>
      <c r="B175" s="117"/>
      <c r="C175" s="116"/>
      <c r="D175" s="116"/>
      <c r="E175" s="148"/>
      <c r="F175" s="149"/>
      <c r="G175" s="150"/>
      <c r="H175" s="117"/>
      <c r="I175" s="111"/>
      <c r="J175" s="111"/>
      <c r="K175" s="111"/>
      <c r="L175" s="111"/>
      <c r="M175" s="111"/>
      <c r="N175" s="111"/>
    </row>
    <row r="176">
      <c r="A176" s="117"/>
      <c r="B176" s="117"/>
      <c r="C176" s="116"/>
      <c r="D176" s="116"/>
      <c r="E176" s="148"/>
      <c r="F176" s="149"/>
      <c r="G176" s="150"/>
      <c r="H176" s="117"/>
      <c r="I176" s="111"/>
      <c r="J176" s="111"/>
      <c r="K176" s="111"/>
      <c r="L176" s="111"/>
      <c r="M176" s="111"/>
      <c r="N176" s="111"/>
    </row>
    <row r="177">
      <c r="A177" s="117"/>
      <c r="B177" s="117"/>
      <c r="C177" s="116"/>
      <c r="D177" s="116"/>
      <c r="E177" s="148"/>
      <c r="F177" s="149"/>
      <c r="G177" s="150"/>
      <c r="H177" s="117"/>
      <c r="I177" s="111"/>
      <c r="J177" s="111"/>
      <c r="K177" s="111"/>
      <c r="L177" s="111"/>
      <c r="M177" s="111"/>
      <c r="N177" s="111"/>
    </row>
    <row r="178">
      <c r="A178" s="117"/>
      <c r="B178" s="117"/>
      <c r="C178" s="116"/>
      <c r="D178" s="116"/>
      <c r="E178" s="148"/>
      <c r="F178" s="149"/>
      <c r="G178" s="150"/>
      <c r="H178" s="117"/>
      <c r="I178" s="111"/>
      <c r="J178" s="111"/>
      <c r="K178" s="111"/>
      <c r="L178" s="111"/>
      <c r="M178" s="111"/>
      <c r="N178" s="111"/>
    </row>
    <row r="179">
      <c r="A179" s="117"/>
      <c r="B179" s="117"/>
      <c r="C179" s="116"/>
      <c r="D179" s="116"/>
      <c r="E179" s="148"/>
      <c r="F179" s="149"/>
      <c r="G179" s="150"/>
      <c r="H179" s="117"/>
      <c r="I179" s="111"/>
      <c r="J179" s="111"/>
      <c r="K179" s="111"/>
      <c r="L179" s="111"/>
      <c r="M179" s="111"/>
      <c r="N179" s="111"/>
    </row>
    <row r="180">
      <c r="A180" s="117"/>
      <c r="B180" s="117"/>
      <c r="C180" s="116"/>
      <c r="D180" s="116"/>
      <c r="E180" s="148"/>
      <c r="F180" s="149"/>
      <c r="G180" s="150"/>
      <c r="H180" s="117"/>
      <c r="I180" s="111"/>
      <c r="J180" s="111"/>
      <c r="K180" s="111"/>
      <c r="L180" s="111"/>
      <c r="M180" s="111"/>
      <c r="N180" s="111"/>
    </row>
    <row r="181">
      <c r="A181" s="117"/>
      <c r="B181" s="117"/>
      <c r="C181" s="116"/>
      <c r="D181" s="116"/>
      <c r="E181" s="148"/>
      <c r="F181" s="149"/>
      <c r="G181" s="150"/>
      <c r="H181" s="117"/>
      <c r="I181" s="111"/>
      <c r="J181" s="111"/>
      <c r="K181" s="111"/>
      <c r="L181" s="111"/>
      <c r="M181" s="111"/>
      <c r="N181" s="111"/>
    </row>
    <row r="182">
      <c r="A182" s="117"/>
      <c r="B182" s="117"/>
      <c r="C182" s="116"/>
      <c r="D182" s="116"/>
      <c r="E182" s="148"/>
      <c r="F182" s="149"/>
      <c r="G182" s="150"/>
      <c r="H182" s="117"/>
      <c r="I182" s="111"/>
      <c r="J182" s="111"/>
      <c r="K182" s="111"/>
      <c r="L182" s="111"/>
      <c r="M182" s="111"/>
      <c r="N182" s="111"/>
    </row>
    <row r="183">
      <c r="A183" s="117"/>
      <c r="B183" s="117"/>
      <c r="C183" s="116"/>
      <c r="D183" s="116"/>
      <c r="E183" s="148"/>
      <c r="F183" s="149"/>
      <c r="G183" s="150"/>
      <c r="H183" s="117"/>
      <c r="I183" s="111"/>
      <c r="J183" s="111"/>
      <c r="K183" s="111"/>
      <c r="L183" s="111"/>
      <c r="M183" s="111"/>
      <c r="N183" s="111"/>
    </row>
    <row r="184">
      <c r="A184" s="117"/>
      <c r="B184" s="117"/>
      <c r="C184" s="116"/>
      <c r="D184" s="116"/>
      <c r="E184" s="148"/>
      <c r="F184" s="149"/>
      <c r="G184" s="150"/>
      <c r="H184" s="117"/>
      <c r="I184" s="111"/>
      <c r="J184" s="111"/>
      <c r="K184" s="111"/>
      <c r="L184" s="111"/>
      <c r="M184" s="111"/>
      <c r="N184" s="111"/>
    </row>
    <row r="185">
      <c r="A185" s="117"/>
      <c r="B185" s="117"/>
      <c r="C185" s="116"/>
      <c r="D185" s="116"/>
      <c r="E185" s="148"/>
      <c r="F185" s="149"/>
      <c r="G185" s="150"/>
      <c r="H185" s="117"/>
      <c r="I185" s="111"/>
      <c r="J185" s="111"/>
      <c r="K185" s="111"/>
      <c r="L185" s="111"/>
      <c r="M185" s="111"/>
      <c r="N185" s="111"/>
    </row>
    <row r="186">
      <c r="A186" s="117"/>
      <c r="B186" s="117"/>
      <c r="C186" s="116"/>
      <c r="D186" s="116"/>
      <c r="E186" s="148"/>
      <c r="F186" s="149"/>
      <c r="G186" s="150"/>
      <c r="H186" s="117"/>
      <c r="I186" s="111"/>
      <c r="J186" s="111"/>
      <c r="K186" s="111"/>
      <c r="L186" s="111"/>
      <c r="M186" s="111"/>
      <c r="N186" s="111"/>
    </row>
    <row r="187">
      <c r="A187" s="117"/>
      <c r="B187" s="117"/>
      <c r="C187" s="116"/>
      <c r="D187" s="116"/>
      <c r="E187" s="148"/>
      <c r="F187" s="149"/>
      <c r="G187" s="150"/>
      <c r="H187" s="117"/>
      <c r="I187" s="111"/>
      <c r="J187" s="111"/>
      <c r="K187" s="111"/>
      <c r="L187" s="111"/>
      <c r="M187" s="111"/>
      <c r="N187" s="111"/>
    </row>
    <row r="188">
      <c r="A188" s="117"/>
      <c r="B188" s="117"/>
      <c r="C188" s="116"/>
      <c r="D188" s="116"/>
      <c r="E188" s="148"/>
      <c r="F188" s="149"/>
      <c r="G188" s="150"/>
      <c r="H188" s="117"/>
      <c r="I188" s="111"/>
      <c r="J188" s="111"/>
      <c r="K188" s="111"/>
      <c r="L188" s="111"/>
      <c r="M188" s="111"/>
      <c r="N188" s="111"/>
    </row>
    <row r="189">
      <c r="A189" s="117"/>
      <c r="B189" s="117"/>
      <c r="C189" s="116"/>
      <c r="D189" s="116"/>
      <c r="E189" s="148"/>
      <c r="F189" s="149"/>
      <c r="G189" s="150"/>
      <c r="H189" s="117"/>
      <c r="I189" s="111"/>
      <c r="J189" s="111"/>
      <c r="K189" s="111"/>
      <c r="L189" s="111"/>
      <c r="M189" s="111"/>
      <c r="N189" s="111"/>
    </row>
    <row r="190">
      <c r="A190" s="117"/>
      <c r="B190" s="117"/>
      <c r="C190" s="116"/>
      <c r="D190" s="116"/>
      <c r="E190" s="148"/>
      <c r="F190" s="149"/>
      <c r="G190" s="150"/>
      <c r="H190" s="117"/>
      <c r="I190" s="111"/>
      <c r="J190" s="111"/>
      <c r="K190" s="111"/>
      <c r="L190" s="111"/>
      <c r="M190" s="111"/>
      <c r="N190" s="111"/>
    </row>
    <row r="191">
      <c r="A191" s="117"/>
      <c r="B191" s="117"/>
      <c r="C191" s="116"/>
      <c r="D191" s="116"/>
      <c r="E191" s="148"/>
      <c r="F191" s="149"/>
      <c r="G191" s="150"/>
      <c r="H191" s="117"/>
      <c r="I191" s="111"/>
      <c r="J191" s="111"/>
      <c r="K191" s="111"/>
      <c r="L191" s="111"/>
      <c r="M191" s="111"/>
      <c r="N191" s="111"/>
    </row>
    <row r="192">
      <c r="A192" s="117"/>
      <c r="B192" s="117"/>
      <c r="C192" s="116"/>
      <c r="D192" s="116"/>
      <c r="E192" s="148"/>
      <c r="F192" s="149"/>
      <c r="G192" s="150"/>
      <c r="H192" s="117"/>
      <c r="I192" s="111"/>
      <c r="J192" s="111"/>
      <c r="K192" s="111"/>
      <c r="L192" s="111"/>
      <c r="M192" s="111"/>
      <c r="N192" s="111"/>
    </row>
    <row r="193">
      <c r="A193" s="117"/>
      <c r="B193" s="117"/>
      <c r="C193" s="116"/>
      <c r="D193" s="116"/>
      <c r="E193" s="148"/>
      <c r="F193" s="149"/>
      <c r="G193" s="150"/>
      <c r="H193" s="117"/>
      <c r="I193" s="111"/>
      <c r="J193" s="111"/>
      <c r="K193" s="111"/>
      <c r="L193" s="111"/>
      <c r="M193" s="111"/>
      <c r="N193" s="111"/>
    </row>
    <row r="194">
      <c r="A194" s="117"/>
      <c r="B194" s="117"/>
      <c r="C194" s="116"/>
      <c r="D194" s="116"/>
      <c r="E194" s="148"/>
      <c r="F194" s="149"/>
      <c r="G194" s="150"/>
      <c r="H194" s="117"/>
      <c r="I194" s="111"/>
      <c r="J194" s="111"/>
      <c r="K194" s="111"/>
      <c r="L194" s="111"/>
      <c r="M194" s="111"/>
      <c r="N194" s="111"/>
    </row>
    <row r="195">
      <c r="A195" s="117"/>
      <c r="B195" s="117"/>
      <c r="C195" s="116"/>
      <c r="D195" s="116"/>
      <c r="E195" s="148"/>
      <c r="F195" s="149"/>
      <c r="G195" s="150"/>
      <c r="H195" s="117"/>
      <c r="I195" s="111"/>
      <c r="J195" s="111"/>
      <c r="K195" s="111"/>
      <c r="L195" s="111"/>
      <c r="M195" s="111"/>
      <c r="N195" s="111"/>
    </row>
    <row r="196">
      <c r="A196" s="117"/>
      <c r="B196" s="117"/>
      <c r="C196" s="116"/>
      <c r="D196" s="116"/>
      <c r="E196" s="148"/>
      <c r="F196" s="149"/>
      <c r="G196" s="150"/>
      <c r="H196" s="117"/>
      <c r="I196" s="111"/>
      <c r="J196" s="111"/>
      <c r="K196" s="111"/>
      <c r="L196" s="111"/>
      <c r="M196" s="111"/>
      <c r="N196" s="111"/>
    </row>
    <row r="197">
      <c r="A197" s="117"/>
      <c r="B197" s="117"/>
      <c r="C197" s="116"/>
      <c r="D197" s="116"/>
      <c r="E197" s="148"/>
      <c r="F197" s="149"/>
      <c r="G197" s="150"/>
      <c r="H197" s="117"/>
      <c r="I197" s="111"/>
      <c r="J197" s="111"/>
      <c r="K197" s="111"/>
      <c r="L197" s="111"/>
      <c r="M197" s="111"/>
      <c r="N197" s="111"/>
    </row>
    <row r="198">
      <c r="A198" s="117"/>
      <c r="B198" s="117"/>
      <c r="C198" s="116"/>
      <c r="D198" s="116"/>
      <c r="E198" s="148"/>
      <c r="F198" s="149"/>
      <c r="G198" s="150"/>
      <c r="H198" s="117"/>
      <c r="I198" s="111"/>
      <c r="J198" s="111"/>
      <c r="K198" s="111"/>
      <c r="L198" s="111"/>
      <c r="M198" s="111"/>
      <c r="N198" s="111"/>
    </row>
    <row r="199">
      <c r="A199" s="117"/>
      <c r="B199" s="117"/>
      <c r="C199" s="116"/>
      <c r="D199" s="116"/>
      <c r="E199" s="148"/>
      <c r="F199" s="149"/>
      <c r="G199" s="150"/>
      <c r="H199" s="117"/>
      <c r="I199" s="111"/>
      <c r="J199" s="111"/>
      <c r="K199" s="111"/>
      <c r="L199" s="111"/>
      <c r="M199" s="111"/>
      <c r="N199" s="111"/>
    </row>
    <row r="200">
      <c r="A200" s="117"/>
      <c r="B200" s="117"/>
      <c r="C200" s="116"/>
      <c r="D200" s="116"/>
      <c r="E200" s="148"/>
      <c r="F200" s="149"/>
      <c r="G200" s="150"/>
      <c r="H200" s="117"/>
      <c r="I200" s="111"/>
      <c r="J200" s="111"/>
      <c r="K200" s="111"/>
      <c r="L200" s="111"/>
      <c r="M200" s="111"/>
      <c r="N200" s="111"/>
    </row>
    <row r="201">
      <c r="A201" s="117"/>
      <c r="B201" s="117"/>
      <c r="C201" s="116"/>
      <c r="D201" s="116"/>
      <c r="E201" s="148"/>
      <c r="F201" s="149"/>
      <c r="G201" s="150"/>
      <c r="H201" s="117"/>
      <c r="I201" s="111"/>
      <c r="J201" s="111"/>
      <c r="K201" s="111"/>
      <c r="L201" s="111"/>
      <c r="M201" s="111"/>
      <c r="N201" s="111"/>
    </row>
    <row r="202">
      <c r="A202" s="117"/>
      <c r="B202" s="117"/>
      <c r="C202" s="116"/>
      <c r="D202" s="116"/>
      <c r="E202" s="148"/>
      <c r="F202" s="149"/>
      <c r="G202" s="150"/>
      <c r="H202" s="117"/>
      <c r="I202" s="111"/>
      <c r="J202" s="111"/>
      <c r="K202" s="111"/>
      <c r="L202" s="111"/>
      <c r="M202" s="111"/>
      <c r="N202" s="111"/>
    </row>
    <row r="203">
      <c r="A203" s="117"/>
      <c r="B203" s="117"/>
      <c r="C203" s="116"/>
      <c r="D203" s="116"/>
      <c r="E203" s="148"/>
      <c r="F203" s="149"/>
      <c r="G203" s="150"/>
      <c r="H203" s="117"/>
      <c r="I203" s="111"/>
      <c r="J203" s="111"/>
      <c r="K203" s="111"/>
      <c r="L203" s="111"/>
      <c r="M203" s="111"/>
      <c r="N203" s="111"/>
    </row>
    <row r="204">
      <c r="A204" s="117"/>
      <c r="B204" s="117"/>
      <c r="C204" s="116"/>
      <c r="D204" s="116"/>
      <c r="E204" s="148"/>
      <c r="F204" s="149"/>
      <c r="G204" s="150"/>
      <c r="H204" s="117"/>
      <c r="I204" s="111"/>
      <c r="J204" s="111"/>
      <c r="K204" s="111"/>
      <c r="L204" s="111"/>
      <c r="M204" s="111"/>
      <c r="N204" s="111"/>
    </row>
    <row r="205">
      <c r="A205" s="117"/>
      <c r="B205" s="117"/>
      <c r="C205" s="116"/>
      <c r="D205" s="116"/>
      <c r="E205" s="148"/>
      <c r="F205" s="149"/>
      <c r="G205" s="150"/>
      <c r="H205" s="117"/>
      <c r="I205" s="111"/>
      <c r="J205" s="111"/>
      <c r="K205" s="111"/>
      <c r="L205" s="111"/>
      <c r="M205" s="111"/>
      <c r="N205" s="111"/>
    </row>
    <row r="206">
      <c r="A206" s="117"/>
      <c r="B206" s="117"/>
      <c r="C206" s="116"/>
      <c r="D206" s="116"/>
      <c r="E206" s="148"/>
      <c r="F206" s="149"/>
      <c r="G206" s="150"/>
      <c r="H206" s="117"/>
      <c r="I206" s="111"/>
      <c r="J206" s="111"/>
      <c r="K206" s="111"/>
      <c r="L206" s="111"/>
      <c r="M206" s="111"/>
      <c r="N206" s="111"/>
    </row>
    <row r="207">
      <c r="A207" s="117"/>
      <c r="B207" s="117"/>
      <c r="C207" s="116"/>
      <c r="D207" s="116"/>
      <c r="E207" s="148"/>
      <c r="F207" s="149"/>
      <c r="G207" s="150"/>
      <c r="H207" s="117"/>
      <c r="I207" s="111"/>
      <c r="J207" s="111"/>
      <c r="K207" s="111"/>
      <c r="L207" s="111"/>
      <c r="M207" s="111"/>
      <c r="N207" s="111"/>
    </row>
    <row r="208">
      <c r="A208" s="117"/>
      <c r="B208" s="117"/>
      <c r="C208" s="116"/>
      <c r="D208" s="116"/>
      <c r="E208" s="148"/>
      <c r="F208" s="149"/>
      <c r="G208" s="150"/>
      <c r="H208" s="117"/>
      <c r="I208" s="111"/>
      <c r="J208" s="111"/>
      <c r="K208" s="111"/>
      <c r="L208" s="111"/>
      <c r="M208" s="111"/>
      <c r="N208" s="111"/>
    </row>
    <row r="209">
      <c r="A209" s="117"/>
      <c r="B209" s="117"/>
      <c r="C209" s="116"/>
      <c r="D209" s="116"/>
      <c r="E209" s="148"/>
      <c r="F209" s="149"/>
      <c r="G209" s="150"/>
      <c r="H209" s="117"/>
      <c r="I209" s="111"/>
      <c r="J209" s="111"/>
      <c r="K209" s="111"/>
      <c r="L209" s="111"/>
      <c r="M209" s="111"/>
      <c r="N209" s="111"/>
    </row>
    <row r="210">
      <c r="A210" s="117"/>
      <c r="B210" s="117"/>
      <c r="C210" s="116"/>
      <c r="D210" s="116"/>
      <c r="E210" s="148"/>
      <c r="F210" s="149"/>
      <c r="G210" s="150"/>
      <c r="H210" s="117"/>
      <c r="I210" s="111"/>
      <c r="J210" s="111"/>
      <c r="K210" s="111"/>
      <c r="L210" s="111"/>
      <c r="M210" s="111"/>
      <c r="N210" s="111"/>
    </row>
    <row r="211">
      <c r="A211" s="117"/>
      <c r="B211" s="117"/>
      <c r="C211" s="116"/>
      <c r="D211" s="116"/>
      <c r="E211" s="148"/>
      <c r="F211" s="149"/>
      <c r="G211" s="150"/>
      <c r="H211" s="117"/>
      <c r="I211" s="111"/>
      <c r="J211" s="111"/>
      <c r="K211" s="111"/>
      <c r="L211" s="111"/>
      <c r="M211" s="111"/>
      <c r="N211" s="111"/>
    </row>
    <row r="212">
      <c r="A212" s="117"/>
      <c r="B212" s="117"/>
      <c r="C212" s="116"/>
      <c r="D212" s="116"/>
      <c r="E212" s="148"/>
      <c r="F212" s="149"/>
      <c r="G212" s="150"/>
      <c r="H212" s="117"/>
      <c r="I212" s="111"/>
      <c r="J212" s="111"/>
      <c r="K212" s="111"/>
      <c r="L212" s="111"/>
      <c r="M212" s="111"/>
      <c r="N212" s="111"/>
    </row>
    <row r="213">
      <c r="A213" s="117"/>
      <c r="B213" s="117"/>
      <c r="C213" s="116"/>
      <c r="D213" s="116"/>
      <c r="E213" s="148"/>
      <c r="F213" s="149"/>
      <c r="G213" s="150"/>
      <c r="H213" s="117"/>
      <c r="I213" s="111"/>
      <c r="J213" s="111"/>
      <c r="K213" s="111"/>
      <c r="L213" s="111"/>
      <c r="M213" s="111"/>
      <c r="N213" s="111"/>
    </row>
    <row r="214">
      <c r="A214" s="117"/>
      <c r="B214" s="117"/>
      <c r="C214" s="116"/>
      <c r="D214" s="116"/>
      <c r="E214" s="148"/>
      <c r="F214" s="149"/>
      <c r="G214" s="150"/>
      <c r="H214" s="117"/>
      <c r="I214" s="111"/>
      <c r="J214" s="111"/>
      <c r="K214" s="111"/>
      <c r="L214" s="111"/>
      <c r="M214" s="111"/>
      <c r="N214" s="111"/>
    </row>
    <row r="215">
      <c r="A215" s="117"/>
      <c r="B215" s="117"/>
      <c r="C215" s="116"/>
      <c r="D215" s="116"/>
      <c r="E215" s="148"/>
      <c r="F215" s="149"/>
      <c r="G215" s="150"/>
      <c r="H215" s="117"/>
      <c r="I215" s="111"/>
      <c r="J215" s="111"/>
      <c r="K215" s="111"/>
      <c r="L215" s="111"/>
      <c r="M215" s="111"/>
      <c r="N215" s="111"/>
    </row>
    <row r="216">
      <c r="A216" s="117"/>
      <c r="B216" s="117"/>
      <c r="C216" s="116"/>
      <c r="D216" s="116"/>
      <c r="E216" s="148"/>
      <c r="F216" s="149"/>
      <c r="G216" s="150"/>
      <c r="H216" s="117"/>
      <c r="I216" s="111"/>
      <c r="J216" s="111"/>
      <c r="K216" s="111"/>
      <c r="L216" s="111"/>
      <c r="M216" s="111"/>
      <c r="N216" s="111"/>
    </row>
    <row r="217">
      <c r="A217" s="117"/>
      <c r="B217" s="117"/>
      <c r="C217" s="116"/>
      <c r="D217" s="116"/>
      <c r="E217" s="148"/>
      <c r="F217" s="149"/>
      <c r="G217" s="150"/>
      <c r="H217" s="117"/>
      <c r="I217" s="111"/>
      <c r="J217" s="111"/>
      <c r="K217" s="111"/>
      <c r="L217" s="111"/>
      <c r="M217" s="111"/>
      <c r="N217" s="111"/>
    </row>
    <row r="218">
      <c r="A218" s="117"/>
      <c r="B218" s="117"/>
      <c r="C218" s="116"/>
      <c r="D218" s="116"/>
      <c r="E218" s="148"/>
      <c r="F218" s="149"/>
      <c r="G218" s="150"/>
      <c r="H218" s="117"/>
      <c r="I218" s="111"/>
      <c r="J218" s="111"/>
      <c r="K218" s="111"/>
      <c r="L218" s="111"/>
      <c r="M218" s="111"/>
      <c r="N218" s="111"/>
    </row>
    <row r="219">
      <c r="A219" s="117"/>
      <c r="B219" s="117"/>
      <c r="C219" s="116"/>
      <c r="D219" s="116"/>
      <c r="E219" s="148"/>
      <c r="F219" s="149"/>
      <c r="G219" s="150"/>
      <c r="H219" s="117"/>
      <c r="I219" s="111"/>
      <c r="J219" s="111"/>
      <c r="K219" s="111"/>
      <c r="L219" s="111"/>
      <c r="M219" s="111"/>
      <c r="N219" s="111"/>
    </row>
    <row r="220">
      <c r="A220" s="117"/>
      <c r="B220" s="117"/>
      <c r="C220" s="116"/>
      <c r="D220" s="116"/>
      <c r="E220" s="148"/>
      <c r="F220" s="149"/>
      <c r="G220" s="150"/>
      <c r="H220" s="117"/>
      <c r="I220" s="111"/>
      <c r="J220" s="111"/>
      <c r="K220" s="111"/>
      <c r="L220" s="111"/>
      <c r="M220" s="111"/>
      <c r="N220" s="111"/>
    </row>
    <row r="221">
      <c r="A221" s="117"/>
      <c r="B221" s="117"/>
      <c r="C221" s="116"/>
      <c r="D221" s="116"/>
      <c r="E221" s="148"/>
      <c r="F221" s="149"/>
      <c r="G221" s="150"/>
      <c r="H221" s="117"/>
      <c r="I221" s="111"/>
      <c r="J221" s="111"/>
      <c r="K221" s="111"/>
      <c r="L221" s="111"/>
      <c r="M221" s="111"/>
      <c r="N221" s="111"/>
    </row>
    <row r="222">
      <c r="A222" s="117"/>
      <c r="B222" s="117"/>
      <c r="C222" s="116"/>
      <c r="D222" s="116"/>
      <c r="E222" s="148"/>
      <c r="F222" s="149"/>
      <c r="G222" s="150"/>
      <c r="H222" s="117"/>
      <c r="I222" s="111"/>
      <c r="J222" s="111"/>
      <c r="K222" s="111"/>
      <c r="L222" s="111"/>
      <c r="M222" s="111"/>
      <c r="N222" s="111"/>
    </row>
    <row r="223">
      <c r="A223" s="117"/>
      <c r="B223" s="117"/>
      <c r="C223" s="116"/>
      <c r="D223" s="116"/>
      <c r="E223" s="148"/>
      <c r="F223" s="149"/>
      <c r="G223" s="150"/>
      <c r="H223" s="117"/>
      <c r="I223" s="111"/>
      <c r="J223" s="111"/>
      <c r="K223" s="111"/>
      <c r="L223" s="111"/>
      <c r="M223" s="111"/>
      <c r="N223" s="111"/>
    </row>
    <row r="224">
      <c r="A224" s="117"/>
      <c r="B224" s="117"/>
      <c r="C224" s="116"/>
      <c r="D224" s="116"/>
      <c r="E224" s="148"/>
      <c r="F224" s="149"/>
      <c r="G224" s="150"/>
      <c r="H224" s="117"/>
      <c r="I224" s="111"/>
      <c r="J224" s="111"/>
      <c r="K224" s="111"/>
      <c r="L224" s="111"/>
      <c r="M224" s="111"/>
      <c r="N224" s="111"/>
    </row>
    <row r="225">
      <c r="A225" s="117"/>
      <c r="B225" s="117"/>
      <c r="C225" s="116"/>
      <c r="D225" s="116"/>
      <c r="E225" s="148"/>
      <c r="F225" s="149"/>
      <c r="G225" s="150"/>
      <c r="H225" s="117"/>
      <c r="I225" s="111"/>
      <c r="J225" s="111"/>
      <c r="K225" s="111"/>
      <c r="L225" s="111"/>
      <c r="M225" s="111"/>
      <c r="N225" s="111"/>
    </row>
    <row r="226">
      <c r="A226" s="117"/>
      <c r="B226" s="117"/>
      <c r="C226" s="116"/>
      <c r="D226" s="116"/>
      <c r="E226" s="148"/>
      <c r="F226" s="149"/>
      <c r="G226" s="150"/>
      <c r="H226" s="117"/>
      <c r="I226" s="111"/>
      <c r="J226" s="111"/>
      <c r="K226" s="111"/>
      <c r="L226" s="111"/>
      <c r="M226" s="111"/>
      <c r="N226" s="111"/>
    </row>
    <row r="227">
      <c r="A227" s="117"/>
      <c r="B227" s="117"/>
      <c r="C227" s="116"/>
      <c r="D227" s="116"/>
      <c r="E227" s="148"/>
      <c r="F227" s="149"/>
      <c r="G227" s="150"/>
      <c r="H227" s="117"/>
      <c r="I227" s="111"/>
      <c r="J227" s="111"/>
      <c r="K227" s="111"/>
      <c r="L227" s="111"/>
      <c r="M227" s="111"/>
      <c r="N227" s="111"/>
    </row>
    <row r="228">
      <c r="A228" s="117"/>
      <c r="B228" s="117"/>
      <c r="C228" s="116"/>
      <c r="D228" s="116"/>
      <c r="E228" s="148"/>
      <c r="F228" s="149"/>
      <c r="G228" s="150"/>
      <c r="H228" s="117"/>
      <c r="I228" s="111"/>
      <c r="J228" s="111"/>
      <c r="K228" s="111"/>
      <c r="L228" s="111"/>
      <c r="M228" s="111"/>
      <c r="N228" s="111"/>
    </row>
    <row r="229">
      <c r="A229" s="117"/>
      <c r="B229" s="117"/>
      <c r="C229" s="116"/>
      <c r="D229" s="116"/>
      <c r="E229" s="148"/>
      <c r="F229" s="149"/>
      <c r="G229" s="150"/>
      <c r="H229" s="117"/>
      <c r="I229" s="111"/>
      <c r="J229" s="111"/>
      <c r="K229" s="111"/>
      <c r="L229" s="111"/>
      <c r="M229" s="111"/>
      <c r="N229" s="111"/>
    </row>
    <row r="230">
      <c r="A230" s="117"/>
      <c r="B230" s="117"/>
      <c r="C230" s="116"/>
      <c r="D230" s="116"/>
      <c r="E230" s="148"/>
      <c r="F230" s="149"/>
      <c r="G230" s="150"/>
      <c r="H230" s="117"/>
      <c r="I230" s="111"/>
      <c r="J230" s="111"/>
      <c r="K230" s="111"/>
      <c r="L230" s="111"/>
      <c r="M230" s="111"/>
      <c r="N230" s="111"/>
    </row>
    <row r="231">
      <c r="A231" s="117"/>
      <c r="B231" s="117"/>
      <c r="C231" s="116"/>
      <c r="D231" s="116"/>
      <c r="E231" s="148"/>
      <c r="F231" s="149"/>
      <c r="G231" s="150"/>
      <c r="H231" s="117"/>
      <c r="I231" s="111"/>
      <c r="J231" s="111"/>
      <c r="K231" s="111"/>
      <c r="L231" s="111"/>
      <c r="M231" s="111"/>
      <c r="N231" s="111"/>
    </row>
    <row r="232">
      <c r="A232" s="117"/>
      <c r="B232" s="117"/>
      <c r="C232" s="116"/>
      <c r="D232" s="116"/>
      <c r="E232" s="148"/>
      <c r="F232" s="149"/>
      <c r="G232" s="150"/>
      <c r="H232" s="117"/>
      <c r="I232" s="111"/>
      <c r="J232" s="111"/>
      <c r="K232" s="111"/>
      <c r="L232" s="111"/>
      <c r="M232" s="111"/>
      <c r="N232" s="111"/>
    </row>
    <row r="233">
      <c r="A233" s="117"/>
      <c r="B233" s="117"/>
      <c r="C233" s="116"/>
      <c r="D233" s="116"/>
      <c r="E233" s="148"/>
      <c r="F233" s="149"/>
      <c r="G233" s="150"/>
      <c r="H233" s="117"/>
      <c r="I233" s="111"/>
      <c r="J233" s="111"/>
      <c r="K233" s="111"/>
      <c r="L233" s="111"/>
      <c r="M233" s="111"/>
      <c r="N233" s="111"/>
    </row>
    <row r="234">
      <c r="A234" s="117"/>
      <c r="B234" s="117"/>
      <c r="C234" s="116"/>
      <c r="D234" s="116"/>
      <c r="E234" s="148"/>
      <c r="F234" s="149"/>
      <c r="G234" s="150"/>
      <c r="H234" s="117"/>
      <c r="I234" s="111"/>
      <c r="J234" s="111"/>
      <c r="K234" s="111"/>
      <c r="L234" s="111"/>
      <c r="M234" s="111"/>
      <c r="N234" s="111"/>
    </row>
    <row r="235">
      <c r="A235" s="117"/>
      <c r="B235" s="117"/>
      <c r="C235" s="116"/>
      <c r="D235" s="116"/>
      <c r="E235" s="148"/>
      <c r="F235" s="149"/>
      <c r="G235" s="150"/>
      <c r="H235" s="117"/>
      <c r="I235" s="111"/>
      <c r="J235" s="111"/>
      <c r="K235" s="111"/>
      <c r="L235" s="111"/>
      <c r="M235" s="111"/>
      <c r="N235" s="111"/>
    </row>
    <row r="236">
      <c r="A236" s="117"/>
      <c r="B236" s="117"/>
      <c r="C236" s="116"/>
      <c r="D236" s="116"/>
      <c r="E236" s="148"/>
      <c r="F236" s="149"/>
      <c r="G236" s="150"/>
      <c r="H236" s="117"/>
      <c r="I236" s="111"/>
      <c r="J236" s="111"/>
      <c r="K236" s="111"/>
      <c r="L236" s="111"/>
      <c r="M236" s="111"/>
      <c r="N236" s="111"/>
    </row>
    <row r="237">
      <c r="A237" s="117"/>
      <c r="B237" s="117"/>
      <c r="C237" s="116"/>
      <c r="D237" s="116"/>
      <c r="E237" s="148"/>
      <c r="F237" s="149"/>
      <c r="G237" s="150"/>
      <c r="H237" s="117"/>
      <c r="I237" s="111"/>
      <c r="J237" s="111"/>
      <c r="K237" s="111"/>
      <c r="L237" s="111"/>
      <c r="M237" s="111"/>
      <c r="N237" s="111"/>
    </row>
    <row r="238">
      <c r="A238" s="117"/>
      <c r="B238" s="117"/>
      <c r="C238" s="116"/>
      <c r="D238" s="116"/>
      <c r="E238" s="148"/>
      <c r="F238" s="149"/>
      <c r="G238" s="150"/>
      <c r="H238" s="117"/>
      <c r="I238" s="111"/>
      <c r="J238" s="111"/>
      <c r="K238" s="111"/>
      <c r="L238" s="111"/>
      <c r="M238" s="111"/>
      <c r="N238" s="111"/>
    </row>
    <row r="239">
      <c r="A239" s="117"/>
      <c r="B239" s="117"/>
      <c r="C239" s="116"/>
      <c r="D239" s="116"/>
      <c r="E239" s="148"/>
      <c r="F239" s="149"/>
      <c r="G239" s="150"/>
      <c r="H239" s="117"/>
      <c r="I239" s="111"/>
      <c r="J239" s="111"/>
      <c r="K239" s="111"/>
      <c r="L239" s="111"/>
      <c r="M239" s="111"/>
      <c r="N239" s="111"/>
    </row>
    <row r="240">
      <c r="A240" s="117"/>
      <c r="B240" s="117"/>
      <c r="C240" s="116"/>
      <c r="D240" s="116"/>
      <c r="E240" s="148"/>
      <c r="F240" s="149"/>
      <c r="G240" s="150"/>
      <c r="H240" s="117"/>
      <c r="I240" s="111"/>
      <c r="J240" s="111"/>
      <c r="K240" s="111"/>
      <c r="L240" s="111"/>
      <c r="M240" s="111"/>
      <c r="N240" s="111"/>
    </row>
    <row r="241">
      <c r="A241" s="117"/>
      <c r="B241" s="117"/>
      <c r="C241" s="116"/>
      <c r="D241" s="116"/>
      <c r="E241" s="148"/>
      <c r="F241" s="149"/>
      <c r="G241" s="150"/>
      <c r="H241" s="117"/>
      <c r="I241" s="111"/>
      <c r="J241" s="111"/>
      <c r="K241" s="111"/>
      <c r="L241" s="111"/>
      <c r="M241" s="111"/>
      <c r="N241" s="111"/>
    </row>
    <row r="242">
      <c r="A242" s="117"/>
      <c r="B242" s="117"/>
      <c r="C242" s="116"/>
      <c r="D242" s="116"/>
      <c r="E242" s="148"/>
      <c r="F242" s="149"/>
      <c r="G242" s="150"/>
      <c r="H242" s="117"/>
      <c r="I242" s="111"/>
      <c r="J242" s="111"/>
      <c r="K242" s="111"/>
      <c r="L242" s="111"/>
      <c r="M242" s="111"/>
      <c r="N242" s="111"/>
    </row>
    <row r="243">
      <c r="A243" s="117"/>
      <c r="B243" s="117"/>
      <c r="C243" s="116"/>
      <c r="D243" s="116"/>
      <c r="E243" s="148"/>
      <c r="F243" s="149"/>
      <c r="G243" s="150"/>
      <c r="H243" s="117"/>
      <c r="I243" s="111"/>
      <c r="J243" s="111"/>
      <c r="K243" s="111"/>
      <c r="L243" s="111"/>
      <c r="M243" s="111"/>
      <c r="N243" s="111"/>
    </row>
    <row r="244">
      <c r="A244" s="117"/>
      <c r="B244" s="117"/>
      <c r="C244" s="116"/>
      <c r="D244" s="116"/>
      <c r="E244" s="148"/>
      <c r="F244" s="149"/>
      <c r="G244" s="150"/>
      <c r="H244" s="117"/>
      <c r="I244" s="111"/>
      <c r="J244" s="111"/>
      <c r="K244" s="111"/>
      <c r="L244" s="111"/>
      <c r="M244" s="111"/>
      <c r="N244" s="111"/>
    </row>
    <row r="245">
      <c r="A245" s="117"/>
      <c r="B245" s="117"/>
      <c r="C245" s="116"/>
      <c r="D245" s="116"/>
      <c r="E245" s="148"/>
      <c r="F245" s="149"/>
      <c r="G245" s="150"/>
      <c r="H245" s="117"/>
      <c r="I245" s="111"/>
      <c r="J245" s="111"/>
      <c r="K245" s="111"/>
      <c r="L245" s="111"/>
      <c r="M245" s="111"/>
      <c r="N245" s="111"/>
    </row>
    <row r="246">
      <c r="A246" s="117"/>
      <c r="B246" s="117"/>
      <c r="C246" s="116"/>
      <c r="D246" s="116"/>
      <c r="E246" s="148"/>
      <c r="F246" s="149"/>
      <c r="G246" s="150"/>
      <c r="H246" s="117"/>
      <c r="I246" s="111"/>
      <c r="J246" s="111"/>
      <c r="K246" s="111"/>
      <c r="L246" s="111"/>
      <c r="M246" s="111"/>
      <c r="N246" s="111"/>
    </row>
    <row r="247">
      <c r="A247" s="117"/>
      <c r="B247" s="117"/>
      <c r="C247" s="116"/>
      <c r="D247" s="116"/>
      <c r="E247" s="148"/>
      <c r="F247" s="149"/>
      <c r="G247" s="150"/>
      <c r="H247" s="117"/>
      <c r="I247" s="111"/>
      <c r="J247" s="111"/>
      <c r="K247" s="111"/>
      <c r="L247" s="111"/>
      <c r="M247" s="111"/>
      <c r="N247" s="111"/>
    </row>
    <row r="248">
      <c r="A248" s="117"/>
      <c r="B248" s="117"/>
      <c r="C248" s="116"/>
      <c r="D248" s="116"/>
      <c r="E248" s="148"/>
      <c r="F248" s="149"/>
      <c r="G248" s="150"/>
      <c r="H248" s="117"/>
      <c r="I248" s="111"/>
      <c r="J248" s="111"/>
      <c r="K248" s="111"/>
      <c r="L248" s="111"/>
      <c r="M248" s="111"/>
      <c r="N248" s="111"/>
    </row>
    <row r="249">
      <c r="A249" s="117"/>
      <c r="B249" s="117"/>
      <c r="C249" s="116"/>
      <c r="D249" s="116"/>
      <c r="E249" s="148"/>
      <c r="F249" s="149"/>
      <c r="G249" s="150"/>
      <c r="H249" s="117"/>
      <c r="I249" s="111"/>
      <c r="J249" s="111"/>
      <c r="K249" s="111"/>
      <c r="L249" s="111"/>
      <c r="M249" s="111"/>
      <c r="N249" s="111"/>
    </row>
    <row r="250">
      <c r="A250" s="117"/>
      <c r="B250" s="117"/>
      <c r="C250" s="116"/>
      <c r="D250" s="116"/>
      <c r="E250" s="148"/>
      <c r="F250" s="149"/>
      <c r="G250" s="150"/>
      <c r="H250" s="117"/>
      <c r="I250" s="111"/>
      <c r="J250" s="111"/>
      <c r="K250" s="111"/>
      <c r="L250" s="111"/>
      <c r="M250" s="111"/>
      <c r="N250" s="111"/>
    </row>
    <row r="251">
      <c r="A251" s="117"/>
      <c r="B251" s="117"/>
      <c r="C251" s="116"/>
      <c r="D251" s="116"/>
      <c r="E251" s="148"/>
      <c r="F251" s="149"/>
      <c r="G251" s="150"/>
      <c r="H251" s="117"/>
      <c r="I251" s="111"/>
      <c r="J251" s="111"/>
      <c r="K251" s="111"/>
      <c r="L251" s="111"/>
      <c r="M251" s="111"/>
      <c r="N251" s="111"/>
    </row>
    <row r="252">
      <c r="A252" s="117"/>
      <c r="B252" s="117"/>
      <c r="C252" s="116"/>
      <c r="D252" s="116"/>
      <c r="E252" s="148"/>
      <c r="F252" s="149"/>
      <c r="G252" s="150"/>
      <c r="H252" s="117"/>
      <c r="I252" s="111"/>
      <c r="J252" s="111"/>
      <c r="K252" s="111"/>
      <c r="L252" s="111"/>
      <c r="M252" s="111"/>
      <c r="N252" s="111"/>
    </row>
    <row r="253">
      <c r="A253" s="117"/>
      <c r="B253" s="117"/>
      <c r="C253" s="116"/>
      <c r="D253" s="116"/>
      <c r="E253" s="148"/>
      <c r="F253" s="149"/>
      <c r="G253" s="150"/>
      <c r="H253" s="117"/>
      <c r="I253" s="111"/>
      <c r="J253" s="111"/>
      <c r="K253" s="111"/>
      <c r="L253" s="111"/>
      <c r="M253" s="111"/>
      <c r="N253" s="111"/>
    </row>
    <row r="254">
      <c r="A254" s="117"/>
      <c r="B254" s="117"/>
      <c r="C254" s="116"/>
      <c r="D254" s="116"/>
      <c r="E254" s="148"/>
      <c r="F254" s="149"/>
      <c r="G254" s="150"/>
      <c r="H254" s="117"/>
      <c r="I254" s="111"/>
      <c r="J254" s="111"/>
      <c r="K254" s="111"/>
      <c r="L254" s="111"/>
      <c r="M254" s="111"/>
      <c r="N254" s="111"/>
    </row>
    <row r="255">
      <c r="A255" s="117"/>
      <c r="B255" s="117"/>
      <c r="C255" s="116"/>
      <c r="D255" s="116"/>
      <c r="E255" s="148"/>
      <c r="F255" s="149"/>
      <c r="G255" s="150"/>
      <c r="H255" s="117"/>
      <c r="I255" s="111"/>
      <c r="J255" s="111"/>
      <c r="K255" s="111"/>
      <c r="L255" s="111"/>
      <c r="M255" s="111"/>
      <c r="N255" s="111"/>
    </row>
    <row r="256">
      <c r="A256" s="117"/>
      <c r="B256" s="117"/>
      <c r="C256" s="116"/>
      <c r="D256" s="116"/>
      <c r="E256" s="148"/>
      <c r="F256" s="149"/>
      <c r="G256" s="150"/>
      <c r="H256" s="117"/>
      <c r="I256" s="111"/>
      <c r="J256" s="111"/>
      <c r="K256" s="111"/>
      <c r="L256" s="111"/>
      <c r="M256" s="111"/>
      <c r="N256" s="111"/>
    </row>
    <row r="257">
      <c r="A257" s="117"/>
      <c r="B257" s="117"/>
      <c r="C257" s="116"/>
      <c r="D257" s="116"/>
      <c r="E257" s="148"/>
      <c r="F257" s="149"/>
      <c r="G257" s="150"/>
      <c r="H257" s="117"/>
      <c r="I257" s="111"/>
      <c r="J257" s="111"/>
      <c r="K257" s="111"/>
      <c r="L257" s="111"/>
      <c r="M257" s="111"/>
      <c r="N257" s="111"/>
    </row>
    <row r="258">
      <c r="A258" s="117"/>
      <c r="B258" s="117"/>
      <c r="C258" s="116"/>
      <c r="D258" s="116"/>
      <c r="E258" s="148"/>
      <c r="F258" s="149"/>
      <c r="G258" s="150"/>
      <c r="H258" s="117"/>
      <c r="I258" s="111"/>
      <c r="J258" s="111"/>
      <c r="K258" s="111"/>
      <c r="L258" s="111"/>
      <c r="M258" s="111"/>
      <c r="N258" s="111"/>
    </row>
    <row r="259">
      <c r="A259" s="117"/>
      <c r="B259" s="117"/>
      <c r="C259" s="116"/>
      <c r="D259" s="116"/>
      <c r="E259" s="148"/>
      <c r="F259" s="149"/>
      <c r="G259" s="150"/>
      <c r="H259" s="117"/>
      <c r="I259" s="111"/>
      <c r="J259" s="111"/>
      <c r="K259" s="111"/>
      <c r="L259" s="111"/>
      <c r="M259" s="111"/>
      <c r="N259" s="111"/>
    </row>
    <row r="260">
      <c r="A260" s="117"/>
      <c r="B260" s="117"/>
      <c r="C260" s="116"/>
      <c r="D260" s="116"/>
      <c r="E260" s="148"/>
      <c r="F260" s="149"/>
      <c r="G260" s="150"/>
      <c r="H260" s="117"/>
      <c r="I260" s="111"/>
      <c r="J260" s="111"/>
      <c r="K260" s="111"/>
      <c r="L260" s="111"/>
      <c r="M260" s="111"/>
      <c r="N260" s="111"/>
    </row>
    <row r="261">
      <c r="A261" s="117"/>
      <c r="B261" s="117"/>
      <c r="C261" s="116"/>
      <c r="D261" s="116"/>
      <c r="E261" s="148"/>
      <c r="F261" s="149"/>
      <c r="G261" s="150"/>
      <c r="H261" s="117"/>
      <c r="I261" s="111"/>
      <c r="J261" s="111"/>
      <c r="K261" s="111"/>
      <c r="L261" s="111"/>
      <c r="M261" s="111"/>
      <c r="N261" s="111"/>
    </row>
    <row r="262">
      <c r="A262" s="117"/>
      <c r="B262" s="117"/>
      <c r="C262" s="116"/>
      <c r="D262" s="116"/>
      <c r="E262" s="148"/>
      <c r="F262" s="149"/>
      <c r="G262" s="150"/>
      <c r="H262" s="117"/>
      <c r="I262" s="111"/>
      <c r="J262" s="111"/>
      <c r="K262" s="111"/>
      <c r="L262" s="111"/>
      <c r="M262" s="111"/>
      <c r="N262" s="111"/>
    </row>
    <row r="263">
      <c r="A263" s="117"/>
      <c r="B263" s="117"/>
      <c r="C263" s="116"/>
      <c r="D263" s="116"/>
      <c r="E263" s="148"/>
      <c r="F263" s="149"/>
      <c r="G263" s="150"/>
      <c r="H263" s="117"/>
      <c r="I263" s="111"/>
      <c r="J263" s="111"/>
      <c r="K263" s="111"/>
      <c r="L263" s="111"/>
      <c r="M263" s="111"/>
      <c r="N263" s="111"/>
    </row>
    <row r="264">
      <c r="A264" s="117"/>
      <c r="B264" s="117"/>
      <c r="C264" s="116"/>
      <c r="D264" s="116"/>
      <c r="E264" s="148"/>
      <c r="F264" s="149"/>
      <c r="G264" s="150"/>
      <c r="H264" s="117"/>
      <c r="I264" s="111"/>
      <c r="J264" s="111"/>
      <c r="K264" s="111"/>
      <c r="L264" s="111"/>
      <c r="M264" s="111"/>
      <c r="N264" s="111"/>
    </row>
    <row r="265">
      <c r="A265" s="117"/>
      <c r="B265" s="117"/>
      <c r="C265" s="116"/>
      <c r="D265" s="116"/>
      <c r="E265" s="148"/>
      <c r="F265" s="149"/>
      <c r="G265" s="150"/>
      <c r="H265" s="117"/>
      <c r="I265" s="111"/>
      <c r="J265" s="111"/>
      <c r="K265" s="111"/>
      <c r="L265" s="111"/>
      <c r="M265" s="111"/>
      <c r="N265" s="111"/>
    </row>
    <row r="266">
      <c r="A266" s="117"/>
      <c r="B266" s="117"/>
      <c r="C266" s="116"/>
      <c r="D266" s="116"/>
      <c r="E266" s="148"/>
      <c r="F266" s="149"/>
      <c r="G266" s="150"/>
      <c r="H266" s="117"/>
      <c r="I266" s="111"/>
      <c r="J266" s="111"/>
      <c r="K266" s="111"/>
      <c r="L266" s="111"/>
      <c r="M266" s="111"/>
      <c r="N266" s="111"/>
    </row>
    <row r="267">
      <c r="A267" s="117"/>
      <c r="B267" s="117"/>
      <c r="C267" s="116"/>
      <c r="D267" s="116"/>
      <c r="E267" s="148"/>
      <c r="F267" s="149"/>
      <c r="G267" s="150"/>
      <c r="H267" s="117"/>
      <c r="I267" s="111"/>
      <c r="J267" s="111"/>
      <c r="K267" s="111"/>
      <c r="L267" s="111"/>
      <c r="M267" s="111"/>
      <c r="N267" s="111"/>
    </row>
    <row r="268">
      <c r="A268" s="117"/>
      <c r="B268" s="117"/>
      <c r="C268" s="116"/>
      <c r="D268" s="116"/>
      <c r="E268" s="148"/>
      <c r="F268" s="149"/>
      <c r="G268" s="150"/>
      <c r="H268" s="117"/>
      <c r="I268" s="111"/>
      <c r="J268" s="111"/>
      <c r="K268" s="111"/>
      <c r="L268" s="111"/>
      <c r="M268" s="111"/>
      <c r="N268" s="111"/>
    </row>
    <row r="269">
      <c r="A269" s="117"/>
      <c r="B269" s="117"/>
      <c r="C269" s="116"/>
      <c r="D269" s="116"/>
      <c r="E269" s="148"/>
      <c r="F269" s="149"/>
      <c r="G269" s="150"/>
      <c r="H269" s="117"/>
      <c r="I269" s="111"/>
      <c r="J269" s="111"/>
      <c r="K269" s="111"/>
      <c r="L269" s="111"/>
      <c r="M269" s="111"/>
      <c r="N269" s="111"/>
    </row>
    <row r="270">
      <c r="A270" s="117"/>
      <c r="B270" s="117"/>
      <c r="C270" s="116"/>
      <c r="D270" s="116"/>
      <c r="E270" s="148"/>
      <c r="F270" s="149"/>
      <c r="G270" s="150"/>
      <c r="H270" s="117"/>
      <c r="I270" s="111"/>
      <c r="J270" s="111"/>
      <c r="K270" s="111"/>
      <c r="L270" s="111"/>
      <c r="M270" s="111"/>
      <c r="N270" s="111"/>
    </row>
    <row r="271">
      <c r="A271" s="117"/>
      <c r="B271" s="117"/>
      <c r="C271" s="116"/>
      <c r="D271" s="116"/>
      <c r="E271" s="148"/>
      <c r="F271" s="149"/>
      <c r="G271" s="150"/>
      <c r="H271" s="117"/>
      <c r="I271" s="111"/>
      <c r="J271" s="111"/>
      <c r="K271" s="111"/>
      <c r="L271" s="111"/>
      <c r="M271" s="111"/>
      <c r="N271" s="111"/>
    </row>
    <row r="272">
      <c r="A272" s="117"/>
      <c r="B272" s="117"/>
      <c r="C272" s="116"/>
      <c r="D272" s="116"/>
      <c r="E272" s="148"/>
      <c r="F272" s="149"/>
      <c r="G272" s="150"/>
      <c r="H272" s="117"/>
      <c r="I272" s="111"/>
      <c r="J272" s="111"/>
      <c r="K272" s="111"/>
      <c r="L272" s="111"/>
      <c r="M272" s="111"/>
      <c r="N272" s="111"/>
    </row>
    <row r="273">
      <c r="A273" s="117"/>
      <c r="B273" s="117"/>
      <c r="C273" s="116"/>
      <c r="D273" s="116"/>
      <c r="E273" s="148"/>
      <c r="F273" s="149"/>
      <c r="G273" s="150"/>
      <c r="H273" s="117"/>
      <c r="I273" s="111"/>
      <c r="J273" s="111"/>
      <c r="K273" s="111"/>
      <c r="L273" s="111"/>
      <c r="M273" s="111"/>
      <c r="N273" s="111"/>
    </row>
    <row r="274">
      <c r="A274" s="117"/>
      <c r="B274" s="117"/>
      <c r="C274" s="116"/>
      <c r="D274" s="116"/>
      <c r="E274" s="148"/>
      <c r="F274" s="149"/>
      <c r="G274" s="150"/>
      <c r="H274" s="117"/>
      <c r="I274" s="111"/>
      <c r="J274" s="111"/>
      <c r="K274" s="111"/>
      <c r="L274" s="111"/>
      <c r="M274" s="111"/>
      <c r="N274" s="111"/>
    </row>
    <row r="275">
      <c r="A275" s="117"/>
      <c r="B275" s="117"/>
      <c r="C275" s="116"/>
      <c r="D275" s="116"/>
      <c r="E275" s="148"/>
      <c r="F275" s="149"/>
      <c r="G275" s="150"/>
      <c r="H275" s="117"/>
      <c r="I275" s="111"/>
      <c r="J275" s="111"/>
      <c r="K275" s="111"/>
      <c r="L275" s="111"/>
      <c r="M275" s="111"/>
      <c r="N275" s="111"/>
    </row>
    <row r="276">
      <c r="A276" s="117"/>
      <c r="B276" s="117"/>
      <c r="C276" s="116"/>
      <c r="D276" s="116"/>
      <c r="E276" s="148"/>
      <c r="F276" s="149"/>
      <c r="G276" s="150"/>
      <c r="H276" s="117"/>
      <c r="I276" s="111"/>
      <c r="J276" s="111"/>
      <c r="K276" s="111"/>
      <c r="L276" s="111"/>
      <c r="M276" s="111"/>
      <c r="N276" s="111"/>
    </row>
    <row r="277">
      <c r="A277" s="117"/>
      <c r="B277" s="117"/>
      <c r="C277" s="116"/>
      <c r="D277" s="116"/>
      <c r="E277" s="148"/>
      <c r="F277" s="149"/>
      <c r="G277" s="150"/>
      <c r="H277" s="117"/>
      <c r="I277" s="111"/>
      <c r="J277" s="111"/>
      <c r="K277" s="111"/>
      <c r="L277" s="111"/>
      <c r="M277" s="111"/>
      <c r="N277" s="111"/>
    </row>
    <row r="278">
      <c r="A278" s="117"/>
      <c r="B278" s="117"/>
      <c r="C278" s="116"/>
      <c r="D278" s="116"/>
      <c r="E278" s="148"/>
      <c r="F278" s="149"/>
      <c r="G278" s="150"/>
      <c r="H278" s="117"/>
      <c r="I278" s="111"/>
      <c r="J278" s="111"/>
      <c r="K278" s="111"/>
      <c r="L278" s="111"/>
      <c r="M278" s="111"/>
      <c r="N278" s="111"/>
    </row>
    <row r="279">
      <c r="A279" s="117"/>
      <c r="B279" s="117"/>
      <c r="C279" s="116"/>
      <c r="D279" s="116"/>
      <c r="E279" s="148"/>
      <c r="F279" s="149"/>
      <c r="G279" s="150"/>
      <c r="H279" s="117"/>
      <c r="I279" s="111"/>
      <c r="J279" s="111"/>
      <c r="K279" s="111"/>
      <c r="L279" s="111"/>
      <c r="M279" s="111"/>
      <c r="N279" s="111"/>
    </row>
    <row r="280">
      <c r="A280" s="117"/>
      <c r="B280" s="117"/>
      <c r="C280" s="116"/>
      <c r="D280" s="116"/>
      <c r="E280" s="148"/>
      <c r="F280" s="149"/>
      <c r="G280" s="150"/>
      <c r="H280" s="117"/>
      <c r="I280" s="111"/>
      <c r="J280" s="111"/>
      <c r="K280" s="111"/>
      <c r="L280" s="111"/>
      <c r="M280" s="111"/>
      <c r="N280" s="111"/>
    </row>
    <row r="281">
      <c r="A281" s="117"/>
      <c r="B281" s="117"/>
      <c r="C281" s="116"/>
      <c r="D281" s="116"/>
      <c r="E281" s="148"/>
      <c r="F281" s="149"/>
      <c r="G281" s="150"/>
      <c r="H281" s="117"/>
      <c r="I281" s="111"/>
      <c r="J281" s="111"/>
      <c r="K281" s="111"/>
      <c r="L281" s="111"/>
      <c r="M281" s="111"/>
      <c r="N281" s="111"/>
    </row>
    <row r="282">
      <c r="A282" s="117"/>
      <c r="B282" s="117"/>
      <c r="C282" s="116"/>
      <c r="D282" s="116"/>
      <c r="E282" s="148"/>
      <c r="F282" s="149"/>
      <c r="G282" s="150"/>
      <c r="H282" s="117"/>
      <c r="I282" s="111"/>
      <c r="J282" s="111"/>
      <c r="K282" s="111"/>
      <c r="L282" s="111"/>
      <c r="M282" s="111"/>
      <c r="N282" s="111"/>
    </row>
    <row r="283">
      <c r="A283" s="117"/>
      <c r="B283" s="117"/>
      <c r="C283" s="116"/>
      <c r="D283" s="116"/>
      <c r="E283" s="148"/>
      <c r="F283" s="149"/>
      <c r="G283" s="150"/>
      <c r="H283" s="117"/>
      <c r="I283" s="111"/>
      <c r="J283" s="111"/>
      <c r="K283" s="111"/>
      <c r="L283" s="111"/>
      <c r="M283" s="111"/>
      <c r="N283" s="111"/>
    </row>
    <row r="284">
      <c r="A284" s="117"/>
      <c r="B284" s="117"/>
      <c r="C284" s="116"/>
      <c r="D284" s="116"/>
      <c r="E284" s="148"/>
      <c r="F284" s="149"/>
      <c r="G284" s="150"/>
      <c r="H284" s="117"/>
      <c r="I284" s="111"/>
      <c r="J284" s="111"/>
      <c r="K284" s="111"/>
      <c r="L284" s="111"/>
      <c r="M284" s="111"/>
      <c r="N284" s="111"/>
    </row>
    <row r="285">
      <c r="A285" s="117"/>
      <c r="B285" s="117"/>
      <c r="C285" s="116"/>
      <c r="D285" s="116"/>
      <c r="E285" s="148"/>
      <c r="F285" s="149"/>
      <c r="G285" s="150"/>
      <c r="H285" s="117"/>
      <c r="I285" s="111"/>
      <c r="J285" s="111"/>
      <c r="K285" s="111"/>
      <c r="L285" s="111"/>
      <c r="M285" s="111"/>
      <c r="N285" s="111"/>
    </row>
    <row r="286">
      <c r="A286" s="117"/>
      <c r="B286" s="117"/>
      <c r="C286" s="116"/>
      <c r="D286" s="116"/>
      <c r="E286" s="148"/>
      <c r="F286" s="149"/>
      <c r="G286" s="150"/>
      <c r="H286" s="117"/>
      <c r="I286" s="111"/>
      <c r="J286" s="111"/>
      <c r="K286" s="111"/>
      <c r="L286" s="111"/>
      <c r="M286" s="111"/>
      <c r="N286" s="111"/>
    </row>
    <row r="287">
      <c r="A287" s="117"/>
      <c r="B287" s="117"/>
      <c r="C287" s="116"/>
      <c r="D287" s="116"/>
      <c r="E287" s="148"/>
      <c r="F287" s="149"/>
      <c r="G287" s="150"/>
      <c r="H287" s="117"/>
      <c r="I287" s="111"/>
      <c r="J287" s="111"/>
      <c r="K287" s="111"/>
      <c r="L287" s="111"/>
      <c r="M287" s="111"/>
      <c r="N287" s="111"/>
    </row>
    <row r="288">
      <c r="A288" s="117"/>
      <c r="B288" s="117"/>
      <c r="C288" s="116"/>
      <c r="D288" s="116"/>
      <c r="E288" s="148"/>
      <c r="F288" s="149"/>
      <c r="G288" s="150"/>
      <c r="H288" s="117"/>
      <c r="I288" s="111"/>
      <c r="J288" s="111"/>
      <c r="K288" s="111"/>
      <c r="L288" s="111"/>
      <c r="M288" s="111"/>
      <c r="N288" s="111"/>
    </row>
    <row r="289">
      <c r="A289" s="117"/>
      <c r="B289" s="117"/>
      <c r="C289" s="116"/>
      <c r="D289" s="116"/>
      <c r="E289" s="148"/>
      <c r="F289" s="149"/>
      <c r="G289" s="150"/>
      <c r="H289" s="117"/>
      <c r="I289" s="111"/>
      <c r="J289" s="111"/>
      <c r="K289" s="111"/>
      <c r="L289" s="111"/>
      <c r="M289" s="111"/>
      <c r="N289" s="111"/>
    </row>
    <row r="290">
      <c r="A290" s="117"/>
      <c r="B290" s="117"/>
      <c r="C290" s="116"/>
      <c r="D290" s="116"/>
      <c r="E290" s="148"/>
      <c r="F290" s="149"/>
      <c r="G290" s="150"/>
      <c r="H290" s="117"/>
      <c r="I290" s="111"/>
      <c r="J290" s="111"/>
      <c r="K290" s="111"/>
      <c r="L290" s="111"/>
      <c r="M290" s="111"/>
      <c r="N290" s="111"/>
    </row>
    <row r="291">
      <c r="A291" s="117"/>
      <c r="B291" s="117"/>
      <c r="C291" s="116"/>
      <c r="D291" s="116"/>
      <c r="E291" s="148"/>
      <c r="F291" s="149"/>
      <c r="G291" s="150"/>
      <c r="H291" s="117"/>
      <c r="I291" s="111"/>
      <c r="J291" s="111"/>
      <c r="K291" s="111"/>
      <c r="L291" s="111"/>
      <c r="M291" s="111"/>
      <c r="N291" s="111"/>
    </row>
    <row r="292">
      <c r="A292" s="117"/>
      <c r="B292" s="117"/>
      <c r="C292" s="116"/>
      <c r="D292" s="116"/>
      <c r="E292" s="148"/>
      <c r="F292" s="149"/>
      <c r="G292" s="150"/>
      <c r="H292" s="117"/>
      <c r="I292" s="111"/>
      <c r="J292" s="111"/>
      <c r="K292" s="111"/>
      <c r="L292" s="111"/>
      <c r="M292" s="111"/>
      <c r="N292" s="111"/>
    </row>
    <row r="293">
      <c r="A293" s="117"/>
      <c r="B293" s="117"/>
      <c r="C293" s="116"/>
      <c r="D293" s="116"/>
      <c r="E293" s="148"/>
      <c r="F293" s="149"/>
      <c r="G293" s="150"/>
      <c r="H293" s="117"/>
      <c r="I293" s="111"/>
      <c r="J293" s="111"/>
      <c r="K293" s="111"/>
      <c r="L293" s="111"/>
      <c r="M293" s="111"/>
      <c r="N293" s="111"/>
    </row>
    <row r="294">
      <c r="A294" s="117"/>
      <c r="B294" s="117"/>
      <c r="C294" s="116"/>
      <c r="D294" s="116"/>
      <c r="E294" s="148"/>
      <c r="F294" s="149"/>
      <c r="G294" s="150"/>
      <c r="H294" s="117"/>
      <c r="I294" s="111"/>
      <c r="J294" s="111"/>
      <c r="K294" s="111"/>
      <c r="L294" s="111"/>
      <c r="M294" s="111"/>
      <c r="N294" s="111"/>
    </row>
    <row r="295">
      <c r="A295" s="117"/>
      <c r="B295" s="117"/>
      <c r="C295" s="116"/>
      <c r="D295" s="116"/>
      <c r="E295" s="148"/>
      <c r="F295" s="149"/>
      <c r="G295" s="150"/>
      <c r="H295" s="117"/>
      <c r="I295" s="111"/>
      <c r="J295" s="111"/>
      <c r="K295" s="111"/>
      <c r="L295" s="111"/>
      <c r="M295" s="111"/>
      <c r="N295" s="111"/>
    </row>
    <row r="296">
      <c r="A296" s="117"/>
      <c r="B296" s="117"/>
      <c r="C296" s="116"/>
      <c r="D296" s="116"/>
      <c r="E296" s="148"/>
      <c r="F296" s="149"/>
      <c r="G296" s="150"/>
      <c r="H296" s="117"/>
      <c r="I296" s="111"/>
      <c r="J296" s="111"/>
      <c r="K296" s="111"/>
      <c r="L296" s="111"/>
      <c r="M296" s="111"/>
      <c r="N296" s="111"/>
    </row>
    <row r="297">
      <c r="A297" s="117"/>
      <c r="B297" s="117"/>
      <c r="C297" s="116"/>
      <c r="D297" s="116"/>
      <c r="E297" s="148"/>
      <c r="F297" s="149"/>
      <c r="G297" s="150"/>
      <c r="H297" s="117"/>
      <c r="I297" s="111"/>
      <c r="J297" s="111"/>
      <c r="K297" s="111"/>
      <c r="L297" s="111"/>
      <c r="M297" s="111"/>
      <c r="N297" s="111"/>
    </row>
    <row r="298">
      <c r="A298" s="117"/>
      <c r="B298" s="117"/>
      <c r="C298" s="116"/>
      <c r="D298" s="116"/>
      <c r="E298" s="148"/>
      <c r="F298" s="149"/>
      <c r="G298" s="150"/>
      <c r="H298" s="117"/>
      <c r="I298" s="111"/>
      <c r="J298" s="111"/>
      <c r="K298" s="111"/>
      <c r="L298" s="111"/>
      <c r="M298" s="111"/>
      <c r="N298" s="111"/>
    </row>
    <row r="299">
      <c r="A299" s="117"/>
      <c r="B299" s="117"/>
      <c r="C299" s="116"/>
      <c r="D299" s="116"/>
      <c r="E299" s="148"/>
      <c r="F299" s="149"/>
      <c r="G299" s="150"/>
      <c r="H299" s="117"/>
      <c r="I299" s="111"/>
      <c r="J299" s="111"/>
      <c r="K299" s="111"/>
      <c r="L299" s="111"/>
      <c r="M299" s="111"/>
      <c r="N299" s="111"/>
    </row>
    <row r="300">
      <c r="A300" s="117"/>
      <c r="B300" s="117"/>
      <c r="C300" s="116"/>
      <c r="D300" s="116"/>
      <c r="E300" s="148"/>
      <c r="F300" s="149"/>
      <c r="G300" s="150"/>
      <c r="H300" s="117"/>
      <c r="I300" s="111"/>
      <c r="J300" s="111"/>
      <c r="K300" s="111"/>
      <c r="L300" s="111"/>
      <c r="M300" s="111"/>
      <c r="N300" s="111"/>
    </row>
    <row r="301">
      <c r="A301" s="117"/>
      <c r="B301" s="117"/>
      <c r="C301" s="116"/>
      <c r="D301" s="116"/>
      <c r="E301" s="148"/>
      <c r="F301" s="149"/>
      <c r="G301" s="150"/>
      <c r="H301" s="117"/>
      <c r="I301" s="111"/>
      <c r="J301" s="111"/>
      <c r="K301" s="111"/>
      <c r="L301" s="111"/>
      <c r="M301" s="111"/>
      <c r="N301" s="111"/>
    </row>
    <row r="302">
      <c r="A302" s="117"/>
      <c r="B302" s="117"/>
      <c r="C302" s="116"/>
      <c r="D302" s="116"/>
      <c r="E302" s="148"/>
      <c r="F302" s="149"/>
      <c r="G302" s="150"/>
      <c r="H302" s="117"/>
      <c r="I302" s="111"/>
      <c r="J302" s="111"/>
      <c r="K302" s="111"/>
      <c r="L302" s="111"/>
      <c r="M302" s="111"/>
      <c r="N302" s="111"/>
    </row>
    <row r="303">
      <c r="A303" s="117"/>
      <c r="B303" s="117"/>
      <c r="C303" s="116"/>
      <c r="D303" s="116"/>
      <c r="E303" s="148"/>
      <c r="F303" s="149"/>
      <c r="G303" s="150"/>
      <c r="H303" s="117"/>
      <c r="I303" s="111"/>
      <c r="J303" s="111"/>
      <c r="K303" s="111"/>
      <c r="L303" s="111"/>
      <c r="M303" s="111"/>
      <c r="N303" s="111"/>
    </row>
    <row r="304">
      <c r="A304" s="117"/>
      <c r="B304" s="117"/>
      <c r="C304" s="116"/>
      <c r="D304" s="116"/>
      <c r="E304" s="148"/>
      <c r="F304" s="149"/>
      <c r="G304" s="150"/>
      <c r="H304" s="117"/>
      <c r="I304" s="111"/>
      <c r="J304" s="111"/>
      <c r="K304" s="111"/>
      <c r="L304" s="111"/>
      <c r="M304" s="111"/>
      <c r="N304" s="111"/>
    </row>
    <row r="305">
      <c r="A305" s="117"/>
      <c r="B305" s="117"/>
      <c r="C305" s="116"/>
      <c r="D305" s="116"/>
      <c r="E305" s="148"/>
      <c r="F305" s="149"/>
      <c r="G305" s="150"/>
      <c r="H305" s="117"/>
      <c r="I305" s="111"/>
      <c r="J305" s="111"/>
      <c r="K305" s="111"/>
      <c r="L305" s="111"/>
      <c r="M305" s="111"/>
      <c r="N305" s="111"/>
    </row>
    <row r="306">
      <c r="A306" s="117"/>
      <c r="B306" s="117"/>
      <c r="C306" s="116"/>
      <c r="D306" s="116"/>
      <c r="E306" s="148"/>
      <c r="F306" s="149"/>
      <c r="G306" s="150"/>
      <c r="H306" s="117"/>
      <c r="I306" s="111"/>
      <c r="J306" s="111"/>
      <c r="K306" s="111"/>
      <c r="L306" s="111"/>
      <c r="M306" s="111"/>
      <c r="N306" s="111"/>
    </row>
    <row r="307">
      <c r="A307" s="117"/>
      <c r="B307" s="117"/>
      <c r="C307" s="116"/>
      <c r="D307" s="116"/>
      <c r="E307" s="148"/>
      <c r="F307" s="149"/>
      <c r="G307" s="150"/>
      <c r="H307" s="117"/>
      <c r="I307" s="111"/>
      <c r="J307" s="111"/>
      <c r="K307" s="111"/>
      <c r="L307" s="111"/>
      <c r="M307" s="111"/>
      <c r="N307" s="111"/>
    </row>
    <row r="308">
      <c r="A308" s="117"/>
      <c r="B308" s="117"/>
      <c r="C308" s="116"/>
      <c r="D308" s="116"/>
      <c r="E308" s="148"/>
      <c r="F308" s="149"/>
      <c r="G308" s="150"/>
      <c r="H308" s="117"/>
      <c r="I308" s="111"/>
      <c r="J308" s="111"/>
      <c r="K308" s="111"/>
      <c r="L308" s="111"/>
      <c r="M308" s="111"/>
      <c r="N308" s="111"/>
    </row>
    <row r="309">
      <c r="A309" s="117"/>
      <c r="B309" s="117"/>
      <c r="C309" s="116"/>
      <c r="D309" s="116"/>
      <c r="E309" s="148"/>
      <c r="F309" s="149"/>
      <c r="G309" s="150"/>
      <c r="H309" s="117"/>
      <c r="I309" s="111"/>
      <c r="J309" s="111"/>
      <c r="K309" s="111"/>
      <c r="L309" s="111"/>
      <c r="M309" s="111"/>
      <c r="N309" s="111"/>
    </row>
    <row r="310">
      <c r="A310" s="117"/>
      <c r="B310" s="117"/>
      <c r="C310" s="116"/>
      <c r="D310" s="116"/>
      <c r="E310" s="148"/>
      <c r="F310" s="149"/>
      <c r="G310" s="150"/>
      <c r="H310" s="117"/>
      <c r="I310" s="111"/>
      <c r="J310" s="111"/>
      <c r="K310" s="111"/>
      <c r="L310" s="111"/>
      <c r="M310" s="111"/>
      <c r="N310" s="111"/>
    </row>
    <row r="311">
      <c r="A311" s="117"/>
      <c r="B311" s="117"/>
      <c r="C311" s="116"/>
      <c r="D311" s="116"/>
      <c r="E311" s="148"/>
      <c r="F311" s="149"/>
      <c r="G311" s="150"/>
      <c r="H311" s="117"/>
      <c r="I311" s="111"/>
      <c r="J311" s="111"/>
      <c r="K311" s="111"/>
      <c r="L311" s="111"/>
      <c r="M311" s="111"/>
      <c r="N311" s="111"/>
    </row>
    <row r="312">
      <c r="A312" s="117"/>
      <c r="B312" s="117"/>
      <c r="C312" s="116"/>
      <c r="D312" s="116"/>
      <c r="E312" s="148"/>
      <c r="F312" s="149"/>
      <c r="G312" s="150"/>
      <c r="H312" s="117"/>
      <c r="I312" s="111"/>
      <c r="J312" s="111"/>
      <c r="K312" s="111"/>
      <c r="L312" s="111"/>
      <c r="M312" s="111"/>
      <c r="N312" s="111"/>
    </row>
    <row r="313">
      <c r="A313" s="117"/>
      <c r="B313" s="117"/>
      <c r="C313" s="116"/>
      <c r="D313" s="116"/>
      <c r="E313" s="148"/>
      <c r="F313" s="149"/>
      <c r="G313" s="150"/>
      <c r="H313" s="117"/>
      <c r="I313" s="111"/>
      <c r="J313" s="111"/>
      <c r="K313" s="111"/>
      <c r="L313" s="111"/>
      <c r="M313" s="111"/>
      <c r="N313" s="111"/>
    </row>
    <row r="314">
      <c r="A314" s="117"/>
      <c r="B314" s="117"/>
      <c r="C314" s="116"/>
      <c r="D314" s="116"/>
      <c r="E314" s="148"/>
      <c r="F314" s="149"/>
      <c r="G314" s="150"/>
      <c r="H314" s="117"/>
      <c r="I314" s="111"/>
      <c r="J314" s="111"/>
      <c r="K314" s="111"/>
      <c r="L314" s="111"/>
      <c r="M314" s="111"/>
      <c r="N314" s="111"/>
    </row>
    <row r="315">
      <c r="A315" s="117"/>
      <c r="B315" s="117"/>
      <c r="C315" s="116"/>
      <c r="D315" s="116"/>
      <c r="E315" s="148"/>
      <c r="F315" s="149"/>
      <c r="G315" s="150"/>
      <c r="H315" s="117"/>
      <c r="I315" s="111"/>
      <c r="J315" s="111"/>
      <c r="K315" s="111"/>
      <c r="L315" s="111"/>
      <c r="M315" s="111"/>
      <c r="N315" s="111"/>
    </row>
    <row r="316">
      <c r="A316" s="117"/>
      <c r="B316" s="117"/>
      <c r="C316" s="116"/>
      <c r="D316" s="116"/>
      <c r="E316" s="148"/>
      <c r="F316" s="149"/>
      <c r="G316" s="150"/>
      <c r="H316" s="117"/>
      <c r="I316" s="111"/>
      <c r="J316" s="111"/>
      <c r="K316" s="111"/>
      <c r="L316" s="111"/>
      <c r="M316" s="111"/>
      <c r="N316" s="111"/>
    </row>
    <row r="317">
      <c r="A317" s="117"/>
      <c r="B317" s="117"/>
      <c r="C317" s="116"/>
      <c r="D317" s="116"/>
      <c r="E317" s="148"/>
      <c r="F317" s="149"/>
      <c r="G317" s="150"/>
      <c r="H317" s="117"/>
      <c r="I317" s="111"/>
      <c r="J317" s="111"/>
      <c r="K317" s="111"/>
      <c r="L317" s="111"/>
      <c r="M317" s="111"/>
      <c r="N317" s="111"/>
    </row>
    <row r="318">
      <c r="A318" s="117"/>
      <c r="B318" s="117"/>
      <c r="C318" s="116"/>
      <c r="D318" s="116"/>
      <c r="E318" s="148"/>
      <c r="F318" s="149"/>
      <c r="G318" s="150"/>
      <c r="H318" s="117"/>
      <c r="I318" s="111"/>
      <c r="J318" s="111"/>
      <c r="K318" s="111"/>
      <c r="L318" s="111"/>
      <c r="M318" s="111"/>
      <c r="N318" s="111"/>
    </row>
    <row r="319">
      <c r="A319" s="117"/>
      <c r="B319" s="117"/>
      <c r="C319" s="116"/>
      <c r="D319" s="116"/>
      <c r="E319" s="148"/>
      <c r="F319" s="149"/>
      <c r="G319" s="150"/>
      <c r="H319" s="117"/>
      <c r="I319" s="111"/>
      <c r="J319" s="111"/>
      <c r="K319" s="111"/>
      <c r="L319" s="111"/>
      <c r="M319" s="111"/>
      <c r="N319" s="111"/>
    </row>
    <row r="320">
      <c r="A320" s="117"/>
      <c r="B320" s="117"/>
      <c r="C320" s="116"/>
      <c r="D320" s="116"/>
      <c r="E320" s="148"/>
      <c r="F320" s="149"/>
      <c r="G320" s="150"/>
      <c r="H320" s="117"/>
      <c r="I320" s="111"/>
      <c r="J320" s="111"/>
      <c r="K320" s="111"/>
      <c r="L320" s="111"/>
      <c r="M320" s="111"/>
      <c r="N320" s="111"/>
    </row>
    <row r="321">
      <c r="A321" s="117"/>
      <c r="B321" s="117"/>
      <c r="C321" s="116"/>
      <c r="D321" s="116"/>
      <c r="E321" s="148"/>
      <c r="F321" s="149"/>
      <c r="G321" s="150"/>
      <c r="H321" s="117"/>
      <c r="I321" s="111"/>
      <c r="J321" s="111"/>
      <c r="K321" s="111"/>
      <c r="L321" s="111"/>
      <c r="M321" s="111"/>
      <c r="N321" s="111"/>
    </row>
    <row r="322">
      <c r="A322" s="117"/>
      <c r="B322" s="117"/>
      <c r="C322" s="116"/>
      <c r="D322" s="116"/>
      <c r="E322" s="148"/>
      <c r="F322" s="149"/>
      <c r="G322" s="150"/>
      <c r="H322" s="117"/>
      <c r="I322" s="111"/>
      <c r="J322" s="111"/>
      <c r="K322" s="111"/>
      <c r="L322" s="111"/>
      <c r="M322" s="111"/>
      <c r="N322" s="111"/>
    </row>
    <row r="323">
      <c r="A323" s="117"/>
      <c r="B323" s="117"/>
      <c r="C323" s="116"/>
      <c r="D323" s="116"/>
      <c r="E323" s="148"/>
      <c r="F323" s="149"/>
      <c r="G323" s="150"/>
      <c r="H323" s="117"/>
      <c r="I323" s="111"/>
      <c r="J323" s="111"/>
      <c r="K323" s="111"/>
      <c r="L323" s="111"/>
      <c r="M323" s="111"/>
      <c r="N323" s="111"/>
    </row>
    <row r="324">
      <c r="A324" s="117"/>
      <c r="B324" s="117"/>
      <c r="C324" s="116"/>
      <c r="D324" s="116"/>
      <c r="E324" s="148"/>
      <c r="F324" s="149"/>
      <c r="G324" s="150"/>
      <c r="H324" s="117"/>
      <c r="I324" s="111"/>
      <c r="J324" s="111"/>
      <c r="K324" s="111"/>
      <c r="L324" s="111"/>
      <c r="M324" s="111"/>
      <c r="N324" s="111"/>
    </row>
    <row r="325">
      <c r="A325" s="117"/>
      <c r="B325" s="117"/>
      <c r="C325" s="116"/>
      <c r="D325" s="116"/>
      <c r="E325" s="148"/>
      <c r="F325" s="149"/>
      <c r="G325" s="150"/>
      <c r="H325" s="117"/>
      <c r="I325" s="111"/>
      <c r="J325" s="111"/>
      <c r="K325" s="111"/>
      <c r="L325" s="111"/>
      <c r="M325" s="111"/>
      <c r="N325" s="111"/>
    </row>
    <row r="326">
      <c r="A326" s="117"/>
      <c r="B326" s="117"/>
      <c r="C326" s="116"/>
      <c r="D326" s="116"/>
      <c r="E326" s="148"/>
      <c r="F326" s="149"/>
      <c r="G326" s="150"/>
      <c r="H326" s="117"/>
      <c r="I326" s="111"/>
      <c r="J326" s="111"/>
      <c r="K326" s="111"/>
      <c r="L326" s="111"/>
      <c r="M326" s="111"/>
      <c r="N326" s="111"/>
    </row>
    <row r="327">
      <c r="A327" s="117"/>
      <c r="B327" s="117"/>
      <c r="C327" s="116"/>
      <c r="D327" s="116"/>
      <c r="E327" s="148"/>
      <c r="F327" s="149"/>
      <c r="G327" s="150"/>
      <c r="H327" s="117"/>
      <c r="I327" s="111"/>
      <c r="J327" s="111"/>
      <c r="K327" s="111"/>
      <c r="L327" s="111"/>
      <c r="M327" s="111"/>
      <c r="N327" s="111"/>
    </row>
    <row r="328">
      <c r="A328" s="117"/>
      <c r="B328" s="117"/>
      <c r="C328" s="116"/>
      <c r="D328" s="116"/>
      <c r="E328" s="148"/>
      <c r="F328" s="149"/>
      <c r="G328" s="150"/>
      <c r="H328" s="117"/>
      <c r="I328" s="111"/>
      <c r="J328" s="111"/>
      <c r="K328" s="111"/>
      <c r="L328" s="111"/>
      <c r="M328" s="111"/>
      <c r="N328" s="111"/>
    </row>
    <row r="329">
      <c r="A329" s="117"/>
      <c r="B329" s="117"/>
      <c r="C329" s="116"/>
      <c r="D329" s="116"/>
      <c r="E329" s="148"/>
      <c r="F329" s="149"/>
      <c r="G329" s="150"/>
      <c r="H329" s="117"/>
      <c r="I329" s="111"/>
      <c r="J329" s="111"/>
      <c r="K329" s="111"/>
      <c r="L329" s="111"/>
      <c r="M329" s="111"/>
      <c r="N329" s="111"/>
    </row>
    <row r="330">
      <c r="A330" s="117"/>
      <c r="B330" s="117"/>
      <c r="C330" s="116"/>
      <c r="D330" s="116"/>
      <c r="E330" s="148"/>
      <c r="F330" s="149"/>
      <c r="G330" s="150"/>
      <c r="H330" s="117"/>
      <c r="I330" s="111"/>
      <c r="J330" s="111"/>
      <c r="K330" s="111"/>
      <c r="L330" s="111"/>
      <c r="M330" s="111"/>
      <c r="N330" s="111"/>
    </row>
    <row r="331">
      <c r="A331" s="117"/>
      <c r="B331" s="117"/>
      <c r="C331" s="116"/>
      <c r="D331" s="116"/>
      <c r="E331" s="148"/>
      <c r="F331" s="149"/>
      <c r="G331" s="150"/>
      <c r="H331" s="117"/>
      <c r="I331" s="111"/>
      <c r="J331" s="111"/>
      <c r="K331" s="111"/>
      <c r="L331" s="111"/>
      <c r="M331" s="111"/>
      <c r="N331" s="111"/>
    </row>
    <row r="332">
      <c r="A332" s="117"/>
      <c r="B332" s="117"/>
      <c r="C332" s="116"/>
      <c r="D332" s="116"/>
      <c r="E332" s="148"/>
      <c r="F332" s="149"/>
      <c r="G332" s="150"/>
      <c r="H332" s="117"/>
      <c r="I332" s="111"/>
      <c r="J332" s="111"/>
      <c r="K332" s="111"/>
      <c r="L332" s="111"/>
      <c r="M332" s="111"/>
      <c r="N332" s="111"/>
    </row>
    <row r="333">
      <c r="A333" s="117"/>
      <c r="B333" s="117"/>
      <c r="C333" s="116"/>
      <c r="D333" s="116"/>
      <c r="E333" s="148"/>
      <c r="F333" s="149"/>
      <c r="G333" s="150"/>
      <c r="H333" s="117"/>
      <c r="I333" s="111"/>
      <c r="J333" s="111"/>
      <c r="K333" s="111"/>
      <c r="L333" s="111"/>
      <c r="M333" s="111"/>
      <c r="N333" s="111"/>
    </row>
    <row r="334">
      <c r="A334" s="117"/>
      <c r="B334" s="117"/>
      <c r="C334" s="116"/>
      <c r="D334" s="116"/>
      <c r="E334" s="148"/>
      <c r="F334" s="149"/>
      <c r="G334" s="150"/>
      <c r="H334" s="117"/>
      <c r="I334" s="111"/>
      <c r="J334" s="111"/>
      <c r="K334" s="111"/>
      <c r="L334" s="111"/>
      <c r="M334" s="111"/>
      <c r="N334" s="111"/>
    </row>
    <row r="335">
      <c r="A335" s="117"/>
      <c r="B335" s="117"/>
      <c r="C335" s="116"/>
      <c r="D335" s="116"/>
      <c r="E335" s="148"/>
      <c r="F335" s="149"/>
      <c r="G335" s="150"/>
      <c r="H335" s="117"/>
      <c r="I335" s="111"/>
      <c r="J335" s="111"/>
      <c r="K335" s="111"/>
      <c r="L335" s="111"/>
      <c r="M335" s="111"/>
      <c r="N335" s="111"/>
    </row>
    <row r="336">
      <c r="A336" s="117"/>
      <c r="B336" s="117"/>
      <c r="C336" s="116"/>
      <c r="D336" s="116"/>
      <c r="E336" s="148"/>
      <c r="F336" s="149"/>
      <c r="G336" s="150"/>
      <c r="H336" s="117"/>
      <c r="I336" s="111"/>
      <c r="J336" s="111"/>
      <c r="K336" s="111"/>
      <c r="L336" s="111"/>
      <c r="M336" s="111"/>
      <c r="N336" s="111"/>
    </row>
    <row r="337">
      <c r="A337" s="117"/>
      <c r="B337" s="117"/>
      <c r="C337" s="116"/>
      <c r="D337" s="116"/>
      <c r="E337" s="148"/>
      <c r="F337" s="149"/>
      <c r="G337" s="150"/>
      <c r="H337" s="117"/>
      <c r="I337" s="111"/>
      <c r="J337" s="111"/>
      <c r="K337" s="111"/>
      <c r="L337" s="111"/>
      <c r="M337" s="111"/>
      <c r="N337" s="111"/>
    </row>
    <row r="338">
      <c r="A338" s="117"/>
      <c r="B338" s="117"/>
      <c r="C338" s="116"/>
      <c r="D338" s="116"/>
      <c r="E338" s="148"/>
      <c r="F338" s="149"/>
      <c r="G338" s="150"/>
      <c r="H338" s="117"/>
      <c r="I338" s="111"/>
      <c r="J338" s="111"/>
      <c r="K338" s="111"/>
      <c r="L338" s="111"/>
      <c r="M338" s="111"/>
      <c r="N338" s="111"/>
    </row>
    <row r="339">
      <c r="A339" s="117"/>
      <c r="B339" s="117"/>
      <c r="C339" s="116"/>
      <c r="D339" s="116"/>
      <c r="E339" s="148"/>
      <c r="F339" s="149"/>
      <c r="G339" s="150"/>
      <c r="H339" s="117"/>
      <c r="I339" s="111"/>
      <c r="J339" s="111"/>
      <c r="K339" s="111"/>
      <c r="L339" s="111"/>
      <c r="M339" s="111"/>
      <c r="N339" s="111"/>
    </row>
    <row r="340">
      <c r="A340" s="117"/>
      <c r="B340" s="117"/>
      <c r="C340" s="116"/>
      <c r="D340" s="116"/>
      <c r="E340" s="148"/>
      <c r="F340" s="149"/>
      <c r="G340" s="150"/>
      <c r="H340" s="117"/>
      <c r="I340" s="111"/>
      <c r="J340" s="111"/>
      <c r="K340" s="111"/>
      <c r="L340" s="111"/>
      <c r="M340" s="111"/>
      <c r="N340" s="111"/>
    </row>
    <row r="341">
      <c r="A341" s="117"/>
      <c r="B341" s="117"/>
      <c r="C341" s="116"/>
      <c r="D341" s="116"/>
      <c r="E341" s="148"/>
      <c r="F341" s="149"/>
      <c r="G341" s="150"/>
      <c r="H341" s="117"/>
      <c r="I341" s="111"/>
      <c r="J341" s="111"/>
      <c r="K341" s="111"/>
      <c r="L341" s="111"/>
      <c r="M341" s="111"/>
      <c r="N341" s="111"/>
    </row>
    <row r="342">
      <c r="A342" s="117"/>
      <c r="B342" s="117"/>
      <c r="C342" s="116"/>
      <c r="D342" s="116"/>
      <c r="E342" s="148"/>
      <c r="F342" s="149"/>
      <c r="G342" s="150"/>
      <c r="H342" s="117"/>
      <c r="I342" s="111"/>
      <c r="J342" s="111"/>
      <c r="K342" s="111"/>
      <c r="L342" s="111"/>
      <c r="M342" s="111"/>
      <c r="N342" s="111"/>
    </row>
    <row r="343">
      <c r="A343" s="117"/>
      <c r="B343" s="117"/>
      <c r="C343" s="116"/>
      <c r="D343" s="116"/>
      <c r="E343" s="148"/>
      <c r="F343" s="149"/>
      <c r="G343" s="150"/>
      <c r="H343" s="117"/>
      <c r="I343" s="111"/>
      <c r="J343" s="111"/>
      <c r="K343" s="111"/>
      <c r="L343" s="111"/>
      <c r="M343" s="111"/>
      <c r="N343" s="111"/>
    </row>
    <row r="344">
      <c r="A344" s="117"/>
      <c r="B344" s="117"/>
      <c r="C344" s="116"/>
      <c r="D344" s="116"/>
      <c r="E344" s="148"/>
      <c r="F344" s="149"/>
      <c r="G344" s="150"/>
      <c r="H344" s="117"/>
      <c r="I344" s="111"/>
      <c r="J344" s="111"/>
      <c r="K344" s="111"/>
      <c r="L344" s="111"/>
      <c r="M344" s="111"/>
      <c r="N344" s="111"/>
    </row>
    <row r="345">
      <c r="A345" s="117"/>
      <c r="B345" s="117"/>
      <c r="C345" s="116"/>
      <c r="D345" s="116"/>
      <c r="E345" s="148"/>
      <c r="F345" s="149"/>
      <c r="G345" s="150"/>
      <c r="H345" s="117"/>
      <c r="I345" s="111"/>
      <c r="J345" s="111"/>
      <c r="K345" s="111"/>
      <c r="L345" s="111"/>
      <c r="M345" s="111"/>
      <c r="N345" s="111"/>
    </row>
    <row r="346">
      <c r="A346" s="117"/>
      <c r="B346" s="117"/>
      <c r="C346" s="116"/>
      <c r="D346" s="116"/>
      <c r="E346" s="148"/>
      <c r="F346" s="149"/>
      <c r="G346" s="150"/>
      <c r="H346" s="117"/>
      <c r="I346" s="111"/>
      <c r="J346" s="111"/>
      <c r="K346" s="111"/>
      <c r="L346" s="111"/>
      <c r="M346" s="111"/>
      <c r="N346" s="111"/>
    </row>
    <row r="347">
      <c r="A347" s="117"/>
      <c r="B347" s="117"/>
      <c r="C347" s="116"/>
      <c r="D347" s="116"/>
      <c r="E347" s="148"/>
      <c r="F347" s="149"/>
      <c r="G347" s="150"/>
      <c r="H347" s="117"/>
      <c r="I347" s="111"/>
      <c r="J347" s="111"/>
      <c r="K347" s="111"/>
      <c r="L347" s="111"/>
      <c r="M347" s="111"/>
      <c r="N347" s="111"/>
    </row>
    <row r="348">
      <c r="A348" s="117"/>
      <c r="B348" s="117"/>
      <c r="C348" s="116"/>
      <c r="D348" s="116"/>
      <c r="E348" s="148"/>
      <c r="F348" s="149"/>
      <c r="G348" s="150"/>
      <c r="H348" s="117"/>
      <c r="I348" s="111"/>
      <c r="J348" s="111"/>
      <c r="K348" s="111"/>
      <c r="L348" s="111"/>
      <c r="M348" s="111"/>
      <c r="N348" s="111"/>
    </row>
    <row r="349">
      <c r="A349" s="117"/>
      <c r="B349" s="117"/>
      <c r="C349" s="116"/>
      <c r="D349" s="116"/>
      <c r="E349" s="148"/>
      <c r="F349" s="149"/>
      <c r="G349" s="150"/>
      <c r="H349" s="117"/>
      <c r="I349" s="111"/>
      <c r="J349" s="111"/>
      <c r="K349" s="111"/>
      <c r="L349" s="111"/>
      <c r="M349" s="111"/>
      <c r="N349" s="111"/>
    </row>
    <row r="350">
      <c r="A350" s="117"/>
      <c r="B350" s="117"/>
      <c r="C350" s="116"/>
      <c r="D350" s="116"/>
      <c r="E350" s="148"/>
      <c r="F350" s="149"/>
      <c r="G350" s="150"/>
      <c r="H350" s="117"/>
      <c r="I350" s="111"/>
      <c r="J350" s="111"/>
      <c r="K350" s="111"/>
      <c r="L350" s="111"/>
      <c r="M350" s="111"/>
      <c r="N350" s="111"/>
    </row>
    <row r="351">
      <c r="A351" s="117"/>
      <c r="B351" s="117"/>
      <c r="C351" s="116"/>
      <c r="D351" s="116"/>
      <c r="E351" s="148"/>
      <c r="F351" s="149"/>
      <c r="G351" s="150"/>
      <c r="H351" s="117"/>
      <c r="I351" s="111"/>
      <c r="J351" s="111"/>
      <c r="K351" s="111"/>
      <c r="L351" s="111"/>
      <c r="M351" s="111"/>
      <c r="N351" s="111"/>
    </row>
    <row r="352">
      <c r="A352" s="117"/>
      <c r="B352" s="117"/>
      <c r="C352" s="116"/>
      <c r="D352" s="116"/>
      <c r="E352" s="148"/>
      <c r="F352" s="149"/>
      <c r="G352" s="150"/>
      <c r="H352" s="117"/>
      <c r="I352" s="111"/>
      <c r="J352" s="111"/>
      <c r="K352" s="111"/>
      <c r="L352" s="111"/>
      <c r="M352" s="111"/>
      <c r="N352" s="111"/>
    </row>
    <row r="353">
      <c r="A353" s="117"/>
      <c r="B353" s="117"/>
      <c r="C353" s="116"/>
      <c r="D353" s="116"/>
      <c r="E353" s="148"/>
      <c r="F353" s="149"/>
      <c r="G353" s="150"/>
      <c r="H353" s="117"/>
      <c r="I353" s="111"/>
      <c r="J353" s="111"/>
      <c r="K353" s="111"/>
      <c r="L353" s="111"/>
      <c r="M353" s="111"/>
      <c r="N353" s="111"/>
    </row>
    <row r="354">
      <c r="A354" s="117"/>
      <c r="B354" s="117"/>
      <c r="C354" s="116"/>
      <c r="D354" s="116"/>
      <c r="E354" s="148"/>
      <c r="F354" s="149"/>
      <c r="G354" s="150"/>
      <c r="H354" s="117"/>
      <c r="I354" s="111"/>
      <c r="J354" s="111"/>
      <c r="K354" s="111"/>
      <c r="L354" s="111"/>
      <c r="M354" s="111"/>
      <c r="N354" s="111"/>
    </row>
    <row r="355">
      <c r="A355" s="117"/>
      <c r="B355" s="117"/>
      <c r="C355" s="116"/>
      <c r="D355" s="116"/>
      <c r="E355" s="148"/>
      <c r="F355" s="149"/>
      <c r="G355" s="150"/>
      <c r="H355" s="117"/>
      <c r="I355" s="111"/>
      <c r="J355" s="111"/>
      <c r="K355" s="111"/>
      <c r="L355" s="111"/>
      <c r="M355" s="111"/>
      <c r="N355" s="111"/>
    </row>
    <row r="356">
      <c r="A356" s="117"/>
      <c r="B356" s="117"/>
      <c r="C356" s="116"/>
      <c r="D356" s="116"/>
      <c r="E356" s="148"/>
      <c r="F356" s="149"/>
      <c r="G356" s="150"/>
      <c r="H356" s="117"/>
      <c r="I356" s="111"/>
      <c r="J356" s="111"/>
      <c r="K356" s="111"/>
      <c r="L356" s="111"/>
      <c r="M356" s="111"/>
      <c r="N356" s="111"/>
    </row>
    <row r="357">
      <c r="A357" s="117"/>
      <c r="B357" s="117"/>
      <c r="C357" s="116"/>
      <c r="D357" s="116"/>
      <c r="E357" s="148"/>
      <c r="F357" s="149"/>
      <c r="G357" s="150"/>
      <c r="H357" s="117"/>
      <c r="I357" s="111"/>
      <c r="J357" s="111"/>
      <c r="K357" s="111"/>
      <c r="L357" s="111"/>
      <c r="M357" s="111"/>
      <c r="N357" s="111"/>
    </row>
    <row r="358">
      <c r="A358" s="117"/>
      <c r="B358" s="117"/>
      <c r="C358" s="116"/>
      <c r="D358" s="116"/>
      <c r="E358" s="148"/>
      <c r="F358" s="149"/>
      <c r="G358" s="150"/>
      <c r="H358" s="117"/>
      <c r="I358" s="111"/>
      <c r="J358" s="111"/>
      <c r="K358" s="111"/>
      <c r="L358" s="111"/>
      <c r="M358" s="111"/>
      <c r="N358" s="111"/>
    </row>
    <row r="359">
      <c r="A359" s="117"/>
      <c r="B359" s="117"/>
      <c r="C359" s="116"/>
      <c r="D359" s="116"/>
      <c r="E359" s="148"/>
      <c r="F359" s="149"/>
      <c r="G359" s="150"/>
      <c r="H359" s="117"/>
      <c r="I359" s="111"/>
      <c r="J359" s="111"/>
      <c r="K359" s="111"/>
      <c r="L359" s="111"/>
      <c r="M359" s="111"/>
      <c r="N359" s="111"/>
    </row>
    <row r="360">
      <c r="A360" s="117"/>
      <c r="B360" s="117"/>
      <c r="C360" s="116"/>
      <c r="D360" s="116"/>
      <c r="E360" s="148"/>
      <c r="F360" s="149"/>
      <c r="G360" s="150"/>
      <c r="H360" s="117"/>
      <c r="I360" s="111"/>
      <c r="J360" s="111"/>
      <c r="K360" s="111"/>
      <c r="L360" s="111"/>
      <c r="M360" s="111"/>
      <c r="N360" s="111"/>
    </row>
    <row r="361">
      <c r="A361" s="117"/>
      <c r="B361" s="117"/>
      <c r="C361" s="116"/>
      <c r="D361" s="116"/>
      <c r="E361" s="148"/>
      <c r="F361" s="149"/>
      <c r="G361" s="150"/>
      <c r="H361" s="117"/>
      <c r="I361" s="111"/>
      <c r="J361" s="111"/>
      <c r="K361" s="111"/>
      <c r="L361" s="111"/>
      <c r="M361" s="111"/>
      <c r="N361" s="111"/>
    </row>
    <row r="362">
      <c r="A362" s="117"/>
      <c r="B362" s="117"/>
      <c r="C362" s="116"/>
      <c r="D362" s="116"/>
      <c r="E362" s="148"/>
      <c r="F362" s="149"/>
      <c r="G362" s="150"/>
      <c r="H362" s="117"/>
      <c r="I362" s="111"/>
      <c r="J362" s="111"/>
      <c r="K362" s="111"/>
      <c r="L362" s="111"/>
      <c r="M362" s="111"/>
      <c r="N362" s="111"/>
    </row>
    <row r="363">
      <c r="A363" s="117"/>
      <c r="B363" s="117"/>
      <c r="C363" s="116"/>
      <c r="D363" s="116"/>
      <c r="E363" s="148"/>
      <c r="F363" s="149"/>
      <c r="G363" s="150"/>
      <c r="H363" s="117"/>
      <c r="I363" s="111"/>
      <c r="J363" s="111"/>
      <c r="K363" s="111"/>
      <c r="L363" s="111"/>
      <c r="M363" s="111"/>
      <c r="N363" s="111"/>
    </row>
    <row r="364">
      <c r="A364" s="117"/>
      <c r="B364" s="117"/>
      <c r="C364" s="116"/>
      <c r="D364" s="116"/>
      <c r="E364" s="148"/>
      <c r="F364" s="149"/>
      <c r="G364" s="150"/>
      <c r="H364" s="117"/>
      <c r="I364" s="111"/>
      <c r="J364" s="111"/>
      <c r="K364" s="111"/>
      <c r="L364" s="111"/>
      <c r="M364" s="111"/>
      <c r="N364" s="111"/>
    </row>
    <row r="365">
      <c r="A365" s="117"/>
      <c r="B365" s="117"/>
      <c r="C365" s="116"/>
      <c r="D365" s="116"/>
      <c r="E365" s="148"/>
      <c r="F365" s="149"/>
      <c r="G365" s="150"/>
      <c r="H365" s="117"/>
      <c r="I365" s="111"/>
      <c r="J365" s="111"/>
      <c r="K365" s="111"/>
      <c r="L365" s="111"/>
      <c r="M365" s="111"/>
      <c r="N365" s="111"/>
    </row>
    <row r="366">
      <c r="A366" s="117"/>
      <c r="B366" s="117"/>
      <c r="C366" s="116"/>
      <c r="D366" s="116"/>
      <c r="E366" s="148"/>
      <c r="F366" s="149"/>
      <c r="G366" s="150"/>
      <c r="H366" s="117"/>
      <c r="I366" s="111"/>
      <c r="J366" s="111"/>
      <c r="K366" s="111"/>
      <c r="L366" s="111"/>
      <c r="M366" s="111"/>
      <c r="N366" s="111"/>
    </row>
    <row r="367">
      <c r="A367" s="117"/>
      <c r="B367" s="117"/>
      <c r="C367" s="116"/>
      <c r="D367" s="116"/>
      <c r="E367" s="148"/>
      <c r="F367" s="149"/>
      <c r="G367" s="150"/>
      <c r="H367" s="117"/>
      <c r="I367" s="111"/>
      <c r="J367" s="111"/>
      <c r="K367" s="111"/>
      <c r="L367" s="111"/>
      <c r="M367" s="111"/>
      <c r="N367" s="111"/>
    </row>
    <row r="368">
      <c r="A368" s="117"/>
      <c r="B368" s="117"/>
      <c r="C368" s="116"/>
      <c r="D368" s="116"/>
      <c r="E368" s="148"/>
      <c r="F368" s="149"/>
      <c r="G368" s="150"/>
      <c r="H368" s="117"/>
      <c r="I368" s="111"/>
      <c r="J368" s="111"/>
      <c r="K368" s="111"/>
      <c r="L368" s="111"/>
      <c r="M368" s="111"/>
      <c r="N368" s="111"/>
    </row>
    <row r="369">
      <c r="A369" s="117"/>
      <c r="B369" s="117"/>
      <c r="C369" s="116"/>
      <c r="D369" s="116"/>
      <c r="E369" s="148"/>
      <c r="F369" s="149"/>
      <c r="G369" s="150"/>
      <c r="H369" s="117"/>
      <c r="I369" s="111"/>
      <c r="J369" s="111"/>
      <c r="K369" s="111"/>
      <c r="L369" s="111"/>
      <c r="M369" s="111"/>
      <c r="N369" s="111"/>
    </row>
    <row r="370">
      <c r="A370" s="117"/>
      <c r="B370" s="117"/>
      <c r="C370" s="116"/>
      <c r="D370" s="116"/>
      <c r="E370" s="148"/>
      <c r="F370" s="149"/>
      <c r="G370" s="150"/>
      <c r="H370" s="117"/>
      <c r="I370" s="111"/>
      <c r="J370" s="111"/>
      <c r="K370" s="111"/>
      <c r="L370" s="111"/>
      <c r="M370" s="111"/>
      <c r="N370" s="111"/>
    </row>
    <row r="371">
      <c r="A371" s="117"/>
      <c r="B371" s="117"/>
      <c r="C371" s="116"/>
      <c r="D371" s="116"/>
      <c r="E371" s="148"/>
      <c r="F371" s="149"/>
      <c r="G371" s="150"/>
      <c r="H371" s="117"/>
      <c r="I371" s="111"/>
      <c r="J371" s="111"/>
      <c r="K371" s="111"/>
      <c r="L371" s="111"/>
      <c r="M371" s="111"/>
      <c r="N371" s="111"/>
    </row>
    <row r="372">
      <c r="A372" s="117"/>
      <c r="B372" s="117"/>
      <c r="C372" s="116"/>
      <c r="D372" s="116"/>
      <c r="E372" s="148"/>
      <c r="F372" s="149"/>
      <c r="G372" s="150"/>
      <c r="H372" s="117"/>
      <c r="I372" s="111"/>
      <c r="J372" s="111"/>
      <c r="K372" s="111"/>
      <c r="L372" s="111"/>
      <c r="M372" s="111"/>
      <c r="N372" s="111"/>
    </row>
    <row r="373">
      <c r="A373" s="117"/>
      <c r="B373" s="117"/>
      <c r="C373" s="116"/>
      <c r="D373" s="116"/>
      <c r="E373" s="148"/>
      <c r="F373" s="149"/>
      <c r="G373" s="150"/>
      <c r="H373" s="117"/>
      <c r="I373" s="111"/>
      <c r="J373" s="111"/>
      <c r="K373" s="111"/>
      <c r="L373" s="111"/>
      <c r="M373" s="111"/>
      <c r="N373" s="111"/>
    </row>
    <row r="374">
      <c r="A374" s="117"/>
      <c r="B374" s="117"/>
      <c r="C374" s="116"/>
      <c r="D374" s="116"/>
      <c r="E374" s="148"/>
      <c r="F374" s="149"/>
      <c r="G374" s="150"/>
      <c r="H374" s="117"/>
      <c r="I374" s="111"/>
      <c r="J374" s="111"/>
      <c r="K374" s="111"/>
      <c r="L374" s="111"/>
      <c r="M374" s="111"/>
      <c r="N374" s="111"/>
    </row>
    <row r="375">
      <c r="A375" s="117"/>
      <c r="B375" s="117"/>
      <c r="C375" s="116"/>
      <c r="D375" s="116"/>
      <c r="E375" s="148"/>
      <c r="F375" s="149"/>
      <c r="G375" s="150"/>
      <c r="H375" s="117"/>
      <c r="I375" s="111"/>
      <c r="J375" s="111"/>
      <c r="K375" s="111"/>
      <c r="L375" s="111"/>
      <c r="M375" s="111"/>
      <c r="N375" s="111"/>
    </row>
    <row r="376">
      <c r="A376" s="117"/>
      <c r="B376" s="117"/>
      <c r="C376" s="116"/>
      <c r="D376" s="116"/>
      <c r="E376" s="148"/>
      <c r="F376" s="149"/>
      <c r="G376" s="150"/>
      <c r="H376" s="117"/>
      <c r="I376" s="111"/>
      <c r="J376" s="111"/>
      <c r="K376" s="111"/>
      <c r="L376" s="111"/>
      <c r="M376" s="111"/>
      <c r="N376" s="111"/>
    </row>
    <row r="377">
      <c r="A377" s="117"/>
      <c r="B377" s="117"/>
      <c r="C377" s="116"/>
      <c r="D377" s="116"/>
      <c r="E377" s="148"/>
      <c r="F377" s="149"/>
      <c r="G377" s="150"/>
      <c r="H377" s="117"/>
      <c r="I377" s="111"/>
      <c r="J377" s="111"/>
      <c r="K377" s="111"/>
      <c r="L377" s="111"/>
      <c r="M377" s="111"/>
      <c r="N377" s="111"/>
    </row>
    <row r="378">
      <c r="A378" s="117"/>
      <c r="B378" s="117"/>
      <c r="C378" s="116"/>
      <c r="D378" s="116"/>
      <c r="E378" s="148"/>
      <c r="F378" s="149"/>
      <c r="G378" s="150"/>
      <c r="H378" s="117"/>
      <c r="I378" s="111"/>
      <c r="J378" s="111"/>
      <c r="K378" s="111"/>
      <c r="L378" s="111"/>
      <c r="M378" s="111"/>
      <c r="N378" s="111"/>
    </row>
    <row r="379">
      <c r="A379" s="117"/>
      <c r="B379" s="117"/>
      <c r="C379" s="116"/>
      <c r="D379" s="116"/>
      <c r="E379" s="148"/>
      <c r="F379" s="149"/>
      <c r="G379" s="150"/>
      <c r="H379" s="117"/>
      <c r="I379" s="111"/>
      <c r="J379" s="111"/>
      <c r="K379" s="111"/>
      <c r="L379" s="111"/>
      <c r="M379" s="111"/>
      <c r="N379" s="111"/>
    </row>
    <row r="380">
      <c r="A380" s="117"/>
      <c r="B380" s="117"/>
      <c r="C380" s="116"/>
      <c r="D380" s="116"/>
      <c r="E380" s="148"/>
      <c r="F380" s="149"/>
      <c r="G380" s="150"/>
      <c r="H380" s="117"/>
      <c r="I380" s="111"/>
      <c r="J380" s="111"/>
      <c r="K380" s="111"/>
      <c r="L380" s="111"/>
      <c r="M380" s="111"/>
      <c r="N380" s="111"/>
    </row>
    <row r="381">
      <c r="A381" s="117"/>
      <c r="B381" s="117"/>
      <c r="C381" s="116"/>
      <c r="D381" s="116"/>
      <c r="E381" s="148"/>
      <c r="F381" s="149"/>
      <c r="G381" s="150"/>
      <c r="H381" s="117"/>
      <c r="I381" s="111"/>
      <c r="J381" s="111"/>
      <c r="K381" s="111"/>
      <c r="L381" s="111"/>
      <c r="M381" s="111"/>
      <c r="N381" s="111"/>
    </row>
    <row r="382">
      <c r="A382" s="117"/>
      <c r="B382" s="117"/>
      <c r="C382" s="116"/>
      <c r="D382" s="116"/>
      <c r="E382" s="148"/>
      <c r="F382" s="149"/>
      <c r="G382" s="150"/>
      <c r="H382" s="117"/>
      <c r="I382" s="111"/>
      <c r="J382" s="111"/>
      <c r="K382" s="111"/>
      <c r="L382" s="111"/>
      <c r="M382" s="111"/>
      <c r="N382" s="111"/>
    </row>
    <row r="383">
      <c r="A383" s="117"/>
      <c r="B383" s="117"/>
      <c r="C383" s="116"/>
      <c r="D383" s="116"/>
      <c r="E383" s="148"/>
      <c r="F383" s="149"/>
      <c r="G383" s="150"/>
      <c r="H383" s="117"/>
      <c r="I383" s="111"/>
      <c r="J383" s="111"/>
      <c r="K383" s="111"/>
      <c r="L383" s="111"/>
      <c r="M383" s="111"/>
      <c r="N383" s="111"/>
    </row>
    <row r="384">
      <c r="A384" s="117"/>
      <c r="B384" s="117"/>
      <c r="C384" s="116"/>
      <c r="D384" s="116"/>
      <c r="E384" s="148"/>
      <c r="F384" s="149"/>
      <c r="G384" s="150"/>
      <c r="H384" s="117"/>
      <c r="I384" s="111"/>
      <c r="J384" s="111"/>
      <c r="K384" s="111"/>
      <c r="L384" s="111"/>
      <c r="M384" s="111"/>
      <c r="N384" s="111"/>
    </row>
    <row r="385">
      <c r="A385" s="117"/>
      <c r="B385" s="117"/>
      <c r="C385" s="116"/>
      <c r="D385" s="116"/>
      <c r="E385" s="148"/>
      <c r="F385" s="149"/>
      <c r="G385" s="150"/>
      <c r="H385" s="117"/>
      <c r="I385" s="111"/>
      <c r="J385" s="111"/>
      <c r="K385" s="111"/>
      <c r="L385" s="111"/>
      <c r="M385" s="111"/>
      <c r="N385" s="111"/>
    </row>
    <row r="386">
      <c r="A386" s="117"/>
      <c r="B386" s="117"/>
      <c r="C386" s="116"/>
      <c r="D386" s="116"/>
      <c r="E386" s="148"/>
      <c r="F386" s="149"/>
      <c r="G386" s="150"/>
      <c r="H386" s="117"/>
      <c r="I386" s="111"/>
      <c r="J386" s="111"/>
      <c r="K386" s="111"/>
      <c r="L386" s="111"/>
      <c r="M386" s="111"/>
      <c r="N386" s="111"/>
    </row>
    <row r="387">
      <c r="A387" s="117"/>
      <c r="B387" s="117"/>
      <c r="C387" s="116"/>
      <c r="D387" s="116"/>
      <c r="E387" s="148"/>
      <c r="F387" s="149"/>
      <c r="G387" s="150"/>
      <c r="H387" s="117"/>
      <c r="I387" s="111"/>
      <c r="J387" s="111"/>
      <c r="K387" s="111"/>
      <c r="L387" s="111"/>
      <c r="M387" s="111"/>
      <c r="N387" s="111"/>
    </row>
    <row r="388">
      <c r="A388" s="117"/>
      <c r="B388" s="117"/>
      <c r="C388" s="116"/>
      <c r="D388" s="116"/>
      <c r="E388" s="148"/>
      <c r="F388" s="149"/>
      <c r="G388" s="150"/>
      <c r="H388" s="117"/>
      <c r="I388" s="111"/>
      <c r="J388" s="111"/>
      <c r="K388" s="111"/>
      <c r="L388" s="111"/>
      <c r="M388" s="111"/>
      <c r="N388" s="111"/>
    </row>
    <row r="389">
      <c r="A389" s="117"/>
      <c r="B389" s="117"/>
      <c r="C389" s="116"/>
      <c r="D389" s="116"/>
      <c r="E389" s="148"/>
      <c r="F389" s="149"/>
      <c r="G389" s="150"/>
      <c r="H389" s="117"/>
      <c r="I389" s="111"/>
      <c r="J389" s="111"/>
      <c r="K389" s="111"/>
      <c r="L389" s="111"/>
      <c r="M389" s="111"/>
      <c r="N389" s="111"/>
    </row>
    <row r="390">
      <c r="A390" s="117"/>
      <c r="B390" s="117"/>
      <c r="C390" s="116"/>
      <c r="D390" s="116"/>
      <c r="E390" s="148"/>
      <c r="F390" s="149"/>
      <c r="G390" s="150"/>
      <c r="H390" s="117"/>
      <c r="I390" s="111"/>
      <c r="J390" s="111"/>
      <c r="K390" s="111"/>
      <c r="L390" s="111"/>
      <c r="M390" s="111"/>
      <c r="N390" s="111"/>
    </row>
    <row r="391">
      <c r="A391" s="117"/>
      <c r="B391" s="117"/>
      <c r="C391" s="116"/>
      <c r="D391" s="116"/>
      <c r="E391" s="148"/>
      <c r="F391" s="149"/>
      <c r="G391" s="150"/>
      <c r="H391" s="117"/>
      <c r="I391" s="111"/>
      <c r="J391" s="111"/>
      <c r="K391" s="111"/>
      <c r="L391" s="111"/>
      <c r="M391" s="111"/>
      <c r="N391" s="111"/>
    </row>
    <row r="392">
      <c r="A392" s="117"/>
      <c r="B392" s="117"/>
      <c r="C392" s="116"/>
      <c r="D392" s="116"/>
      <c r="E392" s="148"/>
      <c r="F392" s="149"/>
      <c r="G392" s="150"/>
      <c r="H392" s="117"/>
      <c r="I392" s="111"/>
      <c r="J392" s="111"/>
      <c r="K392" s="111"/>
      <c r="L392" s="111"/>
      <c r="M392" s="111"/>
      <c r="N392" s="111"/>
    </row>
    <row r="393">
      <c r="A393" s="117"/>
      <c r="B393" s="117"/>
      <c r="C393" s="116"/>
      <c r="D393" s="116"/>
      <c r="E393" s="148"/>
      <c r="F393" s="149"/>
      <c r="G393" s="150"/>
      <c r="H393" s="117"/>
      <c r="I393" s="111"/>
      <c r="J393" s="111"/>
      <c r="K393" s="111"/>
      <c r="L393" s="111"/>
      <c r="M393" s="111"/>
      <c r="N393" s="111"/>
    </row>
    <row r="394">
      <c r="A394" s="117"/>
      <c r="B394" s="117"/>
      <c r="C394" s="116"/>
      <c r="D394" s="116"/>
      <c r="E394" s="148"/>
      <c r="F394" s="149"/>
      <c r="G394" s="150"/>
      <c r="H394" s="117"/>
      <c r="I394" s="111"/>
      <c r="J394" s="111"/>
      <c r="K394" s="111"/>
      <c r="L394" s="111"/>
      <c r="M394" s="111"/>
      <c r="N394" s="111"/>
    </row>
    <row r="395">
      <c r="A395" s="117"/>
      <c r="B395" s="117"/>
      <c r="C395" s="116"/>
      <c r="D395" s="116"/>
      <c r="E395" s="148"/>
      <c r="F395" s="149"/>
      <c r="G395" s="150"/>
      <c r="H395" s="117"/>
      <c r="I395" s="111"/>
      <c r="J395" s="111"/>
      <c r="K395" s="111"/>
      <c r="L395" s="111"/>
      <c r="M395" s="111"/>
      <c r="N395" s="111"/>
    </row>
    <row r="396">
      <c r="A396" s="117"/>
      <c r="B396" s="117"/>
      <c r="C396" s="116"/>
      <c r="D396" s="116"/>
      <c r="E396" s="148"/>
      <c r="F396" s="149"/>
      <c r="G396" s="150"/>
      <c r="H396" s="117"/>
      <c r="I396" s="111"/>
      <c r="J396" s="111"/>
      <c r="K396" s="111"/>
      <c r="L396" s="111"/>
      <c r="M396" s="111"/>
      <c r="N396" s="111"/>
    </row>
    <row r="397">
      <c r="A397" s="117"/>
      <c r="B397" s="117"/>
      <c r="C397" s="116"/>
      <c r="D397" s="116"/>
      <c r="E397" s="148"/>
      <c r="F397" s="149"/>
      <c r="G397" s="150"/>
      <c r="H397" s="117"/>
      <c r="I397" s="111"/>
      <c r="J397" s="111"/>
      <c r="K397" s="111"/>
      <c r="L397" s="111"/>
      <c r="M397" s="111"/>
      <c r="N397" s="111"/>
    </row>
    <row r="398">
      <c r="A398" s="117"/>
      <c r="B398" s="117"/>
      <c r="C398" s="116"/>
      <c r="D398" s="116"/>
      <c r="E398" s="148"/>
      <c r="F398" s="149"/>
      <c r="G398" s="150"/>
      <c r="H398" s="117"/>
      <c r="I398" s="111"/>
      <c r="J398" s="111"/>
      <c r="K398" s="111"/>
      <c r="L398" s="111"/>
      <c r="M398" s="111"/>
      <c r="N398" s="111"/>
    </row>
    <row r="399">
      <c r="A399" s="117"/>
      <c r="B399" s="117"/>
      <c r="C399" s="116"/>
      <c r="D399" s="116"/>
      <c r="E399" s="148"/>
      <c r="F399" s="149"/>
      <c r="G399" s="150"/>
      <c r="H399" s="117"/>
      <c r="I399" s="111"/>
      <c r="J399" s="111"/>
      <c r="K399" s="111"/>
      <c r="L399" s="111"/>
      <c r="M399" s="111"/>
      <c r="N399" s="111"/>
    </row>
    <row r="400">
      <c r="A400" s="117"/>
      <c r="B400" s="117"/>
      <c r="C400" s="116"/>
      <c r="D400" s="116"/>
      <c r="E400" s="148"/>
      <c r="F400" s="149"/>
      <c r="G400" s="150"/>
      <c r="H400" s="117"/>
      <c r="I400" s="111"/>
      <c r="J400" s="111"/>
      <c r="K400" s="111"/>
      <c r="L400" s="111"/>
      <c r="M400" s="111"/>
      <c r="N400" s="111"/>
    </row>
  </sheetData>
  <mergeCells count="15">
    <mergeCell ref="A5:B5"/>
    <mergeCell ref="A6:B6"/>
    <mergeCell ref="C6:D6"/>
    <mergeCell ref="E6:F6"/>
    <mergeCell ref="G6:H6"/>
    <mergeCell ref="I6:J6"/>
    <mergeCell ref="K6:L6"/>
    <mergeCell ref="A7:L7"/>
    <mergeCell ref="A1:L1"/>
    <mergeCell ref="A2:L2"/>
    <mergeCell ref="C5:D5"/>
    <mergeCell ref="E5:F5"/>
    <mergeCell ref="G5:H5"/>
    <mergeCell ref="I5:J5"/>
    <mergeCell ref="K5:L5"/>
  </mergeCells>
  <dataValidations>
    <dataValidation type="custom" allowBlank="1" showErrorMessage="1" sqref="B3 D3">
      <formula1>OR(NOT(ISERROR(DATEVALUE(B3))), AND(ISNUMBER(B3), LEFT(CELL("format", B3))="D"))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63"/>
    <col customWidth="1" min="2" max="2" width="13.88"/>
    <col customWidth="1" min="3" max="3" width="8.88"/>
    <col customWidth="1" min="4" max="4" width="15.13"/>
    <col customWidth="1" min="5" max="5" width="28.88"/>
    <col customWidth="1" min="6" max="6" width="13.88"/>
    <col customWidth="1" min="7" max="7" width="17.63"/>
    <col customWidth="1" min="8" max="10" width="12.63"/>
    <col customWidth="1" min="11" max="11" width="15.13"/>
    <col customWidth="1" min="12" max="12" width="25.13"/>
    <col customWidth="1" min="13" max="13" width="12.63"/>
    <col customWidth="1" min="14" max="14" width="35.13"/>
    <col customWidth="1" min="15" max="15" width="11.38"/>
    <col customWidth="1" min="16" max="16" width="13.88"/>
    <col customWidth="1" min="17" max="17" width="12.63"/>
    <col customWidth="1" min="18" max="18" width="20.13"/>
    <col customWidth="1" min="19" max="19" width="17.13"/>
  </cols>
  <sheetData>
    <row r="1" ht="33.0" customHeight="1">
      <c r="A1" s="156" t="s">
        <v>220</v>
      </c>
      <c r="B1" s="158" t="s">
        <v>37</v>
      </c>
      <c r="C1" s="159" t="s">
        <v>41</v>
      </c>
      <c r="D1" s="156" t="s">
        <v>227</v>
      </c>
      <c r="E1" s="156" t="s">
        <v>55</v>
      </c>
      <c r="F1" s="156" t="s">
        <v>42</v>
      </c>
      <c r="G1" s="161" t="s">
        <v>38</v>
      </c>
      <c r="H1" s="156" t="s">
        <v>232</v>
      </c>
      <c r="I1" s="156" t="s">
        <v>234</v>
      </c>
      <c r="J1" s="156" t="s">
        <v>236</v>
      </c>
      <c r="K1" s="156" t="s">
        <v>238</v>
      </c>
      <c r="L1" s="156" t="s">
        <v>56</v>
      </c>
      <c r="M1" s="159" t="s">
        <v>43</v>
      </c>
      <c r="N1" s="156" t="s">
        <v>44</v>
      </c>
      <c r="O1" s="156" t="s">
        <v>241</v>
      </c>
      <c r="P1" s="156" t="s">
        <v>243</v>
      </c>
      <c r="Q1" s="156" t="s">
        <v>245</v>
      </c>
      <c r="R1" s="165" t="s">
        <v>247</v>
      </c>
      <c r="S1" s="166" t="s">
        <v>250</v>
      </c>
    </row>
    <row r="2" ht="21.0" customHeight="1">
      <c r="A2" s="168">
        <v>1.0</v>
      </c>
      <c r="B2" s="170">
        <v>46301.0</v>
      </c>
      <c r="C2" s="172">
        <v>0.6319444444444444</v>
      </c>
      <c r="D2" s="168">
        <v>2.54366051E8</v>
      </c>
      <c r="E2" s="169" t="s">
        <v>8</v>
      </c>
      <c r="F2" s="174" t="s">
        <v>254</v>
      </c>
      <c r="G2" s="173">
        <v>35000.0</v>
      </c>
      <c r="H2" s="174" t="s">
        <v>255</v>
      </c>
      <c r="I2" s="175"/>
      <c r="J2" s="176"/>
      <c r="K2" s="169" t="s">
        <v>256</v>
      </c>
      <c r="L2" s="169" t="s">
        <v>257</v>
      </c>
      <c r="M2" s="177"/>
      <c r="N2" s="171"/>
      <c r="O2" s="171"/>
      <c r="P2" s="168">
        <v>2.54366051E8</v>
      </c>
      <c r="Q2" s="179" t="s">
        <v>258</v>
      </c>
      <c r="R2" s="180"/>
      <c r="S2" s="181" t="s">
        <v>259</v>
      </c>
    </row>
    <row r="3" ht="21.0" customHeight="1">
      <c r="A3" s="168">
        <v>2.0</v>
      </c>
      <c r="B3" s="170">
        <v>46301.0</v>
      </c>
      <c r="C3" s="172">
        <v>0.6319444444444444</v>
      </c>
      <c r="D3" s="168">
        <v>4.43142649E8</v>
      </c>
      <c r="E3" s="169" t="s">
        <v>260</v>
      </c>
      <c r="F3" s="174" t="s">
        <v>254</v>
      </c>
      <c r="G3" s="173">
        <v>250000.0</v>
      </c>
      <c r="H3" s="174" t="s">
        <v>255</v>
      </c>
      <c r="I3" s="175"/>
      <c r="J3" s="176"/>
      <c r="K3" s="169" t="s">
        <v>256</v>
      </c>
      <c r="L3" s="169" t="s">
        <v>257</v>
      </c>
      <c r="M3" s="177"/>
      <c r="N3" s="171"/>
      <c r="O3" s="171"/>
      <c r="P3" s="168">
        <v>4.43142649E8</v>
      </c>
      <c r="Q3" s="184"/>
      <c r="R3" s="185"/>
      <c r="S3" s="181" t="s">
        <v>259</v>
      </c>
    </row>
    <row r="4" ht="21.0" customHeight="1">
      <c r="A4" s="168">
        <v>3.0</v>
      </c>
      <c r="B4" s="170">
        <v>46301.0</v>
      </c>
      <c r="C4" s="172">
        <v>0.6395833333333333</v>
      </c>
      <c r="D4" s="168">
        <v>2.54366051E8</v>
      </c>
      <c r="E4" s="169" t="s">
        <v>8</v>
      </c>
      <c r="F4" s="174" t="s">
        <v>254</v>
      </c>
      <c r="G4" s="173">
        <v>100000.0</v>
      </c>
      <c r="H4" s="174" t="s">
        <v>255</v>
      </c>
      <c r="I4" s="175"/>
      <c r="J4" s="176"/>
      <c r="K4" s="169" t="s">
        <v>266</v>
      </c>
      <c r="L4" s="169" t="s">
        <v>267</v>
      </c>
      <c r="M4" s="177"/>
      <c r="N4" s="169" t="s">
        <v>268</v>
      </c>
      <c r="O4" s="171"/>
      <c r="P4" s="168">
        <v>2.54366051E8</v>
      </c>
      <c r="Q4" s="179" t="s">
        <v>258</v>
      </c>
      <c r="R4" s="180"/>
      <c r="S4" s="181" t="s">
        <v>269</v>
      </c>
    </row>
    <row r="5" ht="21.0" customHeight="1">
      <c r="A5" s="168">
        <v>4.0</v>
      </c>
      <c r="B5" s="170">
        <v>46301.0</v>
      </c>
      <c r="C5" s="186">
        <v>0.6479166666666667</v>
      </c>
      <c r="D5" s="168">
        <v>2.54366051E8</v>
      </c>
      <c r="E5" s="169" t="s">
        <v>8</v>
      </c>
      <c r="F5" s="174" t="s">
        <v>270</v>
      </c>
      <c r="G5" s="173">
        <v>1177845.0</v>
      </c>
      <c r="H5" s="174" t="s">
        <v>263</v>
      </c>
      <c r="I5" s="187">
        <v>100.0</v>
      </c>
      <c r="J5" s="188">
        <v>11778.45</v>
      </c>
      <c r="K5" s="169" t="s">
        <v>271</v>
      </c>
      <c r="L5" s="169" t="s">
        <v>272</v>
      </c>
      <c r="M5" s="177"/>
      <c r="N5" s="169" t="s">
        <v>273</v>
      </c>
      <c r="O5" s="171"/>
      <c r="P5" s="168">
        <v>4.43142649E8</v>
      </c>
      <c r="Q5" s="184"/>
      <c r="R5" s="185"/>
      <c r="S5" s="181" t="s">
        <v>259</v>
      </c>
    </row>
    <row r="6" ht="21.0" customHeight="1">
      <c r="A6" s="168">
        <v>5.0</v>
      </c>
      <c r="B6" s="170">
        <v>46301.0</v>
      </c>
      <c r="C6" s="186">
        <v>0.6798611111111111</v>
      </c>
      <c r="D6" s="168">
        <v>6.156487883E9</v>
      </c>
      <c r="E6" s="169" t="s">
        <v>200</v>
      </c>
      <c r="F6" s="174" t="s">
        <v>270</v>
      </c>
      <c r="G6" s="173">
        <v>1177845.0</v>
      </c>
      <c r="H6" s="174" t="s">
        <v>263</v>
      </c>
      <c r="I6" s="187">
        <v>100.0</v>
      </c>
      <c r="J6" s="188">
        <v>11778.45</v>
      </c>
      <c r="K6" s="169" t="s">
        <v>271</v>
      </c>
      <c r="L6" s="169" t="s">
        <v>272</v>
      </c>
      <c r="M6" s="177"/>
      <c r="N6" s="169" t="s">
        <v>273</v>
      </c>
      <c r="O6" s="171"/>
      <c r="P6" s="168">
        <v>4.43142649E8</v>
      </c>
      <c r="Q6" s="179" t="s">
        <v>258</v>
      </c>
      <c r="R6" s="180"/>
      <c r="S6" s="181" t="s">
        <v>259</v>
      </c>
    </row>
    <row r="7" ht="21.0" customHeight="1">
      <c r="A7" s="168">
        <v>6.0</v>
      </c>
      <c r="B7" s="170">
        <v>46301.0</v>
      </c>
      <c r="C7" s="186">
        <v>0.6805555555555556</v>
      </c>
      <c r="D7" s="168">
        <v>6.156487883E9</v>
      </c>
      <c r="E7" s="169" t="s">
        <v>200</v>
      </c>
      <c r="F7" s="174" t="s">
        <v>270</v>
      </c>
      <c r="G7" s="173">
        <v>1200000.0</v>
      </c>
      <c r="H7" s="174" t="s">
        <v>255</v>
      </c>
      <c r="I7" s="175"/>
      <c r="J7" s="176"/>
      <c r="K7" s="169" t="s">
        <v>271</v>
      </c>
      <c r="L7" s="169" t="s">
        <v>272</v>
      </c>
      <c r="M7" s="177"/>
      <c r="N7" s="169" t="s">
        <v>282</v>
      </c>
      <c r="O7" s="171"/>
      <c r="P7" s="168">
        <v>4.43142649E8</v>
      </c>
      <c r="Q7" s="184"/>
      <c r="R7" s="185"/>
      <c r="S7" s="181" t="s">
        <v>259</v>
      </c>
    </row>
    <row r="8" ht="21.0" customHeight="1">
      <c r="A8" s="168">
        <v>7.0</v>
      </c>
      <c r="B8" s="170">
        <v>46301.0</v>
      </c>
      <c r="C8" s="186">
        <v>0.6819444444444445</v>
      </c>
      <c r="D8" s="168">
        <v>2.54366051E8</v>
      </c>
      <c r="E8" s="169" t="s">
        <v>8</v>
      </c>
      <c r="F8" s="174" t="s">
        <v>254</v>
      </c>
      <c r="G8" s="173">
        <v>35000.0</v>
      </c>
      <c r="H8" s="174" t="s">
        <v>255</v>
      </c>
      <c r="I8" s="175"/>
      <c r="J8" s="176"/>
      <c r="K8" s="169" t="s">
        <v>256</v>
      </c>
      <c r="L8" s="169" t="s">
        <v>257</v>
      </c>
      <c r="M8" s="177"/>
      <c r="N8" s="169" t="s">
        <v>285</v>
      </c>
      <c r="O8" s="171"/>
      <c r="P8" s="168">
        <v>2.54366051E8</v>
      </c>
      <c r="Q8" s="184"/>
      <c r="R8" s="185"/>
      <c r="S8" s="181" t="s">
        <v>259</v>
      </c>
    </row>
    <row r="9" ht="21.0" customHeight="1">
      <c r="A9" s="168">
        <v>8.0</v>
      </c>
      <c r="B9" s="170">
        <v>46301.0</v>
      </c>
      <c r="C9" s="186">
        <v>0.6854166666666667</v>
      </c>
      <c r="D9" s="168">
        <v>6.156487883E9</v>
      </c>
      <c r="E9" s="169" t="s">
        <v>200</v>
      </c>
      <c r="F9" s="174" t="s">
        <v>254</v>
      </c>
      <c r="G9" s="173">
        <v>160000.0</v>
      </c>
      <c r="H9" s="174" t="s">
        <v>255</v>
      </c>
      <c r="I9" s="175"/>
      <c r="J9" s="176"/>
      <c r="K9" s="169" t="s">
        <v>256</v>
      </c>
      <c r="L9" s="169" t="s">
        <v>257</v>
      </c>
      <c r="M9" s="177"/>
      <c r="N9" s="169" t="s">
        <v>286</v>
      </c>
      <c r="O9" s="171"/>
      <c r="P9" s="168">
        <v>6.156487883E9</v>
      </c>
      <c r="Q9" s="184"/>
      <c r="R9" s="185"/>
      <c r="S9" s="181" t="s">
        <v>259</v>
      </c>
    </row>
    <row r="10" ht="21.0" customHeight="1">
      <c r="A10" s="190">
        <v>9.0</v>
      </c>
      <c r="B10" s="191">
        <v>46302.0</v>
      </c>
      <c r="C10" s="192">
        <v>0.8277777777777777</v>
      </c>
      <c r="D10" s="190">
        <v>2.54366051E8</v>
      </c>
      <c r="E10" s="193" t="s">
        <v>8</v>
      </c>
      <c r="F10" s="194" t="s">
        <v>254</v>
      </c>
      <c r="G10" s="195">
        <v>312000.0</v>
      </c>
      <c r="H10" s="194" t="s">
        <v>255</v>
      </c>
      <c r="I10" s="196"/>
      <c r="J10" s="197"/>
      <c r="K10" s="193" t="s">
        <v>290</v>
      </c>
      <c r="L10" s="193" t="s">
        <v>291</v>
      </c>
      <c r="M10" s="198"/>
      <c r="N10" s="193" t="s">
        <v>292</v>
      </c>
      <c r="O10" s="185"/>
      <c r="P10" s="190">
        <v>2.54366051E8</v>
      </c>
      <c r="Q10" s="199"/>
      <c r="R10" s="185"/>
      <c r="S10" s="181" t="s">
        <v>259</v>
      </c>
    </row>
    <row r="11" ht="21.0" customHeight="1">
      <c r="A11" s="190">
        <v>10.0</v>
      </c>
      <c r="B11" s="191">
        <v>46302.0</v>
      </c>
      <c r="C11" s="192">
        <v>0.8284722222222223</v>
      </c>
      <c r="D11" s="190">
        <v>2.54366051E8</v>
      </c>
      <c r="E11" s="193" t="s">
        <v>8</v>
      </c>
      <c r="F11" s="194" t="s">
        <v>254</v>
      </c>
      <c r="G11" s="195">
        <v>374000.0</v>
      </c>
      <c r="H11" s="194" t="s">
        <v>255</v>
      </c>
      <c r="I11" s="196"/>
      <c r="J11" s="197"/>
      <c r="K11" s="193" t="s">
        <v>296</v>
      </c>
      <c r="L11" s="193" t="s">
        <v>297</v>
      </c>
      <c r="M11" s="198"/>
      <c r="N11" s="193" t="s">
        <v>298</v>
      </c>
      <c r="O11" s="185"/>
      <c r="P11" s="190">
        <v>2.54366051E8</v>
      </c>
      <c r="Q11" s="199"/>
      <c r="R11" s="185"/>
      <c r="S11" s="181" t="s">
        <v>259</v>
      </c>
    </row>
    <row r="12" ht="21.0" customHeight="1">
      <c r="A12" s="190">
        <v>11.0</v>
      </c>
      <c r="B12" s="191">
        <v>46302.0</v>
      </c>
      <c r="C12" s="192">
        <v>0.8298611111111112</v>
      </c>
      <c r="D12" s="190">
        <v>2.54366051E8</v>
      </c>
      <c r="E12" s="193" t="s">
        <v>8</v>
      </c>
      <c r="F12" s="194" t="s">
        <v>254</v>
      </c>
      <c r="G12" s="195">
        <v>161000.0</v>
      </c>
      <c r="H12" s="194" t="s">
        <v>255</v>
      </c>
      <c r="I12" s="196"/>
      <c r="J12" s="197"/>
      <c r="K12" s="193" t="s">
        <v>256</v>
      </c>
      <c r="L12" s="193" t="s">
        <v>257</v>
      </c>
      <c r="M12" s="198"/>
      <c r="N12" s="193" t="s">
        <v>299</v>
      </c>
      <c r="O12" s="185"/>
      <c r="P12" s="190">
        <v>2.54366051E8</v>
      </c>
      <c r="Q12" s="199"/>
      <c r="R12" s="185"/>
      <c r="S12" s="181" t="s">
        <v>259</v>
      </c>
    </row>
    <row r="13" ht="21.0" customHeight="1">
      <c r="A13" s="190">
        <v>12.0</v>
      </c>
      <c r="B13" s="191">
        <v>46302.0</v>
      </c>
      <c r="C13" s="192">
        <v>0.8298611111111112</v>
      </c>
      <c r="D13" s="190">
        <v>2.54366051E8</v>
      </c>
      <c r="E13" s="193" t="s">
        <v>8</v>
      </c>
      <c r="F13" s="194" t="s">
        <v>254</v>
      </c>
      <c r="G13" s="195">
        <v>80000.0</v>
      </c>
      <c r="H13" s="194" t="s">
        <v>255</v>
      </c>
      <c r="I13" s="196"/>
      <c r="J13" s="197"/>
      <c r="K13" s="193" t="s">
        <v>256</v>
      </c>
      <c r="L13" s="193" t="s">
        <v>257</v>
      </c>
      <c r="M13" s="198"/>
      <c r="N13" s="193" t="s">
        <v>302</v>
      </c>
      <c r="O13" s="185"/>
      <c r="P13" s="190">
        <v>2.54366051E8</v>
      </c>
      <c r="Q13" s="199"/>
      <c r="R13" s="185"/>
      <c r="S13" s="181" t="s">
        <v>259</v>
      </c>
    </row>
    <row r="14" ht="21.0" customHeight="1">
      <c r="A14" s="190">
        <v>13.0</v>
      </c>
      <c r="B14" s="191">
        <v>46302.0</v>
      </c>
      <c r="C14" s="192">
        <v>0.8305555555555556</v>
      </c>
      <c r="D14" s="190">
        <v>2.54366051E8</v>
      </c>
      <c r="E14" s="193" t="s">
        <v>8</v>
      </c>
      <c r="F14" s="194" t="s">
        <v>254</v>
      </c>
      <c r="G14" s="195">
        <v>35000.0</v>
      </c>
      <c r="H14" s="194" t="s">
        <v>255</v>
      </c>
      <c r="I14" s="196"/>
      <c r="J14" s="197"/>
      <c r="K14" s="193" t="s">
        <v>256</v>
      </c>
      <c r="L14" s="193" t="s">
        <v>257</v>
      </c>
      <c r="M14" s="198"/>
      <c r="N14" s="193" t="s">
        <v>285</v>
      </c>
      <c r="O14" s="185"/>
      <c r="P14" s="190">
        <v>2.54366051E8</v>
      </c>
      <c r="Q14" s="199"/>
      <c r="R14" s="185"/>
      <c r="S14" s="181" t="s">
        <v>259</v>
      </c>
    </row>
    <row r="15" ht="21.0" customHeight="1">
      <c r="A15" s="190">
        <v>14.0</v>
      </c>
      <c r="B15" s="191">
        <v>46302.0</v>
      </c>
      <c r="C15" s="192">
        <v>0.83125</v>
      </c>
      <c r="D15" s="190">
        <v>2.54366051E8</v>
      </c>
      <c r="E15" s="193" t="s">
        <v>8</v>
      </c>
      <c r="F15" s="194" t="s">
        <v>254</v>
      </c>
      <c r="G15" s="195">
        <v>160000.0</v>
      </c>
      <c r="H15" s="194" t="s">
        <v>255</v>
      </c>
      <c r="I15" s="196"/>
      <c r="J15" s="197"/>
      <c r="K15" s="193" t="s">
        <v>256</v>
      </c>
      <c r="L15" s="193" t="s">
        <v>257</v>
      </c>
      <c r="M15" s="198"/>
      <c r="N15" s="193" t="s">
        <v>306</v>
      </c>
      <c r="O15" s="185"/>
      <c r="P15" s="190">
        <v>2.54366051E8</v>
      </c>
      <c r="Q15" s="199"/>
      <c r="R15" s="185"/>
      <c r="S15" s="181" t="s">
        <v>259</v>
      </c>
    </row>
    <row r="16" ht="21.0" customHeight="1">
      <c r="A16" s="190">
        <v>15.0</v>
      </c>
      <c r="B16" s="191">
        <v>46302.0</v>
      </c>
      <c r="C16" s="192">
        <v>0.9444444444444444</v>
      </c>
      <c r="D16" s="190">
        <v>2.54366051E8</v>
      </c>
      <c r="E16" s="193" t="s">
        <v>8</v>
      </c>
      <c r="F16" s="194" t="s">
        <v>254</v>
      </c>
      <c r="G16" s="195">
        <v>80000.0</v>
      </c>
      <c r="H16" s="194" t="s">
        <v>255</v>
      </c>
      <c r="I16" s="196"/>
      <c r="J16" s="197"/>
      <c r="K16" s="193" t="s">
        <v>256</v>
      </c>
      <c r="L16" s="193" t="s">
        <v>257</v>
      </c>
      <c r="M16" s="201">
        <v>388.0</v>
      </c>
      <c r="N16" s="193" t="s">
        <v>307</v>
      </c>
      <c r="O16" s="185"/>
      <c r="P16" s="190">
        <v>2.54366051E8</v>
      </c>
      <c r="Q16" s="199"/>
      <c r="R16" s="185"/>
      <c r="S16" s="181" t="s">
        <v>259</v>
      </c>
    </row>
    <row r="17" ht="21.0" customHeight="1">
      <c r="A17" s="190">
        <v>16.0</v>
      </c>
      <c r="B17" s="191">
        <v>46303.0</v>
      </c>
      <c r="C17" s="192">
        <v>0.6645833333333333</v>
      </c>
      <c r="D17" s="190">
        <v>2.54366051E8</v>
      </c>
      <c r="E17" s="193" t="s">
        <v>8</v>
      </c>
      <c r="F17" s="194" t="s">
        <v>270</v>
      </c>
      <c r="G17" s="195">
        <v>1180919.0</v>
      </c>
      <c r="H17" s="194" t="s">
        <v>263</v>
      </c>
      <c r="I17" s="202">
        <v>100.0</v>
      </c>
      <c r="J17" s="203">
        <v>11809.19</v>
      </c>
      <c r="K17" s="193" t="s">
        <v>271</v>
      </c>
      <c r="L17" s="193" t="s">
        <v>272</v>
      </c>
      <c r="M17" s="201"/>
      <c r="N17" s="193" t="s">
        <v>321</v>
      </c>
      <c r="O17" s="185"/>
      <c r="P17" s="190">
        <v>4.43142649E8</v>
      </c>
      <c r="Q17" s="199"/>
      <c r="R17" s="185"/>
      <c r="S17" s="181" t="s">
        <v>259</v>
      </c>
    </row>
    <row r="18" ht="21.0" customHeight="1">
      <c r="A18" s="190">
        <v>17.0</v>
      </c>
      <c r="B18" s="191">
        <v>46303.0</v>
      </c>
      <c r="C18" s="192">
        <v>0.7270833333333333</v>
      </c>
      <c r="D18" s="190">
        <v>2.54366051E8</v>
      </c>
      <c r="E18" s="193" t="s">
        <v>8</v>
      </c>
      <c r="F18" s="194" t="s">
        <v>254</v>
      </c>
      <c r="G18" s="195">
        <v>40000.0</v>
      </c>
      <c r="H18" s="194" t="s">
        <v>255</v>
      </c>
      <c r="I18" s="202"/>
      <c r="J18" s="203"/>
      <c r="K18" s="193" t="s">
        <v>323</v>
      </c>
      <c r="L18" s="193" t="s">
        <v>324</v>
      </c>
      <c r="M18" s="201"/>
      <c r="N18" s="193" t="s">
        <v>325</v>
      </c>
      <c r="O18" s="185"/>
      <c r="P18" s="190">
        <v>2.54366051E8</v>
      </c>
      <c r="Q18" s="199"/>
      <c r="R18" s="185"/>
      <c r="S18" s="181" t="s">
        <v>259</v>
      </c>
    </row>
    <row r="19" ht="21.0" customHeight="1">
      <c r="A19" s="190">
        <v>18.0</v>
      </c>
      <c r="B19" s="191">
        <v>46303.0</v>
      </c>
      <c r="C19" s="192">
        <v>0.8326388888888889</v>
      </c>
      <c r="D19" s="190">
        <v>6.156487883E9</v>
      </c>
      <c r="E19" s="193" t="s">
        <v>200</v>
      </c>
      <c r="F19" s="194" t="s">
        <v>270</v>
      </c>
      <c r="G19" s="195">
        <v>1200000.0</v>
      </c>
      <c r="H19" s="194" t="s">
        <v>255</v>
      </c>
      <c r="I19" s="202"/>
      <c r="J19" s="203"/>
      <c r="K19" s="193" t="s">
        <v>271</v>
      </c>
      <c r="L19" s="193" t="s">
        <v>272</v>
      </c>
      <c r="M19" s="201"/>
      <c r="N19" s="193" t="s">
        <v>273</v>
      </c>
      <c r="O19" s="185"/>
      <c r="P19" s="190">
        <v>4.43142649E8</v>
      </c>
      <c r="Q19" s="199"/>
      <c r="R19" s="185"/>
      <c r="S19" s="181" t="s">
        <v>259</v>
      </c>
    </row>
    <row r="20" ht="21.0" customHeight="1">
      <c r="A20" s="190">
        <v>19.0</v>
      </c>
      <c r="B20" s="191">
        <v>46303.0</v>
      </c>
      <c r="C20" s="192">
        <v>0.9326388888888889</v>
      </c>
      <c r="D20" s="190">
        <v>2.54366051E8</v>
      </c>
      <c r="E20" s="193" t="s">
        <v>8</v>
      </c>
      <c r="F20" s="194" t="s">
        <v>254</v>
      </c>
      <c r="G20" s="195">
        <v>465000.0</v>
      </c>
      <c r="H20" s="194" t="s">
        <v>255</v>
      </c>
      <c r="I20" s="202"/>
      <c r="J20" s="203"/>
      <c r="K20" s="193" t="s">
        <v>296</v>
      </c>
      <c r="L20" s="193" t="s">
        <v>297</v>
      </c>
      <c r="M20" s="201"/>
      <c r="N20" s="193" t="s">
        <v>329</v>
      </c>
      <c r="O20" s="185"/>
      <c r="P20" s="190">
        <v>2.54366051E8</v>
      </c>
      <c r="Q20" s="199"/>
      <c r="R20" s="185"/>
      <c r="S20" s="181" t="s">
        <v>259</v>
      </c>
    </row>
    <row r="21" ht="21.0" customHeight="1">
      <c r="A21" s="190">
        <v>20.0</v>
      </c>
      <c r="B21" s="191">
        <v>46304.0</v>
      </c>
      <c r="C21" s="192">
        <v>0.59375</v>
      </c>
      <c r="D21" s="190">
        <v>2.54366051E8</v>
      </c>
      <c r="E21" s="193" t="s">
        <v>8</v>
      </c>
      <c r="F21" s="194" t="s">
        <v>254</v>
      </c>
      <c r="G21" s="195">
        <v>35000.0</v>
      </c>
      <c r="H21" s="194" t="s">
        <v>255</v>
      </c>
      <c r="I21" s="202"/>
      <c r="J21" s="203"/>
      <c r="K21" s="193" t="s">
        <v>256</v>
      </c>
      <c r="L21" s="193" t="s">
        <v>257</v>
      </c>
      <c r="M21" s="201"/>
      <c r="N21" s="193" t="s">
        <v>332</v>
      </c>
      <c r="O21" s="185"/>
      <c r="P21" s="190">
        <v>2.54366051E8</v>
      </c>
      <c r="Q21" s="199"/>
      <c r="R21" s="185"/>
      <c r="S21" s="181" t="s">
        <v>259</v>
      </c>
    </row>
    <row r="22" ht="21.0" customHeight="1">
      <c r="A22" s="190">
        <v>21.0</v>
      </c>
      <c r="B22" s="191">
        <v>46304.0</v>
      </c>
      <c r="C22" s="192">
        <v>0.5944444444444444</v>
      </c>
      <c r="D22" s="190">
        <v>2.54366051E8</v>
      </c>
      <c r="E22" s="193" t="s">
        <v>8</v>
      </c>
      <c r="F22" s="194" t="s">
        <v>254</v>
      </c>
      <c r="G22" s="195">
        <v>35000.0</v>
      </c>
      <c r="H22" s="194" t="s">
        <v>255</v>
      </c>
      <c r="I22" s="202"/>
      <c r="J22" s="203"/>
      <c r="K22" s="193" t="s">
        <v>256</v>
      </c>
      <c r="L22" s="193" t="s">
        <v>257</v>
      </c>
      <c r="M22" s="201"/>
      <c r="N22" s="193" t="s">
        <v>336</v>
      </c>
      <c r="O22" s="185"/>
      <c r="P22" s="190">
        <v>2.54366051E8</v>
      </c>
      <c r="Q22" s="199"/>
      <c r="R22" s="185"/>
      <c r="S22" s="181" t="s">
        <v>259</v>
      </c>
    </row>
    <row r="23" ht="21.0" customHeight="1">
      <c r="A23" s="190">
        <v>22.0</v>
      </c>
      <c r="B23" s="191">
        <v>46304.0</v>
      </c>
      <c r="C23" s="192">
        <v>0.7048611111111112</v>
      </c>
      <c r="D23" s="190">
        <v>2.54366051E8</v>
      </c>
      <c r="E23" s="193" t="s">
        <v>8</v>
      </c>
      <c r="F23" s="194" t="s">
        <v>270</v>
      </c>
      <c r="G23" s="195">
        <v>1200000.0</v>
      </c>
      <c r="H23" s="194" t="s">
        <v>255</v>
      </c>
      <c r="I23" s="202"/>
      <c r="J23" s="203"/>
      <c r="K23" s="193" t="s">
        <v>271</v>
      </c>
      <c r="L23" s="193" t="s">
        <v>272</v>
      </c>
      <c r="M23" s="201"/>
      <c r="N23" s="193" t="s">
        <v>339</v>
      </c>
      <c r="O23" s="185"/>
      <c r="P23" s="190">
        <v>4.43142649E8</v>
      </c>
      <c r="Q23" s="199"/>
      <c r="R23" s="185"/>
      <c r="S23" s="181" t="s">
        <v>259</v>
      </c>
    </row>
    <row r="24" ht="21.0" customHeight="1">
      <c r="A24" s="190">
        <v>23.0</v>
      </c>
      <c r="B24" s="191">
        <v>46304.0</v>
      </c>
      <c r="C24" s="192">
        <v>0.7083333333333334</v>
      </c>
      <c r="D24" s="190">
        <v>2.54366051E8</v>
      </c>
      <c r="E24" s="193" t="s">
        <v>8</v>
      </c>
      <c r="F24" s="194" t="s">
        <v>254</v>
      </c>
      <c r="G24" s="195">
        <v>250000.0</v>
      </c>
      <c r="H24" s="194" t="s">
        <v>255</v>
      </c>
      <c r="I24" s="202"/>
      <c r="J24" s="203"/>
      <c r="K24" s="193" t="s">
        <v>342</v>
      </c>
      <c r="L24" s="193" t="s">
        <v>343</v>
      </c>
      <c r="M24" s="201"/>
      <c r="N24" s="193" t="s">
        <v>344</v>
      </c>
      <c r="O24" s="185"/>
      <c r="P24" s="190">
        <v>2.54366051E8</v>
      </c>
      <c r="Q24" s="199"/>
      <c r="R24" s="185"/>
      <c r="S24" s="181" t="s">
        <v>259</v>
      </c>
    </row>
    <row r="25" ht="21.0" customHeight="1">
      <c r="A25" s="190">
        <v>24.0</v>
      </c>
      <c r="B25" s="191">
        <v>46304.0</v>
      </c>
      <c r="C25" s="192">
        <v>0.7097222222222223</v>
      </c>
      <c r="D25" s="190">
        <v>2.54366051E8</v>
      </c>
      <c r="E25" s="193" t="s">
        <v>8</v>
      </c>
      <c r="F25" s="194" t="s">
        <v>254</v>
      </c>
      <c r="G25" s="195">
        <v>52000.0</v>
      </c>
      <c r="H25" s="194" t="s">
        <v>255</v>
      </c>
      <c r="I25" s="202"/>
      <c r="J25" s="203"/>
      <c r="K25" s="193" t="s">
        <v>342</v>
      </c>
      <c r="L25" s="193" t="s">
        <v>343</v>
      </c>
      <c r="M25" s="201"/>
      <c r="N25" s="193" t="s">
        <v>347</v>
      </c>
      <c r="O25" s="185"/>
      <c r="P25" s="190">
        <v>2.54366051E8</v>
      </c>
      <c r="Q25" s="199"/>
      <c r="R25" s="185"/>
      <c r="S25" s="181" t="s">
        <v>259</v>
      </c>
    </row>
    <row r="26" ht="21.0" customHeight="1">
      <c r="A26" s="190">
        <v>25.0</v>
      </c>
      <c r="B26" s="191">
        <v>46304.0</v>
      </c>
      <c r="C26" s="192">
        <v>0.7118055555555556</v>
      </c>
      <c r="D26" s="190">
        <v>2.54366051E8</v>
      </c>
      <c r="E26" s="193" t="s">
        <v>8</v>
      </c>
      <c r="F26" s="194" t="s">
        <v>254</v>
      </c>
      <c r="G26" s="195">
        <v>35000.0</v>
      </c>
      <c r="H26" s="194" t="s">
        <v>255</v>
      </c>
      <c r="I26" s="202"/>
      <c r="J26" s="203"/>
      <c r="K26" s="193" t="s">
        <v>256</v>
      </c>
      <c r="L26" s="193" t="s">
        <v>257</v>
      </c>
      <c r="M26" s="201"/>
      <c r="N26" s="193" t="s">
        <v>351</v>
      </c>
      <c r="O26" s="185"/>
      <c r="P26" s="190">
        <v>2.54366051E8</v>
      </c>
      <c r="Q26" s="199"/>
      <c r="R26" s="185"/>
      <c r="S26" s="181" t="s">
        <v>259</v>
      </c>
    </row>
    <row r="27" ht="21.0" customHeight="1">
      <c r="A27" s="190">
        <v>26.0</v>
      </c>
      <c r="B27" s="191">
        <v>46304.0</v>
      </c>
      <c r="C27" s="192">
        <v>0.7125</v>
      </c>
      <c r="D27" s="190">
        <v>2.54366051E8</v>
      </c>
      <c r="E27" s="193" t="s">
        <v>8</v>
      </c>
      <c r="F27" s="194" t="s">
        <v>254</v>
      </c>
      <c r="G27" s="195">
        <v>241000.0</v>
      </c>
      <c r="H27" s="194" t="s">
        <v>255</v>
      </c>
      <c r="I27" s="202"/>
      <c r="J27" s="203"/>
      <c r="K27" s="193" t="s">
        <v>323</v>
      </c>
      <c r="L27" s="193" t="s">
        <v>324</v>
      </c>
      <c r="M27" s="201"/>
      <c r="N27" s="193" t="s">
        <v>352</v>
      </c>
      <c r="O27" s="185"/>
      <c r="P27" s="190">
        <v>2.54366051E8</v>
      </c>
      <c r="Q27" s="199"/>
      <c r="R27" s="185"/>
      <c r="S27" s="181" t="s">
        <v>259</v>
      </c>
    </row>
    <row r="28" ht="21.0" customHeight="1">
      <c r="A28" s="190">
        <v>27.0</v>
      </c>
      <c r="B28" s="191">
        <v>46304.0</v>
      </c>
      <c r="C28" s="192">
        <v>0.7125</v>
      </c>
      <c r="D28" s="190">
        <v>6.156487883E9</v>
      </c>
      <c r="E28" s="193" t="s">
        <v>200</v>
      </c>
      <c r="F28" s="194" t="s">
        <v>254</v>
      </c>
      <c r="G28" s="195">
        <v>80000.0</v>
      </c>
      <c r="H28" s="194" t="s">
        <v>255</v>
      </c>
      <c r="I28" s="202"/>
      <c r="J28" s="203"/>
      <c r="K28" s="193" t="s">
        <v>256</v>
      </c>
      <c r="L28" s="193" t="s">
        <v>257</v>
      </c>
      <c r="M28" s="201">
        <v>388.0</v>
      </c>
      <c r="N28" s="193" t="s">
        <v>356</v>
      </c>
      <c r="O28" s="185"/>
      <c r="P28" s="190">
        <v>6.156487883E9</v>
      </c>
      <c r="Q28" s="199"/>
      <c r="R28" s="185"/>
      <c r="S28" s="181" t="s">
        <v>259</v>
      </c>
    </row>
    <row r="29" ht="21.0" customHeight="1">
      <c r="A29" s="190">
        <v>28.0</v>
      </c>
      <c r="B29" s="191">
        <v>46304.0</v>
      </c>
      <c r="C29" s="192">
        <v>0.7138888888888889</v>
      </c>
      <c r="D29" s="190">
        <v>6.156487883E9</v>
      </c>
      <c r="E29" s="193" t="s">
        <v>200</v>
      </c>
      <c r="F29" s="194" t="s">
        <v>254</v>
      </c>
      <c r="G29" s="195">
        <v>40000.0</v>
      </c>
      <c r="H29" s="194" t="s">
        <v>255</v>
      </c>
      <c r="I29" s="202"/>
      <c r="J29" s="203"/>
      <c r="K29" s="193" t="s">
        <v>256</v>
      </c>
      <c r="L29" s="193" t="s">
        <v>257</v>
      </c>
      <c r="M29" s="201">
        <v>388.0</v>
      </c>
      <c r="N29" s="193" t="s">
        <v>357</v>
      </c>
      <c r="O29" s="185"/>
      <c r="P29" s="190">
        <v>6.156487883E9</v>
      </c>
      <c r="Q29" s="199"/>
      <c r="R29" s="185"/>
      <c r="S29" s="181" t="s">
        <v>259</v>
      </c>
    </row>
    <row r="30" ht="21.0" customHeight="1">
      <c r="A30" s="190">
        <v>29.0</v>
      </c>
      <c r="B30" s="191">
        <v>46304.0</v>
      </c>
      <c r="C30" s="192">
        <v>0.7145833333333333</v>
      </c>
      <c r="D30" s="190">
        <v>2.54366051E8</v>
      </c>
      <c r="E30" s="193" t="s">
        <v>8</v>
      </c>
      <c r="F30" s="194" t="s">
        <v>254</v>
      </c>
      <c r="G30" s="195">
        <v>20000.0</v>
      </c>
      <c r="H30" s="194" t="s">
        <v>255</v>
      </c>
      <c r="I30" s="202"/>
      <c r="J30" s="203"/>
      <c r="K30" s="193" t="s">
        <v>361</v>
      </c>
      <c r="L30" s="193" t="s">
        <v>362</v>
      </c>
      <c r="M30" s="201"/>
      <c r="N30" s="193" t="s">
        <v>363</v>
      </c>
      <c r="O30" s="185"/>
      <c r="P30" s="190">
        <v>2.54366051E8</v>
      </c>
      <c r="Q30" s="199"/>
      <c r="R30" s="185"/>
      <c r="S30" s="181" t="s">
        <v>259</v>
      </c>
    </row>
    <row r="31" ht="21.0" customHeight="1">
      <c r="A31" s="190">
        <v>30.0</v>
      </c>
      <c r="B31" s="191">
        <v>46304.0</v>
      </c>
      <c r="C31" s="192">
        <v>0.7152777777777778</v>
      </c>
      <c r="D31" s="190">
        <v>2.54366051E8</v>
      </c>
      <c r="E31" s="193" t="s">
        <v>8</v>
      </c>
      <c r="F31" s="194" t="s">
        <v>254</v>
      </c>
      <c r="G31" s="195">
        <v>150000.0</v>
      </c>
      <c r="H31" s="194" t="s">
        <v>255</v>
      </c>
      <c r="I31" s="202"/>
      <c r="J31" s="203"/>
      <c r="K31" s="193" t="s">
        <v>266</v>
      </c>
      <c r="L31" s="193" t="s">
        <v>267</v>
      </c>
      <c r="M31" s="201"/>
      <c r="N31" s="193" t="s">
        <v>365</v>
      </c>
      <c r="O31" s="185"/>
      <c r="P31" s="190">
        <v>2.54366051E8</v>
      </c>
      <c r="Q31" s="199"/>
      <c r="R31" s="193" t="s">
        <v>126</v>
      </c>
      <c r="S31" s="181" t="s">
        <v>269</v>
      </c>
    </row>
    <row r="32" ht="21.0" customHeight="1">
      <c r="A32" s="190">
        <v>31.0</v>
      </c>
      <c r="B32" s="191">
        <v>46304.0</v>
      </c>
      <c r="C32" s="192">
        <v>0.7159722222222222</v>
      </c>
      <c r="D32" s="190">
        <v>6.156487883E9</v>
      </c>
      <c r="E32" s="193" t="s">
        <v>200</v>
      </c>
      <c r="F32" s="194" t="s">
        <v>254</v>
      </c>
      <c r="G32" s="195">
        <v>5000.0</v>
      </c>
      <c r="H32" s="194" t="s">
        <v>255</v>
      </c>
      <c r="I32" s="202"/>
      <c r="J32" s="203"/>
      <c r="K32" s="193" t="s">
        <v>368</v>
      </c>
      <c r="L32" s="193" t="s">
        <v>369</v>
      </c>
      <c r="M32" s="201"/>
      <c r="N32" s="193" t="s">
        <v>370</v>
      </c>
      <c r="O32" s="185"/>
      <c r="P32" s="190">
        <v>6.156487883E9</v>
      </c>
      <c r="Q32" s="199"/>
      <c r="R32" s="193"/>
      <c r="S32" s="181" t="s">
        <v>259</v>
      </c>
    </row>
    <row r="33" ht="21.0" customHeight="1">
      <c r="A33" s="190">
        <v>32.0</v>
      </c>
      <c r="B33" s="191">
        <v>46304.0</v>
      </c>
      <c r="C33" s="192">
        <v>0.7173611111111111</v>
      </c>
      <c r="D33" s="190">
        <v>2.54366051E8</v>
      </c>
      <c r="E33" s="193" t="s">
        <v>8</v>
      </c>
      <c r="F33" s="194" t="s">
        <v>254</v>
      </c>
      <c r="G33" s="195">
        <v>50000.0</v>
      </c>
      <c r="H33" s="194" t="s">
        <v>255</v>
      </c>
      <c r="I33" s="202"/>
      <c r="J33" s="203"/>
      <c r="K33" s="193" t="s">
        <v>372</v>
      </c>
      <c r="L33" s="193" t="s">
        <v>373</v>
      </c>
      <c r="M33" s="201">
        <v>383.0</v>
      </c>
      <c r="N33" s="193" t="s">
        <v>375</v>
      </c>
      <c r="O33" s="185"/>
      <c r="P33" s="190">
        <v>2.54366051E8</v>
      </c>
      <c r="Q33" s="199"/>
      <c r="R33" s="193"/>
      <c r="S33" s="181" t="s">
        <v>259</v>
      </c>
    </row>
    <row r="34" ht="21.0" customHeight="1">
      <c r="A34" s="190">
        <v>33.0</v>
      </c>
      <c r="B34" s="191">
        <v>46304.0</v>
      </c>
      <c r="C34" s="192">
        <v>0.7180555555555556</v>
      </c>
      <c r="D34" s="190">
        <v>6.156487883E9</v>
      </c>
      <c r="E34" s="193" t="s">
        <v>200</v>
      </c>
      <c r="F34" s="194" t="s">
        <v>254</v>
      </c>
      <c r="G34" s="195">
        <v>325000.0</v>
      </c>
      <c r="H34" s="194" t="s">
        <v>255</v>
      </c>
      <c r="I34" s="202"/>
      <c r="J34" s="203"/>
      <c r="K34" s="193" t="s">
        <v>368</v>
      </c>
      <c r="L34" s="193" t="s">
        <v>369</v>
      </c>
      <c r="M34" s="201"/>
      <c r="N34" s="193" t="s">
        <v>377</v>
      </c>
      <c r="O34" s="185"/>
      <c r="P34" s="190">
        <v>6.156487883E9</v>
      </c>
      <c r="Q34" s="199"/>
      <c r="R34" s="193"/>
      <c r="S34" s="181" t="s">
        <v>259</v>
      </c>
    </row>
    <row r="35" ht="21.0" customHeight="1">
      <c r="A35" s="190">
        <v>34.0</v>
      </c>
      <c r="B35" s="191">
        <v>46304.0</v>
      </c>
      <c r="C35" s="192">
        <v>0.71875</v>
      </c>
      <c r="D35" s="190">
        <v>2.54366051E8</v>
      </c>
      <c r="E35" s="193" t="s">
        <v>8</v>
      </c>
      <c r="F35" s="194" t="s">
        <v>254</v>
      </c>
      <c r="G35" s="195">
        <v>100000.0</v>
      </c>
      <c r="H35" s="194" t="s">
        <v>255</v>
      </c>
      <c r="I35" s="202"/>
      <c r="J35" s="203"/>
      <c r="K35" s="193" t="s">
        <v>380</v>
      </c>
      <c r="L35" s="193" t="s">
        <v>381</v>
      </c>
      <c r="M35" s="201"/>
      <c r="N35" s="193" t="s">
        <v>385</v>
      </c>
      <c r="O35" s="185"/>
      <c r="P35" s="190">
        <v>2.54366051E8</v>
      </c>
      <c r="Q35" s="199"/>
      <c r="R35" s="193"/>
      <c r="S35" s="181" t="s">
        <v>259</v>
      </c>
    </row>
    <row r="36" ht="21.0" customHeight="1">
      <c r="A36" s="190">
        <v>35.0</v>
      </c>
      <c r="B36" s="191">
        <v>46304.0</v>
      </c>
      <c r="C36" s="192">
        <v>0.7194444444444444</v>
      </c>
      <c r="D36" s="190">
        <v>2.54366051E8</v>
      </c>
      <c r="E36" s="193" t="s">
        <v>8</v>
      </c>
      <c r="F36" s="194" t="s">
        <v>254</v>
      </c>
      <c r="G36" s="195">
        <v>100000.0</v>
      </c>
      <c r="H36" s="194" t="s">
        <v>255</v>
      </c>
      <c r="I36" s="202"/>
      <c r="J36" s="203"/>
      <c r="K36" s="193" t="s">
        <v>342</v>
      </c>
      <c r="L36" s="193" t="s">
        <v>343</v>
      </c>
      <c r="M36" s="201"/>
      <c r="N36" s="193" t="s">
        <v>408</v>
      </c>
      <c r="O36" s="185"/>
      <c r="P36" s="190">
        <v>2.54366051E8</v>
      </c>
      <c r="Q36" s="199"/>
      <c r="R36" s="193"/>
      <c r="S36" s="181" t="s">
        <v>259</v>
      </c>
    </row>
    <row r="37" ht="21.0" customHeight="1">
      <c r="A37" s="190">
        <v>36.0</v>
      </c>
      <c r="B37" s="191">
        <v>46304.0</v>
      </c>
      <c r="C37" s="192">
        <v>0.7208333333333333</v>
      </c>
      <c r="D37" s="190">
        <v>2.54366051E8</v>
      </c>
      <c r="E37" s="193" t="s">
        <v>8</v>
      </c>
      <c r="F37" s="194" t="s">
        <v>254</v>
      </c>
      <c r="G37" s="195">
        <v>140000.0</v>
      </c>
      <c r="H37" s="194" t="s">
        <v>255</v>
      </c>
      <c r="I37" s="202"/>
      <c r="J37" s="203"/>
      <c r="K37" s="193" t="s">
        <v>296</v>
      </c>
      <c r="L37" s="193" t="s">
        <v>297</v>
      </c>
      <c r="M37" s="201"/>
      <c r="N37" s="193" t="s">
        <v>427</v>
      </c>
      <c r="O37" s="185"/>
      <c r="P37" s="190">
        <v>2.54366051E8</v>
      </c>
      <c r="Q37" s="199"/>
      <c r="R37" s="193"/>
      <c r="S37" s="181" t="s">
        <v>259</v>
      </c>
    </row>
    <row r="38" ht="21.0" customHeight="1">
      <c r="A38" s="190">
        <v>37.0</v>
      </c>
      <c r="B38" s="191">
        <v>46305.0</v>
      </c>
      <c r="C38" s="192">
        <v>0.0625</v>
      </c>
      <c r="D38" s="190">
        <v>2.54366051E8</v>
      </c>
      <c r="E38" s="193" t="s">
        <v>8</v>
      </c>
      <c r="F38" s="194" t="s">
        <v>254</v>
      </c>
      <c r="G38" s="195">
        <v>200000.0</v>
      </c>
      <c r="H38" s="194" t="s">
        <v>255</v>
      </c>
      <c r="I38" s="202"/>
      <c r="J38" s="203"/>
      <c r="K38" s="193" t="s">
        <v>266</v>
      </c>
      <c r="L38" s="193" t="s">
        <v>267</v>
      </c>
      <c r="M38" s="201"/>
      <c r="N38" s="193" t="s">
        <v>432</v>
      </c>
      <c r="O38" s="185"/>
      <c r="P38" s="190">
        <v>2.54366051E8</v>
      </c>
      <c r="Q38" s="199"/>
      <c r="R38" s="193" t="s">
        <v>10</v>
      </c>
      <c r="S38" s="181" t="s">
        <v>269</v>
      </c>
    </row>
    <row r="39" ht="21.0" customHeight="1">
      <c r="A39" s="190">
        <v>38.0</v>
      </c>
      <c r="B39" s="191">
        <v>46305.0</v>
      </c>
      <c r="C39" s="192">
        <v>0.80625</v>
      </c>
      <c r="D39" s="190">
        <v>2.54366051E8</v>
      </c>
      <c r="E39" s="193" t="s">
        <v>8</v>
      </c>
      <c r="F39" s="194" t="s">
        <v>270</v>
      </c>
      <c r="G39" s="195">
        <v>1189790.0</v>
      </c>
      <c r="H39" s="194" t="s">
        <v>263</v>
      </c>
      <c r="I39" s="202">
        <v>100.0</v>
      </c>
      <c r="J39" s="203">
        <v>11897.9</v>
      </c>
      <c r="K39" s="193" t="s">
        <v>271</v>
      </c>
      <c r="L39" s="193" t="s">
        <v>272</v>
      </c>
      <c r="M39" s="201"/>
      <c r="N39" s="193" t="s">
        <v>321</v>
      </c>
      <c r="O39" s="185"/>
      <c r="P39" s="190">
        <v>4.43142649E8</v>
      </c>
      <c r="Q39" s="201" t="s">
        <v>258</v>
      </c>
      <c r="R39" s="193"/>
      <c r="S39" s="181" t="s">
        <v>259</v>
      </c>
    </row>
    <row r="40" ht="21.0" customHeight="1">
      <c r="A40" s="190">
        <v>39.0</v>
      </c>
      <c r="B40" s="191">
        <v>46305.0</v>
      </c>
      <c r="C40" s="192">
        <v>0.8083333333333333</v>
      </c>
      <c r="D40" s="190">
        <v>2.54366051E8</v>
      </c>
      <c r="E40" s="193" t="s">
        <v>8</v>
      </c>
      <c r="F40" s="194" t="s">
        <v>270</v>
      </c>
      <c r="G40" s="195">
        <v>1180000.0</v>
      </c>
      <c r="H40" s="194" t="s">
        <v>263</v>
      </c>
      <c r="I40" s="202">
        <v>100.0</v>
      </c>
      <c r="J40" s="203">
        <v>11800.0</v>
      </c>
      <c r="K40" s="193" t="s">
        <v>271</v>
      </c>
      <c r="L40" s="193" t="s">
        <v>272</v>
      </c>
      <c r="M40" s="201"/>
      <c r="N40" s="193" t="s">
        <v>273</v>
      </c>
      <c r="O40" s="185"/>
      <c r="P40" s="190">
        <v>4.43142649E8</v>
      </c>
      <c r="Q40" s="201"/>
      <c r="R40" s="193"/>
      <c r="S40" s="181" t="s">
        <v>259</v>
      </c>
    </row>
    <row r="41" ht="21.0" customHeight="1">
      <c r="A41" s="190">
        <v>40.0</v>
      </c>
      <c r="B41" s="191">
        <v>46305.0</v>
      </c>
      <c r="C41" s="192">
        <v>0.8090277777777778</v>
      </c>
      <c r="D41" s="190">
        <v>2.54366051E8</v>
      </c>
      <c r="E41" s="193" t="s">
        <v>8</v>
      </c>
      <c r="F41" s="194" t="s">
        <v>254</v>
      </c>
      <c r="G41" s="195">
        <v>20000.0</v>
      </c>
      <c r="H41" s="194" t="s">
        <v>255</v>
      </c>
      <c r="I41" s="202"/>
      <c r="J41" s="203"/>
      <c r="K41" s="193" t="s">
        <v>266</v>
      </c>
      <c r="L41" s="193" t="s">
        <v>267</v>
      </c>
      <c r="M41" s="201"/>
      <c r="N41" s="193" t="s">
        <v>437</v>
      </c>
      <c r="O41" s="185"/>
      <c r="P41" s="190">
        <v>2.54366051E8</v>
      </c>
      <c r="Q41" s="201"/>
      <c r="R41" s="193" t="s">
        <v>10</v>
      </c>
      <c r="S41" s="181" t="s">
        <v>269</v>
      </c>
    </row>
    <row r="42" ht="21.0" customHeight="1">
      <c r="A42" s="190">
        <v>41.0</v>
      </c>
      <c r="B42" s="191">
        <v>46305.0</v>
      </c>
      <c r="C42" s="192">
        <v>0.8104166666666667</v>
      </c>
      <c r="D42" s="190">
        <v>2.54366051E8</v>
      </c>
      <c r="E42" s="193" t="s">
        <v>8</v>
      </c>
      <c r="F42" s="194" t="s">
        <v>254</v>
      </c>
      <c r="G42" s="195">
        <v>20000.0</v>
      </c>
      <c r="H42" s="194" t="s">
        <v>255</v>
      </c>
      <c r="I42" s="202"/>
      <c r="J42" s="203"/>
      <c r="K42" s="193" t="s">
        <v>266</v>
      </c>
      <c r="L42" s="193" t="s">
        <v>267</v>
      </c>
      <c r="M42" s="201"/>
      <c r="N42" s="193" t="s">
        <v>437</v>
      </c>
      <c r="O42" s="185"/>
      <c r="P42" s="190">
        <v>2.54366051E8</v>
      </c>
      <c r="Q42" s="201"/>
      <c r="R42" s="193" t="s">
        <v>107</v>
      </c>
      <c r="S42" s="181" t="s">
        <v>269</v>
      </c>
    </row>
    <row r="43" ht="21.0" customHeight="1">
      <c r="A43" s="190">
        <v>42.0</v>
      </c>
      <c r="B43" s="191">
        <v>46305.0</v>
      </c>
      <c r="C43" s="192">
        <v>0.8111111111111111</v>
      </c>
      <c r="D43" s="190">
        <v>2.54366051E8</v>
      </c>
      <c r="E43" s="193" t="s">
        <v>8</v>
      </c>
      <c r="F43" s="194" t="s">
        <v>254</v>
      </c>
      <c r="G43" s="195">
        <v>20000.0</v>
      </c>
      <c r="H43" s="194" t="s">
        <v>255</v>
      </c>
      <c r="I43" s="202"/>
      <c r="J43" s="203"/>
      <c r="K43" s="193" t="s">
        <v>266</v>
      </c>
      <c r="L43" s="193" t="s">
        <v>267</v>
      </c>
      <c r="M43" s="201"/>
      <c r="N43" s="193" t="s">
        <v>437</v>
      </c>
      <c r="O43" s="185"/>
      <c r="P43" s="190">
        <v>2.54366051E8</v>
      </c>
      <c r="Q43" s="201"/>
      <c r="R43" s="193" t="s">
        <v>109</v>
      </c>
      <c r="S43" s="181" t="s">
        <v>269</v>
      </c>
    </row>
    <row r="44" ht="21.0" customHeight="1">
      <c r="A44" s="190">
        <v>43.0</v>
      </c>
      <c r="B44" s="191">
        <v>46305.0</v>
      </c>
      <c r="C44" s="192">
        <v>0.8111111111111111</v>
      </c>
      <c r="D44" s="190">
        <v>2.54366051E8</v>
      </c>
      <c r="E44" s="193" t="s">
        <v>8</v>
      </c>
      <c r="F44" s="194" t="s">
        <v>254</v>
      </c>
      <c r="G44" s="195">
        <v>20000.0</v>
      </c>
      <c r="H44" s="194" t="s">
        <v>255</v>
      </c>
      <c r="I44" s="202"/>
      <c r="J44" s="203"/>
      <c r="K44" s="193" t="s">
        <v>266</v>
      </c>
      <c r="L44" s="193" t="s">
        <v>267</v>
      </c>
      <c r="M44" s="201"/>
      <c r="N44" s="193" t="s">
        <v>437</v>
      </c>
      <c r="O44" s="185"/>
      <c r="P44" s="190">
        <v>2.54366051E8</v>
      </c>
      <c r="Q44" s="201"/>
      <c r="R44" s="193" t="s">
        <v>110</v>
      </c>
      <c r="S44" s="181" t="s">
        <v>269</v>
      </c>
    </row>
    <row r="45" ht="21.0" customHeight="1">
      <c r="A45" s="190">
        <v>44.0</v>
      </c>
      <c r="B45" s="191">
        <v>46305.0</v>
      </c>
      <c r="C45" s="192">
        <v>0.8118055555555556</v>
      </c>
      <c r="D45" s="190">
        <v>2.54366051E8</v>
      </c>
      <c r="E45" s="193" t="s">
        <v>8</v>
      </c>
      <c r="F45" s="194" t="s">
        <v>254</v>
      </c>
      <c r="G45" s="195">
        <v>20000.0</v>
      </c>
      <c r="H45" s="194" t="s">
        <v>255</v>
      </c>
      <c r="I45" s="202"/>
      <c r="J45" s="203"/>
      <c r="K45" s="193" t="s">
        <v>266</v>
      </c>
      <c r="L45" s="193" t="s">
        <v>267</v>
      </c>
      <c r="M45" s="201"/>
      <c r="N45" s="193" t="s">
        <v>437</v>
      </c>
      <c r="O45" s="185"/>
      <c r="P45" s="190">
        <v>2.54366051E8</v>
      </c>
      <c r="Q45" s="201"/>
      <c r="R45" s="193" t="s">
        <v>112</v>
      </c>
      <c r="S45" s="181" t="s">
        <v>269</v>
      </c>
    </row>
    <row r="46" ht="21.0" customHeight="1">
      <c r="A46" s="190">
        <v>45.0</v>
      </c>
      <c r="B46" s="191">
        <v>46305.0</v>
      </c>
      <c r="C46" s="192">
        <v>0.8131944444444444</v>
      </c>
      <c r="D46" s="190">
        <v>2.54366051E8</v>
      </c>
      <c r="E46" s="193" t="s">
        <v>8</v>
      </c>
      <c r="F46" s="194" t="s">
        <v>254</v>
      </c>
      <c r="G46" s="195">
        <v>20000.0</v>
      </c>
      <c r="H46" s="194" t="s">
        <v>255</v>
      </c>
      <c r="I46" s="202"/>
      <c r="J46" s="203"/>
      <c r="K46" s="193" t="s">
        <v>455</v>
      </c>
      <c r="L46" s="193" t="s">
        <v>456</v>
      </c>
      <c r="M46" s="201"/>
      <c r="N46" s="193" t="s">
        <v>437</v>
      </c>
      <c r="O46" s="185"/>
      <c r="P46" s="190">
        <v>2.54366051E8</v>
      </c>
      <c r="Q46" s="201"/>
      <c r="R46" s="193"/>
      <c r="S46" s="181" t="s">
        <v>259</v>
      </c>
    </row>
    <row r="47" ht="21.0" customHeight="1">
      <c r="A47" s="190">
        <v>46.0</v>
      </c>
      <c r="B47" s="191">
        <v>46305.0</v>
      </c>
      <c r="C47" s="192">
        <v>0.8138888888888889</v>
      </c>
      <c r="D47" s="190">
        <v>2.54366051E8</v>
      </c>
      <c r="E47" s="193" t="s">
        <v>8</v>
      </c>
      <c r="F47" s="194" t="s">
        <v>254</v>
      </c>
      <c r="G47" s="195">
        <v>20000.0</v>
      </c>
      <c r="H47" s="194" t="s">
        <v>255</v>
      </c>
      <c r="I47" s="202"/>
      <c r="J47" s="203"/>
      <c r="K47" s="193" t="s">
        <v>266</v>
      </c>
      <c r="L47" s="193" t="s">
        <v>267</v>
      </c>
      <c r="M47" s="201"/>
      <c r="N47" s="193" t="s">
        <v>437</v>
      </c>
      <c r="O47" s="185"/>
      <c r="P47" s="190">
        <v>2.54366051E8</v>
      </c>
      <c r="Q47" s="201"/>
      <c r="R47" s="193" t="s">
        <v>116</v>
      </c>
      <c r="S47" s="181" t="s">
        <v>269</v>
      </c>
    </row>
    <row r="48" ht="21.0" customHeight="1">
      <c r="A48" s="190">
        <v>47.0</v>
      </c>
      <c r="B48" s="191">
        <v>46305.0</v>
      </c>
      <c r="C48" s="192">
        <v>0.8138888888888889</v>
      </c>
      <c r="D48" s="190">
        <v>2.54366051E8</v>
      </c>
      <c r="E48" s="193" t="s">
        <v>8</v>
      </c>
      <c r="F48" s="194" t="s">
        <v>254</v>
      </c>
      <c r="G48" s="195">
        <v>20000.0</v>
      </c>
      <c r="H48" s="194" t="s">
        <v>255</v>
      </c>
      <c r="I48" s="202"/>
      <c r="J48" s="203"/>
      <c r="K48" s="193" t="s">
        <v>266</v>
      </c>
      <c r="L48" s="193" t="s">
        <v>267</v>
      </c>
      <c r="M48" s="201"/>
      <c r="N48" s="193" t="s">
        <v>437</v>
      </c>
      <c r="O48" s="185"/>
      <c r="P48" s="190">
        <v>2.54366051E8</v>
      </c>
      <c r="Q48" s="201"/>
      <c r="R48" s="193" t="s">
        <v>118</v>
      </c>
      <c r="S48" s="181" t="s">
        <v>269</v>
      </c>
    </row>
    <row r="49" ht="21.0" customHeight="1">
      <c r="A49" s="190">
        <v>48.0</v>
      </c>
      <c r="B49" s="191">
        <v>46305.0</v>
      </c>
      <c r="C49" s="192">
        <v>0.8145833333333333</v>
      </c>
      <c r="D49" s="190">
        <v>2.54366051E8</v>
      </c>
      <c r="E49" s="193" t="s">
        <v>8</v>
      </c>
      <c r="F49" s="194" t="s">
        <v>254</v>
      </c>
      <c r="G49" s="195">
        <v>20000.0</v>
      </c>
      <c r="H49" s="194" t="s">
        <v>255</v>
      </c>
      <c r="I49" s="202"/>
      <c r="J49" s="203"/>
      <c r="K49" s="193" t="s">
        <v>266</v>
      </c>
      <c r="L49" s="193" t="s">
        <v>267</v>
      </c>
      <c r="M49" s="201"/>
      <c r="N49" s="193" t="s">
        <v>437</v>
      </c>
      <c r="O49" s="185"/>
      <c r="P49" s="190">
        <v>2.54366051E8</v>
      </c>
      <c r="Q49" s="201"/>
      <c r="R49" s="193" t="s">
        <v>120</v>
      </c>
      <c r="S49" s="181" t="s">
        <v>269</v>
      </c>
    </row>
    <row r="50" ht="21.0" customHeight="1">
      <c r="A50" s="190">
        <v>49.0</v>
      </c>
      <c r="B50" s="191">
        <v>46305.0</v>
      </c>
      <c r="C50" s="192">
        <v>0.8145833333333333</v>
      </c>
      <c r="D50" s="190">
        <v>2.54366051E8</v>
      </c>
      <c r="E50" s="193" t="s">
        <v>8</v>
      </c>
      <c r="F50" s="194" t="s">
        <v>254</v>
      </c>
      <c r="G50" s="195">
        <v>20000.0</v>
      </c>
      <c r="H50" s="194" t="s">
        <v>255</v>
      </c>
      <c r="I50" s="202"/>
      <c r="J50" s="203"/>
      <c r="K50" s="193" t="s">
        <v>266</v>
      </c>
      <c r="L50" s="193" t="s">
        <v>267</v>
      </c>
      <c r="M50" s="201"/>
      <c r="N50" s="193" t="s">
        <v>437</v>
      </c>
      <c r="O50" s="185"/>
      <c r="P50" s="190">
        <v>2.54366051E8</v>
      </c>
      <c r="Q50" s="201"/>
      <c r="R50" s="193" t="s">
        <v>125</v>
      </c>
      <c r="S50" s="181" t="s">
        <v>269</v>
      </c>
    </row>
    <row r="51" ht="21.0" customHeight="1">
      <c r="A51" s="190">
        <v>50.0</v>
      </c>
      <c r="B51" s="191">
        <v>46305.0</v>
      </c>
      <c r="C51" s="192">
        <v>0.8152777777777778</v>
      </c>
      <c r="D51" s="190">
        <v>2.54366051E8</v>
      </c>
      <c r="E51" s="193" t="s">
        <v>8</v>
      </c>
      <c r="F51" s="194" t="s">
        <v>254</v>
      </c>
      <c r="G51" s="195">
        <v>20000.0</v>
      </c>
      <c r="H51" s="194" t="s">
        <v>255</v>
      </c>
      <c r="I51" s="202"/>
      <c r="J51" s="203"/>
      <c r="K51" s="193" t="s">
        <v>266</v>
      </c>
      <c r="L51" s="193" t="s">
        <v>267</v>
      </c>
      <c r="M51" s="201"/>
      <c r="N51" s="193">
        <v>20000.0</v>
      </c>
      <c r="O51" s="185"/>
      <c r="P51" s="190">
        <v>2.54366051E8</v>
      </c>
      <c r="Q51" s="201"/>
      <c r="R51" s="193" t="s">
        <v>126</v>
      </c>
      <c r="S51" s="181" t="s">
        <v>269</v>
      </c>
    </row>
    <row r="52" ht="21.0" customHeight="1">
      <c r="A52" s="190">
        <v>51.0</v>
      </c>
      <c r="B52" s="191">
        <v>46305.0</v>
      </c>
      <c r="C52" s="192">
        <v>0.8159722222222222</v>
      </c>
      <c r="D52" s="190">
        <v>2.54366051E8</v>
      </c>
      <c r="E52" s="193" t="s">
        <v>8</v>
      </c>
      <c r="F52" s="194" t="s">
        <v>254</v>
      </c>
      <c r="G52" s="195">
        <v>20000.0</v>
      </c>
      <c r="H52" s="194" t="s">
        <v>255</v>
      </c>
      <c r="I52" s="202"/>
      <c r="J52" s="203"/>
      <c r="K52" s="193" t="s">
        <v>266</v>
      </c>
      <c r="L52" s="193" t="s">
        <v>267</v>
      </c>
      <c r="M52" s="201"/>
      <c r="N52" s="193" t="s">
        <v>437</v>
      </c>
      <c r="O52" s="185"/>
      <c r="P52" s="190">
        <v>2.54366051E8</v>
      </c>
      <c r="Q52" s="201"/>
      <c r="R52" s="193" t="s">
        <v>129</v>
      </c>
      <c r="S52" s="181" t="s">
        <v>269</v>
      </c>
    </row>
    <row r="53" ht="21.0" customHeight="1">
      <c r="A53" s="190">
        <v>52.0</v>
      </c>
      <c r="B53" s="191">
        <v>46305.0</v>
      </c>
      <c r="C53" s="192">
        <v>0.8208333333333333</v>
      </c>
      <c r="D53" s="190">
        <v>2.54366051E8</v>
      </c>
      <c r="E53" s="193" t="s">
        <v>8</v>
      </c>
      <c r="F53" s="194" t="s">
        <v>254</v>
      </c>
      <c r="G53" s="195">
        <v>20000.0</v>
      </c>
      <c r="H53" s="194" t="s">
        <v>255</v>
      </c>
      <c r="I53" s="202"/>
      <c r="J53" s="203"/>
      <c r="K53" s="193" t="s">
        <v>266</v>
      </c>
      <c r="L53" s="193" t="s">
        <v>267</v>
      </c>
      <c r="M53" s="201"/>
      <c r="N53" s="193" t="s">
        <v>437</v>
      </c>
      <c r="O53" s="185"/>
      <c r="P53" s="190">
        <v>2.54366051E8</v>
      </c>
      <c r="Q53" s="201"/>
      <c r="R53" s="193" t="s">
        <v>155</v>
      </c>
      <c r="S53" s="181" t="s">
        <v>269</v>
      </c>
    </row>
    <row r="54" ht="21.0" customHeight="1">
      <c r="A54" s="190">
        <v>53.0</v>
      </c>
      <c r="B54" s="191">
        <v>46305.0</v>
      </c>
      <c r="C54" s="192">
        <v>0.8208333333333333</v>
      </c>
      <c r="D54" s="190">
        <v>2.54366051E8</v>
      </c>
      <c r="E54" s="193" t="s">
        <v>8</v>
      </c>
      <c r="F54" s="194" t="s">
        <v>254</v>
      </c>
      <c r="G54" s="195">
        <v>20000.0</v>
      </c>
      <c r="H54" s="194" t="s">
        <v>255</v>
      </c>
      <c r="I54" s="202"/>
      <c r="J54" s="203"/>
      <c r="K54" s="193" t="s">
        <v>266</v>
      </c>
      <c r="L54" s="193" t="s">
        <v>267</v>
      </c>
      <c r="M54" s="201"/>
      <c r="N54" s="193" t="s">
        <v>437</v>
      </c>
      <c r="O54" s="185"/>
      <c r="P54" s="190">
        <v>2.54366051E8</v>
      </c>
      <c r="Q54" s="201"/>
      <c r="R54" s="193" t="s">
        <v>175</v>
      </c>
      <c r="S54" s="181" t="s">
        <v>269</v>
      </c>
    </row>
    <row r="55" ht="21.0" customHeight="1">
      <c r="A55" s="190">
        <v>54.0</v>
      </c>
      <c r="B55" s="191">
        <v>46305.0</v>
      </c>
      <c r="C55" s="192">
        <v>0.8243055555555555</v>
      </c>
      <c r="D55" s="190">
        <v>2.54366051E8</v>
      </c>
      <c r="E55" s="193" t="s">
        <v>8</v>
      </c>
      <c r="F55" s="194" t="s">
        <v>254</v>
      </c>
      <c r="G55" s="195">
        <v>20000.0</v>
      </c>
      <c r="H55" s="194" t="s">
        <v>255</v>
      </c>
      <c r="I55" s="202"/>
      <c r="J55" s="203"/>
      <c r="K55" s="193" t="s">
        <v>266</v>
      </c>
      <c r="L55" s="193" t="s">
        <v>267</v>
      </c>
      <c r="M55" s="201"/>
      <c r="N55" s="193" t="s">
        <v>467</v>
      </c>
      <c r="O55" s="185"/>
      <c r="P55" s="190">
        <v>2.54366051E8</v>
      </c>
      <c r="Q55" s="201"/>
      <c r="R55" s="193" t="s">
        <v>10</v>
      </c>
      <c r="S55" s="181" t="s">
        <v>269</v>
      </c>
    </row>
    <row r="56" ht="21.0" customHeight="1">
      <c r="A56" s="190">
        <v>55.0</v>
      </c>
      <c r="B56" s="191">
        <v>46305.0</v>
      </c>
      <c r="C56" s="192">
        <v>0.825</v>
      </c>
      <c r="D56" s="190">
        <v>2.54366051E8</v>
      </c>
      <c r="E56" s="193" t="s">
        <v>8</v>
      </c>
      <c r="F56" s="194" t="s">
        <v>254</v>
      </c>
      <c r="G56" s="195">
        <v>35000.0</v>
      </c>
      <c r="H56" s="194" t="s">
        <v>255</v>
      </c>
      <c r="I56" s="202"/>
      <c r="J56" s="203"/>
      <c r="K56" s="193" t="s">
        <v>256</v>
      </c>
      <c r="L56" s="193" t="s">
        <v>257</v>
      </c>
      <c r="M56" s="201"/>
      <c r="N56" s="193" t="s">
        <v>285</v>
      </c>
      <c r="O56" s="185"/>
      <c r="P56" s="190">
        <v>2.54366051E8</v>
      </c>
      <c r="Q56" s="201"/>
      <c r="R56" s="193"/>
      <c r="S56" s="181" t="s">
        <v>259</v>
      </c>
    </row>
    <row r="57" ht="21.0" customHeight="1">
      <c r="A57" s="190">
        <v>56.0</v>
      </c>
      <c r="B57" s="191">
        <v>46305.0</v>
      </c>
      <c r="C57" s="192">
        <v>0.8277777777777777</v>
      </c>
      <c r="D57" s="190">
        <v>6.156487883E9</v>
      </c>
      <c r="E57" s="193" t="s">
        <v>200</v>
      </c>
      <c r="F57" s="194" t="s">
        <v>270</v>
      </c>
      <c r="G57" s="195">
        <v>4800000.0</v>
      </c>
      <c r="H57" s="194" t="s">
        <v>255</v>
      </c>
      <c r="I57" s="202"/>
      <c r="J57" s="203"/>
      <c r="K57" s="193" t="s">
        <v>271</v>
      </c>
      <c r="L57" s="193" t="s">
        <v>272</v>
      </c>
      <c r="M57" s="201"/>
      <c r="N57" s="193" t="s">
        <v>469</v>
      </c>
      <c r="O57" s="185"/>
      <c r="P57" s="190">
        <v>4.43142649E8</v>
      </c>
      <c r="Q57" s="201"/>
      <c r="R57" s="193"/>
      <c r="S57" s="181" t="s">
        <v>259</v>
      </c>
    </row>
    <row r="58" ht="21.0" customHeight="1">
      <c r="A58" s="190">
        <v>57.0</v>
      </c>
      <c r="B58" s="191">
        <v>46305.0</v>
      </c>
      <c r="C58" s="192">
        <v>0.8291666666666667</v>
      </c>
      <c r="D58" s="190">
        <v>2.54366051E8</v>
      </c>
      <c r="E58" s="193" t="s">
        <v>8</v>
      </c>
      <c r="F58" s="194" t="s">
        <v>270</v>
      </c>
      <c r="G58" s="195">
        <v>1.665706E7</v>
      </c>
      <c r="H58" s="194" t="s">
        <v>263</v>
      </c>
      <c r="I58" s="202">
        <v>1400.0</v>
      </c>
      <c r="J58" s="203">
        <v>11897.9</v>
      </c>
      <c r="K58" s="193" t="s">
        <v>271</v>
      </c>
      <c r="L58" s="193" t="s">
        <v>272</v>
      </c>
      <c r="M58" s="201"/>
      <c r="N58" s="193" t="s">
        <v>471</v>
      </c>
      <c r="O58" s="185"/>
      <c r="P58" s="190">
        <v>4.43142649E8</v>
      </c>
      <c r="Q58" s="201"/>
      <c r="R58" s="193"/>
      <c r="S58" s="181" t="s">
        <v>259</v>
      </c>
    </row>
    <row r="59" ht="21.0" customHeight="1">
      <c r="A59" s="190">
        <v>58.0</v>
      </c>
      <c r="B59" s="191">
        <v>46306.0</v>
      </c>
      <c r="C59" s="192">
        <v>0.7194444444444444</v>
      </c>
      <c r="D59" s="190">
        <v>6.156487883E9</v>
      </c>
      <c r="E59" s="193" t="s">
        <v>200</v>
      </c>
      <c r="F59" s="194" t="s">
        <v>254</v>
      </c>
      <c r="G59" s="195">
        <v>372000.0</v>
      </c>
      <c r="H59" s="194" t="s">
        <v>255</v>
      </c>
      <c r="I59" s="202"/>
      <c r="J59" s="203"/>
      <c r="K59" s="193" t="s">
        <v>296</v>
      </c>
      <c r="L59" s="193" t="s">
        <v>297</v>
      </c>
      <c r="M59" s="201"/>
      <c r="N59" s="193" t="s">
        <v>472</v>
      </c>
      <c r="O59" s="185"/>
      <c r="P59" s="190">
        <v>6.156487883E9</v>
      </c>
      <c r="Q59" s="201"/>
      <c r="R59" s="193" t="s">
        <v>473</v>
      </c>
      <c r="S59" s="181" t="s">
        <v>259</v>
      </c>
    </row>
    <row r="60" ht="21.0" customHeight="1">
      <c r="A60" s="190">
        <v>59.0</v>
      </c>
      <c r="B60" s="191">
        <v>46306.0</v>
      </c>
      <c r="C60" s="192">
        <v>0.7201388888888889</v>
      </c>
      <c r="D60" s="190">
        <v>6.156487883E9</v>
      </c>
      <c r="E60" s="193" t="s">
        <v>200</v>
      </c>
      <c r="F60" s="194" t="s">
        <v>254</v>
      </c>
      <c r="G60" s="195">
        <v>50000.0</v>
      </c>
      <c r="H60" s="194" t="s">
        <v>255</v>
      </c>
      <c r="I60" s="202"/>
      <c r="J60" s="203"/>
      <c r="K60" s="193" t="s">
        <v>256</v>
      </c>
      <c r="L60" s="193" t="s">
        <v>257</v>
      </c>
      <c r="M60" s="201">
        <v>388.0</v>
      </c>
      <c r="N60" s="193" t="s">
        <v>475</v>
      </c>
      <c r="O60" s="185"/>
      <c r="P60" s="190">
        <v>6.156487883E9</v>
      </c>
      <c r="Q60" s="201"/>
      <c r="R60" s="193"/>
      <c r="S60" s="181" t="s">
        <v>259</v>
      </c>
    </row>
    <row r="61" ht="21.0" customHeight="1">
      <c r="A61" s="190">
        <v>60.0</v>
      </c>
      <c r="B61" s="191">
        <v>46306.0</v>
      </c>
      <c r="C61" s="192">
        <v>0.7208333333333333</v>
      </c>
      <c r="D61" s="190">
        <v>6.156487883E9</v>
      </c>
      <c r="E61" s="193" t="s">
        <v>200</v>
      </c>
      <c r="F61" s="194" t="s">
        <v>254</v>
      </c>
      <c r="G61" s="195">
        <v>200000.0</v>
      </c>
      <c r="H61" s="194" t="s">
        <v>255</v>
      </c>
      <c r="I61" s="202"/>
      <c r="J61" s="203"/>
      <c r="K61" s="193" t="s">
        <v>256</v>
      </c>
      <c r="L61" s="193" t="s">
        <v>257</v>
      </c>
      <c r="M61" s="201"/>
      <c r="N61" s="193" t="s">
        <v>476</v>
      </c>
      <c r="O61" s="185"/>
      <c r="P61" s="190">
        <v>6.156487883E9</v>
      </c>
      <c r="Q61" s="201"/>
      <c r="R61" s="193"/>
      <c r="S61" s="181" t="s">
        <v>259</v>
      </c>
    </row>
    <row r="62" ht="21.0" customHeight="1">
      <c r="A62" s="190">
        <v>61.0</v>
      </c>
      <c r="B62" s="191">
        <v>46306.0</v>
      </c>
      <c r="C62" s="192">
        <v>0.7243055555555555</v>
      </c>
      <c r="D62" s="190">
        <v>6.156487883E9</v>
      </c>
      <c r="E62" s="193" t="s">
        <v>200</v>
      </c>
      <c r="F62" s="194" t="s">
        <v>254</v>
      </c>
      <c r="G62" s="195">
        <v>200000.0</v>
      </c>
      <c r="H62" s="194" t="s">
        <v>255</v>
      </c>
      <c r="I62" s="202"/>
      <c r="J62" s="203"/>
      <c r="K62" s="193" t="s">
        <v>256</v>
      </c>
      <c r="L62" s="193" t="s">
        <v>257</v>
      </c>
      <c r="M62" s="201"/>
      <c r="N62" s="193" t="s">
        <v>478</v>
      </c>
      <c r="O62" s="185"/>
      <c r="P62" s="190">
        <v>6.156487883E9</v>
      </c>
      <c r="Q62" s="201"/>
      <c r="R62" s="193"/>
      <c r="S62" s="181" t="s">
        <v>259</v>
      </c>
    </row>
    <row r="63" ht="21.0" customHeight="1">
      <c r="A63" s="190">
        <v>62.0</v>
      </c>
      <c r="B63" s="191">
        <v>46306.0</v>
      </c>
      <c r="C63" s="192">
        <v>0.725</v>
      </c>
      <c r="D63" s="190">
        <v>6.156487883E9</v>
      </c>
      <c r="E63" s="193" t="s">
        <v>200</v>
      </c>
      <c r="F63" s="194" t="s">
        <v>254</v>
      </c>
      <c r="G63" s="195">
        <v>80000.0</v>
      </c>
      <c r="H63" s="194" t="s">
        <v>255</v>
      </c>
      <c r="I63" s="202"/>
      <c r="J63" s="203"/>
      <c r="K63" s="193" t="s">
        <v>256</v>
      </c>
      <c r="L63" s="193" t="s">
        <v>257</v>
      </c>
      <c r="M63" s="201">
        <v>388.0</v>
      </c>
      <c r="N63" s="193" t="s">
        <v>481</v>
      </c>
      <c r="O63" s="185"/>
      <c r="P63" s="190">
        <v>6.156487883E9</v>
      </c>
      <c r="Q63" s="201"/>
      <c r="R63" s="193"/>
      <c r="S63" s="181" t="s">
        <v>259</v>
      </c>
    </row>
    <row r="64" ht="21.0" customHeight="1">
      <c r="A64" s="190">
        <v>63.0</v>
      </c>
      <c r="B64" s="191">
        <v>46306.0</v>
      </c>
      <c r="C64" s="192">
        <v>0.7270833333333333</v>
      </c>
      <c r="D64" s="190">
        <v>6.156487883E9</v>
      </c>
      <c r="E64" s="193" t="s">
        <v>200</v>
      </c>
      <c r="F64" s="194" t="s">
        <v>254</v>
      </c>
      <c r="G64" s="195">
        <v>180000.0</v>
      </c>
      <c r="H64" s="194" t="s">
        <v>255</v>
      </c>
      <c r="I64" s="202"/>
      <c r="J64" s="203"/>
      <c r="K64" s="193" t="s">
        <v>256</v>
      </c>
      <c r="L64" s="193" t="s">
        <v>257</v>
      </c>
      <c r="M64" s="201"/>
      <c r="N64" s="193" t="s">
        <v>482</v>
      </c>
      <c r="O64" s="185"/>
      <c r="P64" s="190">
        <v>6.156487883E9</v>
      </c>
      <c r="Q64" s="201"/>
      <c r="R64" s="193"/>
      <c r="S64" s="181" t="s">
        <v>259</v>
      </c>
    </row>
    <row r="65" ht="21.0" customHeight="1">
      <c r="A65" s="190">
        <v>64.0</v>
      </c>
      <c r="B65" s="191">
        <v>46306.0</v>
      </c>
      <c r="C65" s="192">
        <v>0.7277777777777777</v>
      </c>
      <c r="D65" s="190">
        <v>6.156487883E9</v>
      </c>
      <c r="E65" s="193" t="s">
        <v>200</v>
      </c>
      <c r="F65" s="194" t="s">
        <v>254</v>
      </c>
      <c r="G65" s="195">
        <v>80000.0</v>
      </c>
      <c r="H65" s="194" t="s">
        <v>255</v>
      </c>
      <c r="I65" s="202"/>
      <c r="J65" s="203"/>
      <c r="K65" s="193" t="s">
        <v>256</v>
      </c>
      <c r="L65" s="193" t="s">
        <v>257</v>
      </c>
      <c r="M65" s="201">
        <v>388.0</v>
      </c>
      <c r="N65" s="193" t="s">
        <v>485</v>
      </c>
      <c r="O65" s="185"/>
      <c r="P65" s="190">
        <v>6.156487883E9</v>
      </c>
      <c r="Q65" s="201"/>
      <c r="R65" s="193"/>
      <c r="S65" s="181" t="s">
        <v>259</v>
      </c>
    </row>
    <row r="66" ht="21.0" customHeight="1">
      <c r="A66" s="190">
        <v>65.0</v>
      </c>
      <c r="B66" s="191">
        <v>46306.0</v>
      </c>
      <c r="C66" s="192">
        <v>0.7284722222222222</v>
      </c>
      <c r="D66" s="190">
        <v>6.156487883E9</v>
      </c>
      <c r="E66" s="193" t="s">
        <v>200</v>
      </c>
      <c r="F66" s="194" t="s">
        <v>254</v>
      </c>
      <c r="G66" s="195">
        <v>120000.0</v>
      </c>
      <c r="H66" s="194" t="s">
        <v>255</v>
      </c>
      <c r="I66" s="202"/>
      <c r="J66" s="203"/>
      <c r="K66" s="193" t="s">
        <v>256</v>
      </c>
      <c r="L66" s="193" t="s">
        <v>257</v>
      </c>
      <c r="M66" s="201"/>
      <c r="N66" s="193" t="s">
        <v>487</v>
      </c>
      <c r="O66" s="185"/>
      <c r="P66" s="190">
        <v>6.156487883E9</v>
      </c>
      <c r="Q66" s="201"/>
      <c r="R66" s="193"/>
      <c r="S66" s="181" t="s">
        <v>259</v>
      </c>
    </row>
    <row r="67" ht="21.0" customHeight="1">
      <c r="A67" s="190">
        <v>66.0</v>
      </c>
      <c r="B67" s="191">
        <v>46306.0</v>
      </c>
      <c r="C67" s="192">
        <v>0.7319444444444444</v>
      </c>
      <c r="D67" s="190">
        <v>6.156487883E9</v>
      </c>
      <c r="E67" s="193" t="s">
        <v>200</v>
      </c>
      <c r="F67" s="194" t="s">
        <v>254</v>
      </c>
      <c r="G67" s="195">
        <v>200000.0</v>
      </c>
      <c r="H67" s="194" t="s">
        <v>255</v>
      </c>
      <c r="I67" s="202"/>
      <c r="J67" s="203"/>
      <c r="K67" s="193" t="s">
        <v>256</v>
      </c>
      <c r="L67" s="193" t="s">
        <v>257</v>
      </c>
      <c r="M67" s="201"/>
      <c r="N67" s="193" t="s">
        <v>476</v>
      </c>
      <c r="O67" s="185"/>
      <c r="P67" s="190">
        <v>6.156487883E9</v>
      </c>
      <c r="Q67" s="201"/>
      <c r="R67" s="193"/>
      <c r="S67" s="181" t="s">
        <v>259</v>
      </c>
    </row>
    <row r="68" ht="21.0" customHeight="1">
      <c r="A68" s="190">
        <v>67.0</v>
      </c>
      <c r="B68" s="191">
        <v>46306.0</v>
      </c>
      <c r="C68" s="192">
        <v>0.7326388888888888</v>
      </c>
      <c r="D68" s="190">
        <v>6.156487883E9</v>
      </c>
      <c r="E68" s="193" t="s">
        <v>200</v>
      </c>
      <c r="F68" s="194" t="s">
        <v>254</v>
      </c>
      <c r="G68" s="195">
        <v>25000.0</v>
      </c>
      <c r="H68" s="194" t="s">
        <v>255</v>
      </c>
      <c r="I68" s="202"/>
      <c r="J68" s="203"/>
      <c r="K68" s="193" t="s">
        <v>455</v>
      </c>
      <c r="L68" s="193" t="s">
        <v>456</v>
      </c>
      <c r="M68" s="201"/>
      <c r="N68" s="193" t="s">
        <v>490</v>
      </c>
      <c r="O68" s="185"/>
      <c r="P68" s="190">
        <v>6.156487883E9</v>
      </c>
      <c r="Q68" s="201"/>
      <c r="R68" s="193"/>
      <c r="S68" s="181" t="s">
        <v>259</v>
      </c>
    </row>
    <row r="69" ht="21.0" customHeight="1">
      <c r="A69" s="190">
        <v>68.0</v>
      </c>
      <c r="B69" s="191">
        <v>46306.0</v>
      </c>
      <c r="C69" s="192">
        <v>0.7333333333333333</v>
      </c>
      <c r="D69" s="190">
        <v>6.156487883E9</v>
      </c>
      <c r="E69" s="193" t="s">
        <v>200</v>
      </c>
      <c r="F69" s="194" t="s">
        <v>254</v>
      </c>
      <c r="G69" s="195">
        <v>80000.0</v>
      </c>
      <c r="H69" s="194" t="s">
        <v>255</v>
      </c>
      <c r="I69" s="202"/>
      <c r="J69" s="203"/>
      <c r="K69" s="193" t="s">
        <v>256</v>
      </c>
      <c r="L69" s="193" t="s">
        <v>257</v>
      </c>
      <c r="M69" s="201">
        <v>388.0</v>
      </c>
      <c r="N69" s="193" t="s">
        <v>481</v>
      </c>
      <c r="O69" s="185"/>
      <c r="P69" s="190">
        <v>6.156487883E9</v>
      </c>
      <c r="Q69" s="201"/>
      <c r="R69" s="193"/>
      <c r="S69" s="181" t="s">
        <v>259</v>
      </c>
    </row>
    <row r="70" ht="21.0" customHeight="1">
      <c r="A70" s="190">
        <v>69.0</v>
      </c>
      <c r="B70" s="191">
        <v>46306.0</v>
      </c>
      <c r="C70" s="192">
        <v>0.7347222222222223</v>
      </c>
      <c r="D70" s="190">
        <v>6.156487883E9</v>
      </c>
      <c r="E70" s="193" t="s">
        <v>200</v>
      </c>
      <c r="F70" s="194" t="s">
        <v>254</v>
      </c>
      <c r="G70" s="195">
        <v>200000.0</v>
      </c>
      <c r="H70" s="194" t="s">
        <v>255</v>
      </c>
      <c r="I70" s="202"/>
      <c r="J70" s="203"/>
      <c r="K70" s="193" t="s">
        <v>256</v>
      </c>
      <c r="L70" s="193" t="s">
        <v>257</v>
      </c>
      <c r="M70" s="201"/>
      <c r="N70" s="193" t="s">
        <v>494</v>
      </c>
      <c r="O70" s="185"/>
      <c r="P70" s="190">
        <v>6.156487883E9</v>
      </c>
      <c r="Q70" s="201"/>
      <c r="R70" s="193"/>
      <c r="S70" s="181" t="s">
        <v>259</v>
      </c>
    </row>
    <row r="71" ht="21.0" customHeight="1">
      <c r="A71" s="190">
        <v>70.0</v>
      </c>
      <c r="B71" s="191">
        <v>46306.0</v>
      </c>
      <c r="C71" s="192">
        <v>0.7354166666666667</v>
      </c>
      <c r="D71" s="190">
        <v>6.156487883E9</v>
      </c>
      <c r="E71" s="193" t="s">
        <v>200</v>
      </c>
      <c r="F71" s="194" t="s">
        <v>254</v>
      </c>
      <c r="G71" s="195">
        <v>375000.0</v>
      </c>
      <c r="H71" s="194" t="s">
        <v>255</v>
      </c>
      <c r="I71" s="202"/>
      <c r="J71" s="203"/>
      <c r="K71" s="193" t="s">
        <v>296</v>
      </c>
      <c r="L71" s="193" t="s">
        <v>297</v>
      </c>
      <c r="M71" s="201"/>
      <c r="N71" s="193" t="s">
        <v>472</v>
      </c>
      <c r="O71" s="185"/>
      <c r="P71" s="190">
        <v>6.156487883E9</v>
      </c>
      <c r="Q71" s="201"/>
      <c r="R71" s="193" t="s">
        <v>473</v>
      </c>
      <c r="S71" s="181" t="s">
        <v>259</v>
      </c>
    </row>
    <row r="72" ht="21.0" customHeight="1">
      <c r="A72" s="190">
        <v>71.0</v>
      </c>
      <c r="B72" s="191">
        <v>46306.0</v>
      </c>
      <c r="C72" s="192">
        <v>0.7354166666666667</v>
      </c>
      <c r="D72" s="190">
        <v>6.156487883E9</v>
      </c>
      <c r="E72" s="193" t="s">
        <v>200</v>
      </c>
      <c r="F72" s="194" t="s">
        <v>254</v>
      </c>
      <c r="G72" s="195">
        <v>80000.0</v>
      </c>
      <c r="H72" s="194" t="s">
        <v>255</v>
      </c>
      <c r="I72" s="202"/>
      <c r="J72" s="203"/>
      <c r="K72" s="193" t="s">
        <v>256</v>
      </c>
      <c r="L72" s="193" t="s">
        <v>257</v>
      </c>
      <c r="M72" s="201">
        <v>388.0</v>
      </c>
      <c r="N72" s="193" t="s">
        <v>481</v>
      </c>
      <c r="O72" s="185"/>
      <c r="P72" s="190">
        <v>6.156487883E9</v>
      </c>
      <c r="Q72" s="201"/>
      <c r="R72" s="193"/>
      <c r="S72" s="181" t="s">
        <v>259</v>
      </c>
    </row>
    <row r="73" ht="21.0" customHeight="1">
      <c r="A73" s="190">
        <v>72.0</v>
      </c>
      <c r="B73" s="191">
        <v>46306.0</v>
      </c>
      <c r="C73" s="192">
        <v>0.7368055555555556</v>
      </c>
      <c r="D73" s="190">
        <v>6.156487883E9</v>
      </c>
      <c r="E73" s="193" t="s">
        <v>200</v>
      </c>
      <c r="F73" s="194" t="s">
        <v>254</v>
      </c>
      <c r="G73" s="195">
        <v>120000.0</v>
      </c>
      <c r="H73" s="194" t="s">
        <v>255</v>
      </c>
      <c r="I73" s="202"/>
      <c r="J73" s="203"/>
      <c r="K73" s="193" t="s">
        <v>256</v>
      </c>
      <c r="L73" s="193" t="s">
        <v>257</v>
      </c>
      <c r="M73" s="201"/>
      <c r="N73" s="193" t="s">
        <v>500</v>
      </c>
      <c r="O73" s="185"/>
      <c r="P73" s="190">
        <v>6.156487883E9</v>
      </c>
      <c r="Q73" s="201"/>
      <c r="R73" s="193"/>
      <c r="S73" s="181" t="s">
        <v>259</v>
      </c>
    </row>
    <row r="74" ht="21.0" customHeight="1">
      <c r="A74" s="190">
        <v>73.0</v>
      </c>
      <c r="B74" s="191">
        <v>46306.0</v>
      </c>
      <c r="C74" s="192">
        <v>0.7375</v>
      </c>
      <c r="D74" s="190">
        <v>6.156487883E9</v>
      </c>
      <c r="E74" s="193" t="s">
        <v>200</v>
      </c>
      <c r="F74" s="194" t="s">
        <v>254</v>
      </c>
      <c r="G74" s="195">
        <v>115000.0</v>
      </c>
      <c r="H74" s="194" t="s">
        <v>255</v>
      </c>
      <c r="I74" s="202"/>
      <c r="J74" s="203"/>
      <c r="K74" s="193" t="s">
        <v>368</v>
      </c>
      <c r="L74" s="193" t="s">
        <v>369</v>
      </c>
      <c r="M74" s="201"/>
      <c r="N74" s="193" t="s">
        <v>504</v>
      </c>
      <c r="O74" s="185"/>
      <c r="P74" s="190">
        <v>6.156487883E9</v>
      </c>
      <c r="Q74" s="201"/>
      <c r="R74" s="193"/>
      <c r="S74" s="181" t="s">
        <v>259</v>
      </c>
    </row>
    <row r="75" ht="21.0" customHeight="1">
      <c r="A75" s="190">
        <v>74.0</v>
      </c>
      <c r="B75" s="191">
        <v>46306.0</v>
      </c>
      <c r="C75" s="192">
        <v>0.7395833333333334</v>
      </c>
      <c r="D75" s="190">
        <v>6.156487883E9</v>
      </c>
      <c r="E75" s="193" t="s">
        <v>200</v>
      </c>
      <c r="F75" s="194" t="s">
        <v>254</v>
      </c>
      <c r="G75" s="195">
        <v>450000.0</v>
      </c>
      <c r="H75" s="194" t="s">
        <v>255</v>
      </c>
      <c r="I75" s="202"/>
      <c r="J75" s="203"/>
      <c r="K75" s="193" t="s">
        <v>296</v>
      </c>
      <c r="L75" s="193" t="s">
        <v>297</v>
      </c>
      <c r="M75" s="201"/>
      <c r="N75" s="193" t="s">
        <v>506</v>
      </c>
      <c r="O75" s="185"/>
      <c r="P75" s="190">
        <v>6.156487883E9</v>
      </c>
      <c r="Q75" s="201"/>
      <c r="R75" s="193" t="s">
        <v>507</v>
      </c>
      <c r="S75" s="181" t="s">
        <v>259</v>
      </c>
    </row>
    <row r="76" ht="21.0" customHeight="1">
      <c r="A76" s="190">
        <v>75.0</v>
      </c>
      <c r="B76" s="191">
        <v>46306.0</v>
      </c>
      <c r="C76" s="192">
        <v>0.7402777777777778</v>
      </c>
      <c r="D76" s="190">
        <v>6.156487883E9</v>
      </c>
      <c r="E76" s="193" t="s">
        <v>200</v>
      </c>
      <c r="F76" s="194" t="s">
        <v>254</v>
      </c>
      <c r="G76" s="195">
        <v>160000.0</v>
      </c>
      <c r="H76" s="194" t="s">
        <v>255</v>
      </c>
      <c r="I76" s="202"/>
      <c r="J76" s="203"/>
      <c r="K76" s="193" t="s">
        <v>256</v>
      </c>
      <c r="L76" s="193" t="s">
        <v>257</v>
      </c>
      <c r="M76" s="201">
        <v>383.0</v>
      </c>
      <c r="N76" s="193" t="s">
        <v>510</v>
      </c>
      <c r="O76" s="185"/>
      <c r="P76" s="190">
        <v>6.156487883E9</v>
      </c>
      <c r="Q76" s="201"/>
      <c r="R76" s="193"/>
      <c r="S76" s="181" t="s">
        <v>259</v>
      </c>
    </row>
    <row r="77" ht="21.0" customHeight="1">
      <c r="A77" s="190">
        <v>76.0</v>
      </c>
      <c r="B77" s="191">
        <v>46306.0</v>
      </c>
      <c r="C77" s="192">
        <v>0.7416666666666667</v>
      </c>
      <c r="D77" s="190">
        <v>6.156487883E9</v>
      </c>
      <c r="E77" s="193" t="s">
        <v>200</v>
      </c>
      <c r="F77" s="194" t="s">
        <v>254</v>
      </c>
      <c r="G77" s="195">
        <v>150000.0</v>
      </c>
      <c r="H77" s="194" t="s">
        <v>255</v>
      </c>
      <c r="I77" s="202"/>
      <c r="J77" s="203"/>
      <c r="K77" s="193" t="s">
        <v>290</v>
      </c>
      <c r="L77" s="193" t="s">
        <v>291</v>
      </c>
      <c r="M77" s="201">
        <v>388.0</v>
      </c>
      <c r="N77" s="193" t="s">
        <v>513</v>
      </c>
      <c r="O77" s="185"/>
      <c r="P77" s="190">
        <v>6.156487883E9</v>
      </c>
      <c r="Q77" s="201"/>
      <c r="R77" s="193"/>
      <c r="S77" s="181" t="s">
        <v>259</v>
      </c>
    </row>
    <row r="78" ht="21.0" customHeight="1">
      <c r="A78" s="190">
        <v>77.0</v>
      </c>
      <c r="B78" s="191">
        <v>46306.0</v>
      </c>
      <c r="C78" s="192">
        <v>0.7423611111111111</v>
      </c>
      <c r="D78" s="190">
        <v>6.156487883E9</v>
      </c>
      <c r="E78" s="193" t="s">
        <v>200</v>
      </c>
      <c r="F78" s="194" t="s">
        <v>254</v>
      </c>
      <c r="G78" s="195">
        <v>80000.0</v>
      </c>
      <c r="H78" s="194" t="s">
        <v>255</v>
      </c>
      <c r="I78" s="202"/>
      <c r="J78" s="203"/>
      <c r="K78" s="193" t="s">
        <v>256</v>
      </c>
      <c r="L78" s="193" t="s">
        <v>257</v>
      </c>
      <c r="M78" s="201">
        <v>388.0</v>
      </c>
      <c r="N78" s="193" t="s">
        <v>485</v>
      </c>
      <c r="O78" s="185"/>
      <c r="P78" s="190">
        <v>6.156487883E9</v>
      </c>
      <c r="Q78" s="201"/>
      <c r="R78" s="193"/>
      <c r="S78" s="181" t="s">
        <v>259</v>
      </c>
    </row>
    <row r="79" ht="21.0" customHeight="1">
      <c r="A79" s="190">
        <v>78.0</v>
      </c>
      <c r="B79" s="191">
        <v>46306.0</v>
      </c>
      <c r="C79" s="192">
        <v>0.7430555555555556</v>
      </c>
      <c r="D79" s="190">
        <v>6.156487883E9</v>
      </c>
      <c r="E79" s="193" t="s">
        <v>200</v>
      </c>
      <c r="F79" s="194" t="s">
        <v>254</v>
      </c>
      <c r="G79" s="195">
        <v>80000.0</v>
      </c>
      <c r="H79" s="194" t="s">
        <v>255</v>
      </c>
      <c r="I79" s="202"/>
      <c r="J79" s="203"/>
      <c r="K79" s="193" t="s">
        <v>256</v>
      </c>
      <c r="L79" s="193" t="s">
        <v>257</v>
      </c>
      <c r="M79" s="201">
        <v>388.0</v>
      </c>
      <c r="N79" s="193" t="s">
        <v>481</v>
      </c>
      <c r="O79" s="185"/>
      <c r="P79" s="190">
        <v>6.156487883E9</v>
      </c>
      <c r="Q79" s="201"/>
      <c r="R79" s="193"/>
      <c r="S79" s="181" t="s">
        <v>259</v>
      </c>
    </row>
    <row r="80" ht="21.0" customHeight="1">
      <c r="A80" s="190">
        <v>79.0</v>
      </c>
      <c r="B80" s="191">
        <v>46306.0</v>
      </c>
      <c r="C80" s="192">
        <v>0.74375</v>
      </c>
      <c r="D80" s="190">
        <v>6.156487883E9</v>
      </c>
      <c r="E80" s="193" t="s">
        <v>200</v>
      </c>
      <c r="F80" s="194" t="s">
        <v>254</v>
      </c>
      <c r="G80" s="195">
        <v>80000.0</v>
      </c>
      <c r="H80" s="194" t="s">
        <v>255</v>
      </c>
      <c r="I80" s="202"/>
      <c r="J80" s="203"/>
      <c r="K80" s="193" t="s">
        <v>256</v>
      </c>
      <c r="L80" s="193" t="s">
        <v>257</v>
      </c>
      <c r="M80" s="201"/>
      <c r="N80" s="193" t="s">
        <v>521</v>
      </c>
      <c r="O80" s="185"/>
      <c r="P80" s="190">
        <v>6.156487883E9</v>
      </c>
      <c r="Q80" s="201"/>
      <c r="R80" s="193"/>
      <c r="S80" s="181" t="s">
        <v>259</v>
      </c>
    </row>
    <row r="81" ht="21.0" customHeight="1">
      <c r="A81" s="190">
        <v>80.0</v>
      </c>
      <c r="B81" s="191">
        <v>46306.0</v>
      </c>
      <c r="C81" s="192">
        <v>0.7451388888888889</v>
      </c>
      <c r="D81" s="190">
        <v>6.156487883E9</v>
      </c>
      <c r="E81" s="193" t="s">
        <v>200</v>
      </c>
      <c r="F81" s="194" t="s">
        <v>254</v>
      </c>
      <c r="G81" s="195">
        <v>120000.0</v>
      </c>
      <c r="H81" s="194" t="s">
        <v>255</v>
      </c>
      <c r="I81" s="202"/>
      <c r="J81" s="203"/>
      <c r="K81" s="193" t="s">
        <v>256</v>
      </c>
      <c r="L81" s="193" t="s">
        <v>257</v>
      </c>
      <c r="M81" s="201">
        <v>383.0</v>
      </c>
      <c r="N81" s="193" t="s">
        <v>523</v>
      </c>
      <c r="O81" s="185"/>
      <c r="P81" s="190">
        <v>6.156487883E9</v>
      </c>
      <c r="Q81" s="201"/>
      <c r="R81" s="193"/>
      <c r="S81" s="181" t="s">
        <v>259</v>
      </c>
    </row>
    <row r="82" ht="21.0" customHeight="1">
      <c r="A82" s="190">
        <v>81.0</v>
      </c>
      <c r="B82" s="191">
        <v>46306.0</v>
      </c>
      <c r="C82" s="192">
        <v>0.7458333333333333</v>
      </c>
      <c r="D82" s="190">
        <v>6.156487883E9</v>
      </c>
      <c r="E82" s="193" t="s">
        <v>200</v>
      </c>
      <c r="F82" s="194" t="s">
        <v>254</v>
      </c>
      <c r="G82" s="195">
        <v>58000.0</v>
      </c>
      <c r="H82" s="194" t="s">
        <v>255</v>
      </c>
      <c r="I82" s="202"/>
      <c r="J82" s="203"/>
      <c r="K82" s="193" t="s">
        <v>372</v>
      </c>
      <c r="L82" s="193" t="s">
        <v>373</v>
      </c>
      <c r="M82" s="201">
        <v>383.0</v>
      </c>
      <c r="N82" s="193" t="s">
        <v>526</v>
      </c>
      <c r="O82" s="185"/>
      <c r="P82" s="190">
        <v>6.156487883E9</v>
      </c>
      <c r="Q82" s="201"/>
      <c r="R82" s="193"/>
      <c r="S82" s="181" t="s">
        <v>259</v>
      </c>
    </row>
    <row r="83" ht="21.0" customHeight="1">
      <c r="A83" s="190">
        <v>82.0</v>
      </c>
      <c r="B83" s="191">
        <v>46306.0</v>
      </c>
      <c r="C83" s="192">
        <v>0.7555555555555555</v>
      </c>
      <c r="D83" s="190">
        <v>6.156487883E9</v>
      </c>
      <c r="E83" s="193" t="s">
        <v>200</v>
      </c>
      <c r="F83" s="194" t="s">
        <v>254</v>
      </c>
      <c r="G83" s="195">
        <v>80000.0</v>
      </c>
      <c r="H83" s="194" t="s">
        <v>255</v>
      </c>
      <c r="I83" s="202"/>
      <c r="J83" s="203"/>
      <c r="K83" s="193" t="s">
        <v>256</v>
      </c>
      <c r="L83" s="193" t="s">
        <v>257</v>
      </c>
      <c r="M83" s="201"/>
      <c r="N83" s="193" t="s">
        <v>527</v>
      </c>
      <c r="O83" s="185"/>
      <c r="P83" s="190">
        <v>6.156487883E9</v>
      </c>
      <c r="Q83" s="201"/>
      <c r="R83" s="193"/>
      <c r="S83" s="181" t="s">
        <v>259</v>
      </c>
    </row>
    <row r="84" ht="21.0" customHeight="1">
      <c r="A84" s="190">
        <v>83.0</v>
      </c>
      <c r="B84" s="191">
        <v>46306.0</v>
      </c>
      <c r="C84" s="192">
        <v>0.75625</v>
      </c>
      <c r="D84" s="190">
        <v>6.156487883E9</v>
      </c>
      <c r="E84" s="193" t="s">
        <v>200</v>
      </c>
      <c r="F84" s="194" t="s">
        <v>254</v>
      </c>
      <c r="G84" s="195">
        <v>120000.0</v>
      </c>
      <c r="H84" s="194" t="s">
        <v>255</v>
      </c>
      <c r="I84" s="202"/>
      <c r="J84" s="203"/>
      <c r="K84" s="193" t="s">
        <v>455</v>
      </c>
      <c r="L84" s="193" t="s">
        <v>456</v>
      </c>
      <c r="M84" s="201"/>
      <c r="N84" s="193" t="s">
        <v>528</v>
      </c>
      <c r="O84" s="185"/>
      <c r="P84" s="190">
        <v>6.156487883E9</v>
      </c>
      <c r="Q84" s="201"/>
      <c r="R84" s="193"/>
      <c r="S84" s="181" t="s">
        <v>259</v>
      </c>
    </row>
    <row r="85" ht="21.0" customHeight="1">
      <c r="A85" s="190">
        <v>84.0</v>
      </c>
      <c r="B85" s="191">
        <v>46306.0</v>
      </c>
      <c r="C85" s="192">
        <v>0.7569444444444444</v>
      </c>
      <c r="D85" s="190">
        <v>6.156487883E9</v>
      </c>
      <c r="E85" s="193" t="s">
        <v>200</v>
      </c>
      <c r="F85" s="194" t="s">
        <v>254</v>
      </c>
      <c r="G85" s="195">
        <v>160000.0</v>
      </c>
      <c r="H85" s="194" t="s">
        <v>255</v>
      </c>
      <c r="I85" s="202"/>
      <c r="J85" s="203"/>
      <c r="K85" s="193" t="s">
        <v>256</v>
      </c>
      <c r="L85" s="193" t="s">
        <v>257</v>
      </c>
      <c r="M85" s="201">
        <v>383.0</v>
      </c>
      <c r="N85" s="193" t="s">
        <v>529</v>
      </c>
      <c r="O85" s="185"/>
      <c r="P85" s="190">
        <v>6.156487883E9</v>
      </c>
      <c r="Q85" s="201"/>
      <c r="R85" s="193"/>
      <c r="S85" s="181" t="s">
        <v>259</v>
      </c>
    </row>
    <row r="86" ht="21.0" customHeight="1">
      <c r="A86" s="190">
        <v>85.0</v>
      </c>
      <c r="B86" s="191">
        <v>46306.0</v>
      </c>
      <c r="C86" s="192">
        <v>0.7576388888888889</v>
      </c>
      <c r="D86" s="190">
        <v>6.156487883E9</v>
      </c>
      <c r="E86" s="193" t="s">
        <v>200</v>
      </c>
      <c r="F86" s="194" t="s">
        <v>254</v>
      </c>
      <c r="G86" s="195">
        <v>80000.0</v>
      </c>
      <c r="H86" s="194" t="s">
        <v>255</v>
      </c>
      <c r="I86" s="202"/>
      <c r="J86" s="203"/>
      <c r="K86" s="193" t="s">
        <v>256</v>
      </c>
      <c r="L86" s="193" t="s">
        <v>257</v>
      </c>
      <c r="M86" s="201">
        <v>383.0</v>
      </c>
      <c r="N86" s="193" t="s">
        <v>485</v>
      </c>
      <c r="O86" s="185"/>
      <c r="P86" s="190">
        <v>6.156487883E9</v>
      </c>
      <c r="Q86" s="201"/>
      <c r="R86" s="193"/>
      <c r="S86" s="181" t="s">
        <v>259</v>
      </c>
    </row>
    <row r="87" ht="21.0" customHeight="1">
      <c r="A87" s="190">
        <v>86.0</v>
      </c>
      <c r="B87" s="191">
        <v>46306.0</v>
      </c>
      <c r="C87" s="192">
        <v>0.7618055555555555</v>
      </c>
      <c r="D87" s="190">
        <v>6.156487883E9</v>
      </c>
      <c r="E87" s="193" t="s">
        <v>200</v>
      </c>
      <c r="F87" s="194" t="s">
        <v>254</v>
      </c>
      <c r="G87" s="195">
        <v>160000.0</v>
      </c>
      <c r="H87" s="194" t="s">
        <v>255</v>
      </c>
      <c r="I87" s="202"/>
      <c r="J87" s="203"/>
      <c r="K87" s="193" t="s">
        <v>256</v>
      </c>
      <c r="L87" s="193" t="s">
        <v>257</v>
      </c>
      <c r="M87" s="201"/>
      <c r="N87" s="193" t="s">
        <v>482</v>
      </c>
      <c r="O87" s="185"/>
      <c r="P87" s="190">
        <v>6.156487883E9</v>
      </c>
      <c r="Q87" s="201"/>
      <c r="R87" s="193"/>
      <c r="S87" s="181" t="s">
        <v>259</v>
      </c>
    </row>
    <row r="88" ht="21.0" customHeight="1">
      <c r="A88" s="190">
        <v>87.0</v>
      </c>
      <c r="B88" s="191">
        <v>46306.0</v>
      </c>
      <c r="C88" s="192">
        <v>0.7625</v>
      </c>
      <c r="D88" s="190">
        <v>6.156487883E9</v>
      </c>
      <c r="E88" s="193" t="s">
        <v>200</v>
      </c>
      <c r="F88" s="194" t="s">
        <v>254</v>
      </c>
      <c r="G88" s="195">
        <v>200000.0</v>
      </c>
      <c r="H88" s="194" t="s">
        <v>255</v>
      </c>
      <c r="I88" s="202"/>
      <c r="J88" s="203"/>
      <c r="K88" s="193" t="s">
        <v>256</v>
      </c>
      <c r="L88" s="193" t="s">
        <v>257</v>
      </c>
      <c r="M88" s="201"/>
      <c r="N88" s="193" t="s">
        <v>494</v>
      </c>
      <c r="O88" s="185"/>
      <c r="P88" s="190">
        <v>6.156487883E9</v>
      </c>
      <c r="Q88" s="201"/>
      <c r="R88" s="193"/>
      <c r="S88" s="181" t="s">
        <v>259</v>
      </c>
    </row>
    <row r="89" ht="21.0" customHeight="1">
      <c r="A89" s="190">
        <v>88.0</v>
      </c>
      <c r="B89" s="191">
        <v>46306.0</v>
      </c>
      <c r="C89" s="192">
        <v>0.7631944444444444</v>
      </c>
      <c r="D89" s="190">
        <v>6.156487883E9</v>
      </c>
      <c r="E89" s="193" t="s">
        <v>200</v>
      </c>
      <c r="F89" s="194" t="s">
        <v>254</v>
      </c>
      <c r="G89" s="195">
        <v>100000.0</v>
      </c>
      <c r="H89" s="194" t="s">
        <v>255</v>
      </c>
      <c r="I89" s="202"/>
      <c r="J89" s="203"/>
      <c r="K89" s="193" t="s">
        <v>256</v>
      </c>
      <c r="L89" s="193" t="s">
        <v>257</v>
      </c>
      <c r="M89" s="201">
        <v>388.0</v>
      </c>
      <c r="N89" s="193" t="s">
        <v>481</v>
      </c>
      <c r="O89" s="185"/>
      <c r="P89" s="190">
        <v>6.156487883E9</v>
      </c>
      <c r="Q89" s="201"/>
      <c r="R89" s="193"/>
      <c r="S89" s="181" t="s">
        <v>259</v>
      </c>
    </row>
    <row r="90" ht="21.0" customHeight="1">
      <c r="A90" s="190">
        <v>89.0</v>
      </c>
      <c r="B90" s="191">
        <v>46306.0</v>
      </c>
      <c r="C90" s="192">
        <v>0.7638888888888888</v>
      </c>
      <c r="D90" s="190">
        <v>6.156487883E9</v>
      </c>
      <c r="E90" s="193" t="s">
        <v>200</v>
      </c>
      <c r="F90" s="194" t="s">
        <v>254</v>
      </c>
      <c r="G90" s="195">
        <v>80000.0</v>
      </c>
      <c r="H90" s="194" t="s">
        <v>255</v>
      </c>
      <c r="I90" s="202"/>
      <c r="J90" s="203"/>
      <c r="K90" s="193" t="s">
        <v>256</v>
      </c>
      <c r="L90" s="193" t="s">
        <v>257</v>
      </c>
      <c r="M90" s="201"/>
      <c r="N90" s="193" t="s">
        <v>530</v>
      </c>
      <c r="O90" s="185"/>
      <c r="P90" s="190">
        <v>6.156487883E9</v>
      </c>
      <c r="Q90" s="201"/>
      <c r="R90" s="193"/>
      <c r="S90" s="181" t="s">
        <v>259</v>
      </c>
    </row>
    <row r="91" ht="21.0" customHeight="1">
      <c r="A91" s="190">
        <v>90.0</v>
      </c>
      <c r="B91" s="191">
        <v>46306.0</v>
      </c>
      <c r="C91" s="192">
        <v>0.7638888888888888</v>
      </c>
      <c r="D91" s="190">
        <v>6.156487883E9</v>
      </c>
      <c r="E91" s="193" t="s">
        <v>200</v>
      </c>
      <c r="F91" s="194" t="s">
        <v>254</v>
      </c>
      <c r="G91" s="195">
        <v>200000.0</v>
      </c>
      <c r="H91" s="194" t="s">
        <v>255</v>
      </c>
      <c r="I91" s="202"/>
      <c r="J91" s="203"/>
      <c r="K91" s="193" t="s">
        <v>296</v>
      </c>
      <c r="L91" s="193" t="s">
        <v>297</v>
      </c>
      <c r="M91" s="201"/>
      <c r="N91" s="193" t="s">
        <v>531</v>
      </c>
      <c r="O91" s="185"/>
      <c r="P91" s="190">
        <v>6.156487883E9</v>
      </c>
      <c r="Q91" s="201"/>
      <c r="R91" s="193" t="s">
        <v>116</v>
      </c>
      <c r="S91" s="181" t="s">
        <v>259</v>
      </c>
    </row>
    <row r="92" ht="21.0" customHeight="1">
      <c r="A92" s="190">
        <v>91.0</v>
      </c>
      <c r="B92" s="191">
        <v>46306.0</v>
      </c>
      <c r="C92" s="192">
        <v>0.7645833333333333</v>
      </c>
      <c r="D92" s="190">
        <v>6.156487883E9</v>
      </c>
      <c r="E92" s="193" t="s">
        <v>200</v>
      </c>
      <c r="F92" s="194" t="s">
        <v>254</v>
      </c>
      <c r="G92" s="195">
        <v>80000.0</v>
      </c>
      <c r="H92" s="194" t="s">
        <v>255</v>
      </c>
      <c r="I92" s="202"/>
      <c r="J92" s="203"/>
      <c r="K92" s="193" t="s">
        <v>256</v>
      </c>
      <c r="L92" s="193" t="s">
        <v>257</v>
      </c>
      <c r="M92" s="201"/>
      <c r="N92" s="193" t="s">
        <v>521</v>
      </c>
      <c r="O92" s="185"/>
      <c r="P92" s="190">
        <v>6.156487883E9</v>
      </c>
      <c r="Q92" s="201"/>
      <c r="R92" s="193"/>
      <c r="S92" s="181" t="s">
        <v>259</v>
      </c>
    </row>
    <row r="93" ht="21.0" customHeight="1">
      <c r="A93" s="190">
        <v>92.0</v>
      </c>
      <c r="B93" s="191">
        <v>46306.0</v>
      </c>
      <c r="C93" s="192">
        <v>0.7652777777777777</v>
      </c>
      <c r="D93" s="190">
        <v>6.156487883E9</v>
      </c>
      <c r="E93" s="193" t="s">
        <v>200</v>
      </c>
      <c r="F93" s="194" t="s">
        <v>254</v>
      </c>
      <c r="G93" s="195">
        <v>80000.0</v>
      </c>
      <c r="H93" s="194" t="s">
        <v>255</v>
      </c>
      <c r="I93" s="202"/>
      <c r="J93" s="203"/>
      <c r="K93" s="193" t="s">
        <v>256</v>
      </c>
      <c r="L93" s="193" t="s">
        <v>257</v>
      </c>
      <c r="M93" s="201"/>
      <c r="N93" s="193" t="s">
        <v>532</v>
      </c>
      <c r="O93" s="185"/>
      <c r="P93" s="190">
        <v>6.156487883E9</v>
      </c>
      <c r="Q93" s="201"/>
      <c r="R93" s="193"/>
      <c r="S93" s="181" t="s">
        <v>259</v>
      </c>
    </row>
    <row r="94" ht="21.0" customHeight="1">
      <c r="A94" s="190">
        <v>93.0</v>
      </c>
      <c r="B94" s="191">
        <v>46306.0</v>
      </c>
      <c r="C94" s="192">
        <v>0.7659722222222223</v>
      </c>
      <c r="D94" s="190">
        <v>6.156487883E9</v>
      </c>
      <c r="E94" s="193" t="s">
        <v>200</v>
      </c>
      <c r="F94" s="194" t="s">
        <v>254</v>
      </c>
      <c r="G94" s="195">
        <v>80000.0</v>
      </c>
      <c r="H94" s="194" t="s">
        <v>255</v>
      </c>
      <c r="I94" s="202"/>
      <c r="J94" s="203"/>
      <c r="K94" s="193" t="s">
        <v>256</v>
      </c>
      <c r="L94" s="193" t="s">
        <v>257</v>
      </c>
      <c r="M94" s="201"/>
      <c r="N94" s="193" t="s">
        <v>533</v>
      </c>
      <c r="O94" s="185"/>
      <c r="P94" s="190">
        <v>6.156487883E9</v>
      </c>
      <c r="Q94" s="201"/>
      <c r="R94" s="193"/>
      <c r="S94" s="181" t="s">
        <v>259</v>
      </c>
    </row>
    <row r="95" ht="21.0" customHeight="1">
      <c r="A95" s="190">
        <v>94.0</v>
      </c>
      <c r="B95" s="191">
        <v>46306.0</v>
      </c>
      <c r="C95" s="192">
        <v>0.7666666666666667</v>
      </c>
      <c r="D95" s="190">
        <v>6.156487883E9</v>
      </c>
      <c r="E95" s="193" t="s">
        <v>200</v>
      </c>
      <c r="F95" s="194" t="s">
        <v>254</v>
      </c>
      <c r="G95" s="195">
        <v>120000.0</v>
      </c>
      <c r="H95" s="194" t="s">
        <v>255</v>
      </c>
      <c r="I95" s="202"/>
      <c r="J95" s="203"/>
      <c r="K95" s="193" t="s">
        <v>256</v>
      </c>
      <c r="L95" s="193" t="s">
        <v>257</v>
      </c>
      <c r="M95" s="201">
        <v>398.0</v>
      </c>
      <c r="N95" s="193" t="s">
        <v>534</v>
      </c>
      <c r="O95" s="185"/>
      <c r="P95" s="190">
        <v>6.156487883E9</v>
      </c>
      <c r="Q95" s="201"/>
      <c r="R95" s="193"/>
      <c r="S95" s="181" t="s">
        <v>259</v>
      </c>
    </row>
    <row r="96" ht="21.0" customHeight="1">
      <c r="A96" s="190">
        <v>95.0</v>
      </c>
      <c r="B96" s="191">
        <v>46306.0</v>
      </c>
      <c r="C96" s="192">
        <v>0.7673611111111112</v>
      </c>
      <c r="D96" s="190">
        <v>6.156487883E9</v>
      </c>
      <c r="E96" s="193" t="s">
        <v>200</v>
      </c>
      <c r="F96" s="194" t="s">
        <v>254</v>
      </c>
      <c r="G96" s="195">
        <v>120000.0</v>
      </c>
      <c r="H96" s="194" t="s">
        <v>255</v>
      </c>
      <c r="I96" s="202"/>
      <c r="J96" s="203"/>
      <c r="K96" s="193" t="s">
        <v>256</v>
      </c>
      <c r="L96" s="193" t="s">
        <v>257</v>
      </c>
      <c r="M96" s="201">
        <v>398.0</v>
      </c>
      <c r="N96" s="193" t="s">
        <v>523</v>
      </c>
      <c r="O96" s="185"/>
      <c r="P96" s="190">
        <v>6.156487883E9</v>
      </c>
      <c r="Q96" s="201"/>
      <c r="R96" s="193"/>
      <c r="S96" s="181" t="s">
        <v>259</v>
      </c>
    </row>
    <row r="97" ht="21.0" customHeight="1">
      <c r="A97" s="190">
        <v>96.0</v>
      </c>
      <c r="B97" s="191">
        <v>46306.0</v>
      </c>
      <c r="C97" s="192">
        <v>0.7680555555555556</v>
      </c>
      <c r="D97" s="190">
        <v>6.156487883E9</v>
      </c>
      <c r="E97" s="193" t="s">
        <v>200</v>
      </c>
      <c r="F97" s="194" t="s">
        <v>254</v>
      </c>
      <c r="G97" s="195">
        <v>373000.0</v>
      </c>
      <c r="H97" s="194" t="s">
        <v>255</v>
      </c>
      <c r="I97" s="202"/>
      <c r="J97" s="203"/>
      <c r="K97" s="193" t="s">
        <v>296</v>
      </c>
      <c r="L97" s="193" t="s">
        <v>297</v>
      </c>
      <c r="M97" s="201"/>
      <c r="N97" s="193" t="s">
        <v>472</v>
      </c>
      <c r="O97" s="185"/>
      <c r="P97" s="190">
        <v>6.156487883E9</v>
      </c>
      <c r="Q97" s="201"/>
      <c r="R97" s="193" t="s">
        <v>473</v>
      </c>
      <c r="S97" s="181" t="s">
        <v>259</v>
      </c>
    </row>
    <row r="98" ht="21.0" customHeight="1">
      <c r="A98" s="190">
        <v>97.0</v>
      </c>
      <c r="B98" s="191">
        <v>46306.0</v>
      </c>
      <c r="C98" s="192">
        <v>0.76875</v>
      </c>
      <c r="D98" s="190">
        <v>6.156487883E9</v>
      </c>
      <c r="E98" s="193" t="s">
        <v>200</v>
      </c>
      <c r="F98" s="194" t="s">
        <v>254</v>
      </c>
      <c r="G98" s="195">
        <v>80000.0</v>
      </c>
      <c r="H98" s="194" t="s">
        <v>255</v>
      </c>
      <c r="I98" s="202"/>
      <c r="J98" s="203"/>
      <c r="K98" s="193" t="s">
        <v>256</v>
      </c>
      <c r="L98" s="193" t="s">
        <v>257</v>
      </c>
      <c r="M98" s="201">
        <v>388.0</v>
      </c>
      <c r="N98" s="193" t="s">
        <v>481</v>
      </c>
      <c r="O98" s="185"/>
      <c r="P98" s="190">
        <v>6.156487883E9</v>
      </c>
      <c r="Q98" s="201"/>
      <c r="R98" s="193"/>
      <c r="S98" s="181" t="s">
        <v>259</v>
      </c>
    </row>
    <row r="99" ht="21.0" customHeight="1">
      <c r="A99" s="190">
        <v>98.0</v>
      </c>
      <c r="B99" s="191">
        <v>46306.0</v>
      </c>
      <c r="C99" s="192">
        <v>0.7694444444444445</v>
      </c>
      <c r="D99" s="190">
        <v>6.156487883E9</v>
      </c>
      <c r="E99" s="193" t="s">
        <v>200</v>
      </c>
      <c r="F99" s="194" t="s">
        <v>254</v>
      </c>
      <c r="G99" s="195">
        <v>80000.0</v>
      </c>
      <c r="H99" s="194" t="s">
        <v>255</v>
      </c>
      <c r="I99" s="202"/>
      <c r="J99" s="203"/>
      <c r="K99" s="193" t="s">
        <v>256</v>
      </c>
      <c r="L99" s="193" t="s">
        <v>257</v>
      </c>
      <c r="M99" s="201">
        <v>388.0</v>
      </c>
      <c r="N99" s="193" t="s">
        <v>485</v>
      </c>
      <c r="O99" s="185"/>
      <c r="P99" s="190">
        <v>6.156487883E9</v>
      </c>
      <c r="Q99" s="201"/>
      <c r="R99" s="193"/>
      <c r="S99" s="181" t="s">
        <v>259</v>
      </c>
    </row>
    <row r="100" ht="21.0" customHeight="1">
      <c r="A100" s="190">
        <v>99.0</v>
      </c>
      <c r="B100" s="191">
        <v>46306.0</v>
      </c>
      <c r="C100" s="192">
        <v>0.7694444444444445</v>
      </c>
      <c r="D100" s="190">
        <v>6.156487883E9</v>
      </c>
      <c r="E100" s="193" t="s">
        <v>200</v>
      </c>
      <c r="F100" s="194" t="s">
        <v>254</v>
      </c>
      <c r="G100" s="195">
        <v>40000.0</v>
      </c>
      <c r="H100" s="194" t="s">
        <v>255</v>
      </c>
      <c r="I100" s="202"/>
      <c r="J100" s="203"/>
      <c r="K100" s="193" t="s">
        <v>256</v>
      </c>
      <c r="L100" s="193" t="s">
        <v>257</v>
      </c>
      <c r="M100" s="201">
        <v>388.0</v>
      </c>
      <c r="N100" s="193" t="s">
        <v>547</v>
      </c>
      <c r="O100" s="185"/>
      <c r="P100" s="190">
        <v>6.156487883E9</v>
      </c>
      <c r="Q100" s="201"/>
      <c r="R100" s="193"/>
      <c r="S100" s="181" t="s">
        <v>259</v>
      </c>
    </row>
    <row r="101" ht="21.0" customHeight="1">
      <c r="A101" s="190">
        <v>100.0</v>
      </c>
      <c r="B101" s="191">
        <v>46306.0</v>
      </c>
      <c r="C101" s="192">
        <v>0.7701388888888889</v>
      </c>
      <c r="D101" s="190">
        <v>6.156487883E9</v>
      </c>
      <c r="E101" s="193" t="s">
        <v>200</v>
      </c>
      <c r="F101" s="194" t="s">
        <v>254</v>
      </c>
      <c r="G101" s="195">
        <v>40000.0</v>
      </c>
      <c r="H101" s="194" t="s">
        <v>255</v>
      </c>
      <c r="I101" s="202"/>
      <c r="J101" s="203"/>
      <c r="K101" s="193" t="s">
        <v>256</v>
      </c>
      <c r="L101" s="193" t="s">
        <v>257</v>
      </c>
      <c r="M101" s="201">
        <v>388.0</v>
      </c>
      <c r="N101" s="193" t="s">
        <v>548</v>
      </c>
      <c r="O101" s="185"/>
      <c r="P101" s="190">
        <v>6.156487883E9</v>
      </c>
      <c r="Q101" s="201"/>
      <c r="R101" s="193"/>
      <c r="S101" s="181" t="s">
        <v>259</v>
      </c>
    </row>
    <row r="102" ht="21.0" customHeight="1">
      <c r="A102" s="190">
        <v>101.0</v>
      </c>
      <c r="B102" s="191">
        <v>46306.0</v>
      </c>
      <c r="C102" s="192">
        <v>0.7708333333333334</v>
      </c>
      <c r="D102" s="190">
        <v>6.156487883E9</v>
      </c>
      <c r="E102" s="193" t="s">
        <v>200</v>
      </c>
      <c r="F102" s="194" t="s">
        <v>254</v>
      </c>
      <c r="G102" s="195">
        <v>160000.0</v>
      </c>
      <c r="H102" s="194" t="s">
        <v>255</v>
      </c>
      <c r="I102" s="202"/>
      <c r="J102" s="203"/>
      <c r="K102" s="193" t="s">
        <v>256</v>
      </c>
      <c r="L102" s="193" t="s">
        <v>257</v>
      </c>
      <c r="M102" s="201">
        <v>383.0</v>
      </c>
      <c r="N102" s="193" t="s">
        <v>510</v>
      </c>
      <c r="O102" s="185"/>
      <c r="P102" s="190">
        <v>6.156487883E9</v>
      </c>
      <c r="Q102" s="201"/>
      <c r="R102" s="193"/>
      <c r="S102" s="181" t="s">
        <v>259</v>
      </c>
    </row>
    <row r="103" ht="21.0" customHeight="1">
      <c r="A103" s="190">
        <v>102.0</v>
      </c>
      <c r="B103" s="191">
        <v>46306.0</v>
      </c>
      <c r="C103" s="192">
        <v>0.7715277777777778</v>
      </c>
      <c r="D103" s="190">
        <v>6.156487883E9</v>
      </c>
      <c r="E103" s="193" t="s">
        <v>200</v>
      </c>
      <c r="F103" s="194" t="s">
        <v>254</v>
      </c>
      <c r="G103" s="195">
        <v>80000.0</v>
      </c>
      <c r="H103" s="194" t="s">
        <v>255</v>
      </c>
      <c r="I103" s="202"/>
      <c r="J103" s="203"/>
      <c r="K103" s="193" t="s">
        <v>256</v>
      </c>
      <c r="L103" s="193" t="s">
        <v>257</v>
      </c>
      <c r="M103" s="201">
        <v>398.0</v>
      </c>
      <c r="N103" s="193" t="s">
        <v>549</v>
      </c>
      <c r="O103" s="185"/>
      <c r="P103" s="190">
        <v>6.156487883E9</v>
      </c>
      <c r="Q103" s="201"/>
      <c r="R103" s="193"/>
      <c r="S103" s="181" t="s">
        <v>259</v>
      </c>
    </row>
    <row r="104" ht="21.0" customHeight="1">
      <c r="A104" s="190">
        <v>103.0</v>
      </c>
      <c r="B104" s="191">
        <v>46306.0</v>
      </c>
      <c r="C104" s="192">
        <v>0.7736111111111111</v>
      </c>
      <c r="D104" s="190">
        <v>6.156487883E9</v>
      </c>
      <c r="E104" s="193" t="s">
        <v>200</v>
      </c>
      <c r="F104" s="194" t="s">
        <v>254</v>
      </c>
      <c r="G104" s="195">
        <v>80000.0</v>
      </c>
      <c r="H104" s="194" t="s">
        <v>255</v>
      </c>
      <c r="I104" s="202"/>
      <c r="J104" s="203"/>
      <c r="K104" s="193" t="s">
        <v>256</v>
      </c>
      <c r="L104" s="193" t="s">
        <v>257</v>
      </c>
      <c r="M104" s="201"/>
      <c r="N104" s="193" t="s">
        <v>533</v>
      </c>
      <c r="O104" s="185"/>
      <c r="P104" s="190">
        <v>6.156487883E9</v>
      </c>
      <c r="Q104" s="201"/>
      <c r="R104" s="193"/>
      <c r="S104" s="181" t="s">
        <v>259</v>
      </c>
    </row>
    <row r="105" ht="21.0" customHeight="1">
      <c r="A105" s="190">
        <v>104.0</v>
      </c>
      <c r="B105" s="191">
        <v>46306.0</v>
      </c>
      <c r="C105" s="192">
        <v>0.7743055555555556</v>
      </c>
      <c r="D105" s="190">
        <v>6.156487883E9</v>
      </c>
      <c r="E105" s="193" t="s">
        <v>200</v>
      </c>
      <c r="F105" s="194" t="s">
        <v>254</v>
      </c>
      <c r="G105" s="195">
        <v>40000.0</v>
      </c>
      <c r="H105" s="194" t="s">
        <v>255</v>
      </c>
      <c r="I105" s="202"/>
      <c r="J105" s="203"/>
      <c r="K105" s="193" t="s">
        <v>256</v>
      </c>
      <c r="L105" s="193" t="s">
        <v>257</v>
      </c>
      <c r="M105" s="201"/>
      <c r="N105" s="193" t="s">
        <v>550</v>
      </c>
      <c r="O105" s="185"/>
      <c r="P105" s="190">
        <v>6.156487883E9</v>
      </c>
      <c r="Q105" s="201"/>
      <c r="R105" s="193"/>
      <c r="S105" s="181" t="s">
        <v>259</v>
      </c>
    </row>
    <row r="106" ht="21.0" customHeight="1">
      <c r="A106" s="190">
        <v>105.0</v>
      </c>
      <c r="B106" s="191">
        <v>46306.0</v>
      </c>
      <c r="C106" s="192">
        <v>0.7743055555555556</v>
      </c>
      <c r="D106" s="190">
        <v>6.156487883E9</v>
      </c>
      <c r="E106" s="193" t="s">
        <v>200</v>
      </c>
      <c r="F106" s="194" t="s">
        <v>254</v>
      </c>
      <c r="G106" s="195">
        <v>40000.0</v>
      </c>
      <c r="H106" s="194" t="s">
        <v>255</v>
      </c>
      <c r="I106" s="202"/>
      <c r="J106" s="203"/>
      <c r="K106" s="193" t="s">
        <v>256</v>
      </c>
      <c r="L106" s="193" t="s">
        <v>257</v>
      </c>
      <c r="M106" s="201"/>
      <c r="N106" s="193" t="s">
        <v>551</v>
      </c>
      <c r="O106" s="185"/>
      <c r="P106" s="190">
        <v>6.156487883E9</v>
      </c>
      <c r="Q106" s="201"/>
      <c r="R106" s="193"/>
      <c r="S106" s="181" t="s">
        <v>259</v>
      </c>
    </row>
    <row r="107" ht="21.0" customHeight="1">
      <c r="A107" s="190">
        <v>106.0</v>
      </c>
      <c r="B107" s="191">
        <v>46306.0</v>
      </c>
      <c r="C107" s="192">
        <v>0.7784722222222222</v>
      </c>
      <c r="D107" s="190">
        <v>6.156487883E9</v>
      </c>
      <c r="E107" s="193" t="s">
        <v>200</v>
      </c>
      <c r="F107" s="194" t="s">
        <v>254</v>
      </c>
      <c r="G107" s="195">
        <v>70000.0</v>
      </c>
      <c r="H107" s="194" t="s">
        <v>255</v>
      </c>
      <c r="I107" s="202"/>
      <c r="J107" s="203"/>
      <c r="K107" s="193" t="s">
        <v>368</v>
      </c>
      <c r="L107" s="193" t="s">
        <v>369</v>
      </c>
      <c r="M107" s="201"/>
      <c r="N107" s="193" t="s">
        <v>552</v>
      </c>
      <c r="O107" s="185"/>
      <c r="P107" s="190">
        <v>6.156487883E9</v>
      </c>
      <c r="Q107" s="201"/>
      <c r="R107" s="193"/>
      <c r="S107" s="181" t="s">
        <v>259</v>
      </c>
    </row>
    <row r="108" ht="21.0" customHeight="1">
      <c r="A108" s="190">
        <v>107.0</v>
      </c>
      <c r="B108" s="191">
        <v>46306.0</v>
      </c>
      <c r="C108" s="192">
        <v>0.7791666666666667</v>
      </c>
      <c r="D108" s="190">
        <v>6.156487883E9</v>
      </c>
      <c r="E108" s="193" t="s">
        <v>200</v>
      </c>
      <c r="F108" s="194" t="s">
        <v>254</v>
      </c>
      <c r="G108" s="195">
        <v>35000.0</v>
      </c>
      <c r="H108" s="194" t="s">
        <v>255</v>
      </c>
      <c r="I108" s="202"/>
      <c r="J108" s="203"/>
      <c r="K108" s="193" t="s">
        <v>368</v>
      </c>
      <c r="L108" s="193" t="s">
        <v>369</v>
      </c>
      <c r="M108" s="201"/>
      <c r="N108" s="193" t="s">
        <v>553</v>
      </c>
      <c r="O108" s="185"/>
      <c r="P108" s="190">
        <v>6.156487883E9</v>
      </c>
      <c r="Q108" s="201"/>
      <c r="R108" s="193"/>
      <c r="S108" s="181" t="s">
        <v>259</v>
      </c>
    </row>
    <row r="109" ht="21.0" customHeight="1">
      <c r="A109" s="190">
        <v>108.0</v>
      </c>
      <c r="B109" s="191">
        <v>46306.0</v>
      </c>
      <c r="C109" s="192">
        <v>0.7805555555555556</v>
      </c>
      <c r="D109" s="190">
        <v>6.156487883E9</v>
      </c>
      <c r="E109" s="193" t="s">
        <v>200</v>
      </c>
      <c r="F109" s="194" t="s">
        <v>254</v>
      </c>
      <c r="G109" s="195">
        <v>100000.0</v>
      </c>
      <c r="H109" s="194" t="s">
        <v>255</v>
      </c>
      <c r="I109" s="202"/>
      <c r="J109" s="203"/>
      <c r="K109" s="193" t="s">
        <v>266</v>
      </c>
      <c r="L109" s="193" t="s">
        <v>267</v>
      </c>
      <c r="M109" s="201"/>
      <c r="N109" s="193" t="s">
        <v>554</v>
      </c>
      <c r="O109" s="185"/>
      <c r="P109" s="190">
        <v>6.156487883E9</v>
      </c>
      <c r="Q109" s="201"/>
      <c r="R109" s="193" t="s">
        <v>129</v>
      </c>
      <c r="S109" s="181" t="s">
        <v>269</v>
      </c>
    </row>
    <row r="110" ht="21.0" customHeight="1">
      <c r="A110" s="190">
        <v>109.0</v>
      </c>
      <c r="B110" s="191">
        <v>46306.0</v>
      </c>
      <c r="C110" s="192">
        <v>0.8527777777777777</v>
      </c>
      <c r="D110" s="190">
        <v>2.54366051E8</v>
      </c>
      <c r="E110" s="193" t="s">
        <v>8</v>
      </c>
      <c r="F110" s="194" t="s">
        <v>254</v>
      </c>
      <c r="G110" s="195">
        <v>35000.0</v>
      </c>
      <c r="H110" s="194" t="s">
        <v>255</v>
      </c>
      <c r="I110" s="202"/>
      <c r="J110" s="203"/>
      <c r="K110" s="193" t="s">
        <v>256</v>
      </c>
      <c r="L110" s="193" t="s">
        <v>257</v>
      </c>
      <c r="M110" s="201"/>
      <c r="N110" s="193" t="s">
        <v>285</v>
      </c>
      <c r="O110" s="185"/>
      <c r="P110" s="190">
        <v>2.54366051E8</v>
      </c>
      <c r="Q110" s="201"/>
      <c r="R110" s="193"/>
      <c r="S110" s="181" t="s">
        <v>259</v>
      </c>
    </row>
    <row r="111" ht="21.0" customHeight="1">
      <c r="A111" s="190">
        <v>110.0</v>
      </c>
      <c r="B111" s="191">
        <v>46306.0</v>
      </c>
      <c r="C111" s="192">
        <v>0.8548611111111111</v>
      </c>
      <c r="D111" s="190">
        <v>2.54366051E8</v>
      </c>
      <c r="E111" s="193" t="s">
        <v>8</v>
      </c>
      <c r="F111" s="194" t="s">
        <v>254</v>
      </c>
      <c r="G111" s="195">
        <v>300000.0</v>
      </c>
      <c r="H111" s="194" t="s">
        <v>255</v>
      </c>
      <c r="I111" s="202"/>
      <c r="J111" s="203"/>
      <c r="K111" s="193" t="s">
        <v>266</v>
      </c>
      <c r="L111" s="193" t="s">
        <v>267</v>
      </c>
      <c r="M111" s="201"/>
      <c r="N111" s="193" t="s">
        <v>555</v>
      </c>
      <c r="O111" s="185"/>
      <c r="P111" s="190">
        <v>2.54366051E8</v>
      </c>
      <c r="Q111" s="201"/>
      <c r="R111" s="193" t="s">
        <v>126</v>
      </c>
      <c r="S111" s="181" t="s">
        <v>269</v>
      </c>
    </row>
    <row r="112" ht="21.0" customHeight="1">
      <c r="A112" s="190">
        <v>111.0</v>
      </c>
      <c r="B112" s="191">
        <v>46307.0</v>
      </c>
      <c r="C112" s="192">
        <v>0.4986111111111111</v>
      </c>
      <c r="D112" s="190">
        <v>6.156487883E9</v>
      </c>
      <c r="E112" s="193" t="s">
        <v>200</v>
      </c>
      <c r="F112" s="194" t="s">
        <v>270</v>
      </c>
      <c r="G112" s="195">
        <v>1200000.0</v>
      </c>
      <c r="H112" s="194" t="s">
        <v>255</v>
      </c>
      <c r="I112" s="202"/>
      <c r="J112" s="203"/>
      <c r="K112" s="193" t="s">
        <v>271</v>
      </c>
      <c r="L112" s="193" t="s">
        <v>272</v>
      </c>
      <c r="M112" s="201"/>
      <c r="N112" s="193" t="s">
        <v>556</v>
      </c>
      <c r="O112" s="185"/>
      <c r="P112" s="190">
        <v>4.43142649E8</v>
      </c>
      <c r="Q112" s="201"/>
      <c r="R112" s="193"/>
      <c r="S112" s="181" t="s">
        <v>259</v>
      </c>
    </row>
    <row r="113" ht="21.0" customHeight="1">
      <c r="A113" s="190">
        <v>112.0</v>
      </c>
      <c r="B113" s="191">
        <v>46307.0</v>
      </c>
      <c r="C113" s="192">
        <v>0.5069444444444444</v>
      </c>
      <c r="D113" s="190">
        <v>6.156487883E9</v>
      </c>
      <c r="E113" s="193" t="s">
        <v>200</v>
      </c>
      <c r="F113" s="194" t="s">
        <v>254</v>
      </c>
      <c r="G113" s="195">
        <v>40000.0</v>
      </c>
      <c r="H113" s="194" t="s">
        <v>255</v>
      </c>
      <c r="I113" s="202"/>
      <c r="J113" s="203"/>
      <c r="K113" s="193" t="s">
        <v>256</v>
      </c>
      <c r="L113" s="193" t="s">
        <v>257</v>
      </c>
      <c r="M113" s="201">
        <v>388.0</v>
      </c>
      <c r="N113" s="193" t="s">
        <v>547</v>
      </c>
      <c r="O113" s="185"/>
      <c r="P113" s="190">
        <v>6.156487883E9</v>
      </c>
      <c r="Q113" s="201"/>
      <c r="R113" s="193"/>
      <c r="S113" s="181" t="s">
        <v>259</v>
      </c>
    </row>
    <row r="114" ht="21.0" customHeight="1">
      <c r="A114" s="190">
        <v>113.0</v>
      </c>
      <c r="B114" s="191">
        <v>46307.0</v>
      </c>
      <c r="C114" s="192">
        <v>0.5506944444444445</v>
      </c>
      <c r="D114" s="190">
        <v>2.54366051E8</v>
      </c>
      <c r="E114" s="193" t="s">
        <v>8</v>
      </c>
      <c r="F114" s="194" t="s">
        <v>254</v>
      </c>
      <c r="G114" s="195">
        <v>420000.0</v>
      </c>
      <c r="H114" s="194" t="s">
        <v>255</v>
      </c>
      <c r="I114" s="202"/>
      <c r="J114" s="203"/>
      <c r="K114" s="193" t="s">
        <v>296</v>
      </c>
      <c r="L114" s="193" t="s">
        <v>297</v>
      </c>
      <c r="M114" s="201"/>
      <c r="N114" s="193" t="s">
        <v>557</v>
      </c>
      <c r="O114" s="185"/>
      <c r="P114" s="190">
        <v>2.54366051E8</v>
      </c>
      <c r="Q114" s="201"/>
      <c r="R114" s="193" t="s">
        <v>507</v>
      </c>
      <c r="S114" s="181" t="s">
        <v>259</v>
      </c>
    </row>
    <row r="115" ht="21.0" customHeight="1">
      <c r="A115" s="190">
        <v>114.0</v>
      </c>
      <c r="B115" s="191">
        <v>46307.0</v>
      </c>
      <c r="C115" s="192">
        <v>0.5979166666666667</v>
      </c>
      <c r="D115" s="190">
        <v>4.43142649E8</v>
      </c>
      <c r="E115" s="193" t="s">
        <v>260</v>
      </c>
      <c r="F115" s="194" t="s">
        <v>270</v>
      </c>
      <c r="G115" s="195">
        <v>4.997118E7</v>
      </c>
      <c r="H115" s="194" t="s">
        <v>263</v>
      </c>
      <c r="I115" s="202">
        <v>4200.0</v>
      </c>
      <c r="J115" s="203">
        <v>11897.9</v>
      </c>
      <c r="K115" s="193" t="s">
        <v>558</v>
      </c>
      <c r="L115" s="193" t="s">
        <v>559</v>
      </c>
      <c r="M115" s="201">
        <v>406.0</v>
      </c>
      <c r="N115" s="193"/>
      <c r="O115" s="185"/>
      <c r="P115" s="190">
        <v>4.43142649E8</v>
      </c>
      <c r="Q115" s="201"/>
      <c r="R115" s="193"/>
      <c r="S115" s="181" t="s">
        <v>259</v>
      </c>
    </row>
    <row r="116" ht="21.0" customHeight="1">
      <c r="A116" s="190">
        <v>115.0</v>
      </c>
      <c r="B116" s="191">
        <v>46307.0</v>
      </c>
      <c r="C116" s="192">
        <v>0.6</v>
      </c>
      <c r="D116" s="190">
        <v>4.43142649E8</v>
      </c>
      <c r="E116" s="193" t="s">
        <v>260</v>
      </c>
      <c r="F116" s="194" t="s">
        <v>254</v>
      </c>
      <c r="G116" s="195">
        <v>370000.0</v>
      </c>
      <c r="H116" s="194" t="s">
        <v>255</v>
      </c>
      <c r="I116" s="202"/>
      <c r="J116" s="203"/>
      <c r="K116" s="193" t="s">
        <v>560</v>
      </c>
      <c r="L116" s="193" t="s">
        <v>561</v>
      </c>
      <c r="M116" s="201"/>
      <c r="N116" s="193" t="s">
        <v>562</v>
      </c>
      <c r="O116" s="185"/>
      <c r="P116" s="190">
        <v>4.43142649E8</v>
      </c>
      <c r="Q116" s="201"/>
      <c r="R116" s="193"/>
      <c r="S116" s="181" t="s">
        <v>259</v>
      </c>
    </row>
    <row r="117" ht="21.0" customHeight="1">
      <c r="A117" s="190">
        <v>116.0</v>
      </c>
      <c r="B117" s="191">
        <v>46307.0</v>
      </c>
      <c r="C117" s="192">
        <v>0.6013888888888889</v>
      </c>
      <c r="D117" s="190">
        <v>4.43142649E8</v>
      </c>
      <c r="E117" s="193" t="s">
        <v>260</v>
      </c>
      <c r="F117" s="194" t="s">
        <v>254</v>
      </c>
      <c r="G117" s="195">
        <v>3646200.0</v>
      </c>
      <c r="H117" s="194" t="s">
        <v>263</v>
      </c>
      <c r="I117" s="202">
        <v>309.0</v>
      </c>
      <c r="J117" s="203">
        <v>11800.0</v>
      </c>
      <c r="K117" s="193" t="s">
        <v>266</v>
      </c>
      <c r="L117" s="193" t="s">
        <v>267</v>
      </c>
      <c r="M117" s="201"/>
      <c r="N117" s="193" t="s">
        <v>563</v>
      </c>
      <c r="O117" s="185"/>
      <c r="P117" s="190">
        <v>4.43142649E8</v>
      </c>
      <c r="Q117" s="201"/>
      <c r="R117" s="193" t="s">
        <v>145</v>
      </c>
      <c r="S117" s="181" t="s">
        <v>564</v>
      </c>
    </row>
    <row r="118" ht="21.0" customHeight="1">
      <c r="A118" s="190">
        <v>117.0</v>
      </c>
      <c r="B118" s="191">
        <v>46307.0</v>
      </c>
      <c r="C118" s="192">
        <v>0.6020833333333333</v>
      </c>
      <c r="D118" s="190">
        <v>4.43142649E8</v>
      </c>
      <c r="E118" s="193" t="s">
        <v>260</v>
      </c>
      <c r="F118" s="194" t="s">
        <v>254</v>
      </c>
      <c r="G118" s="195">
        <v>5449240.0</v>
      </c>
      <c r="H118" s="194" t="s">
        <v>263</v>
      </c>
      <c r="I118" s="202">
        <v>461.8</v>
      </c>
      <c r="J118" s="203">
        <v>11800.0</v>
      </c>
      <c r="K118" s="193" t="s">
        <v>266</v>
      </c>
      <c r="L118" s="193" t="s">
        <v>267</v>
      </c>
      <c r="M118" s="201"/>
      <c r="N118" s="193" t="s">
        <v>565</v>
      </c>
      <c r="O118" s="185"/>
      <c r="P118" s="190">
        <v>4.43142649E8</v>
      </c>
      <c r="Q118" s="201"/>
      <c r="R118" s="193" t="s">
        <v>116</v>
      </c>
      <c r="S118" s="181" t="s">
        <v>564</v>
      </c>
    </row>
    <row r="119" ht="21.0" customHeight="1">
      <c r="A119" s="190">
        <v>118.0</v>
      </c>
      <c r="B119" s="191">
        <v>46307.0</v>
      </c>
      <c r="C119" s="192">
        <v>0.6027777777777777</v>
      </c>
      <c r="D119" s="190">
        <v>4.43142649E8</v>
      </c>
      <c r="E119" s="193" t="s">
        <v>260</v>
      </c>
      <c r="F119" s="194" t="s">
        <v>254</v>
      </c>
      <c r="G119" s="195">
        <v>105000.0</v>
      </c>
      <c r="H119" s="194" t="s">
        <v>255</v>
      </c>
      <c r="I119" s="202"/>
      <c r="J119" s="203"/>
      <c r="K119" s="193" t="s">
        <v>455</v>
      </c>
      <c r="L119" s="193" t="s">
        <v>456</v>
      </c>
      <c r="M119" s="201"/>
      <c r="N119" s="193" t="s">
        <v>572</v>
      </c>
      <c r="O119" s="185"/>
      <c r="P119" s="190">
        <v>4.43142649E8</v>
      </c>
      <c r="Q119" s="201"/>
      <c r="R119" s="193"/>
      <c r="S119" s="181" t="s">
        <v>259</v>
      </c>
    </row>
    <row r="120" ht="21.0" customHeight="1">
      <c r="A120" s="190">
        <v>119.0</v>
      </c>
      <c r="B120" s="191">
        <v>46307.0</v>
      </c>
      <c r="C120" s="192">
        <v>0.6034722222222222</v>
      </c>
      <c r="D120" s="190">
        <v>4.43142649E8</v>
      </c>
      <c r="E120" s="193" t="s">
        <v>260</v>
      </c>
      <c r="F120" s="194" t="s">
        <v>254</v>
      </c>
      <c r="G120" s="195">
        <v>185000.0</v>
      </c>
      <c r="H120" s="194" t="s">
        <v>255</v>
      </c>
      <c r="I120" s="202"/>
      <c r="J120" s="203"/>
      <c r="K120" s="193" t="s">
        <v>368</v>
      </c>
      <c r="L120" s="193" t="s">
        <v>369</v>
      </c>
      <c r="M120" s="201"/>
      <c r="N120" s="193" t="s">
        <v>584</v>
      </c>
      <c r="O120" s="185"/>
      <c r="P120" s="190">
        <v>4.43142649E8</v>
      </c>
      <c r="Q120" s="201"/>
      <c r="R120" s="193"/>
      <c r="S120" s="181" t="s">
        <v>259</v>
      </c>
    </row>
    <row r="121" ht="21.0" customHeight="1">
      <c r="A121" s="190">
        <v>120.0</v>
      </c>
      <c r="B121" s="191">
        <v>46307.0</v>
      </c>
      <c r="C121" s="192">
        <v>0.6041666666666666</v>
      </c>
      <c r="D121" s="190">
        <v>4.43142649E8</v>
      </c>
      <c r="E121" s="193" t="s">
        <v>260</v>
      </c>
      <c r="F121" s="194" t="s">
        <v>254</v>
      </c>
      <c r="G121" s="195">
        <v>4755500.0</v>
      </c>
      <c r="H121" s="194" t="s">
        <v>255</v>
      </c>
      <c r="I121" s="202"/>
      <c r="J121" s="203"/>
      <c r="K121" s="193" t="s">
        <v>290</v>
      </c>
      <c r="L121" s="193" t="s">
        <v>291</v>
      </c>
      <c r="M121" s="201">
        <v>383.0</v>
      </c>
      <c r="N121" s="193" t="s">
        <v>585</v>
      </c>
      <c r="O121" s="185"/>
      <c r="P121" s="190">
        <v>4.43142649E8</v>
      </c>
      <c r="Q121" s="201"/>
      <c r="R121" s="193"/>
      <c r="S121" s="181" t="s">
        <v>259</v>
      </c>
    </row>
    <row r="122" ht="21.0" customHeight="1">
      <c r="A122" s="190">
        <v>121.0</v>
      </c>
      <c r="B122" s="191">
        <v>46307.0</v>
      </c>
      <c r="C122" s="192">
        <v>0.6055555555555555</v>
      </c>
      <c r="D122" s="190">
        <v>4.43142649E8</v>
      </c>
      <c r="E122" s="193" t="s">
        <v>260</v>
      </c>
      <c r="F122" s="194" t="s">
        <v>254</v>
      </c>
      <c r="G122" s="195">
        <v>440000.0</v>
      </c>
      <c r="H122" s="194" t="s">
        <v>255</v>
      </c>
      <c r="I122" s="202"/>
      <c r="J122" s="203"/>
      <c r="K122" s="193" t="s">
        <v>560</v>
      </c>
      <c r="L122" s="193" t="s">
        <v>561</v>
      </c>
      <c r="M122" s="201"/>
      <c r="N122" s="193" t="s">
        <v>586</v>
      </c>
      <c r="O122" s="185"/>
      <c r="P122" s="190">
        <v>4.43142649E8</v>
      </c>
      <c r="Q122" s="201"/>
      <c r="R122" s="193"/>
      <c r="S122" s="181" t="s">
        <v>259</v>
      </c>
    </row>
    <row r="123" ht="21.0" customHeight="1">
      <c r="A123" s="190">
        <v>122.0</v>
      </c>
      <c r="B123" s="191">
        <v>46307.0</v>
      </c>
      <c r="C123" s="192">
        <v>0.60625</v>
      </c>
      <c r="D123" s="190">
        <v>4.43142649E8</v>
      </c>
      <c r="E123" s="193" t="s">
        <v>260</v>
      </c>
      <c r="F123" s="194" t="s">
        <v>254</v>
      </c>
      <c r="G123" s="195">
        <v>500000.0</v>
      </c>
      <c r="H123" s="194" t="s">
        <v>255</v>
      </c>
      <c r="I123" s="202"/>
      <c r="J123" s="203"/>
      <c r="K123" s="193" t="s">
        <v>455</v>
      </c>
      <c r="L123" s="193" t="s">
        <v>456</v>
      </c>
      <c r="M123" s="201"/>
      <c r="N123" s="193" t="s">
        <v>587</v>
      </c>
      <c r="O123" s="185"/>
      <c r="P123" s="190">
        <v>4.43142649E8</v>
      </c>
      <c r="Q123" s="201"/>
      <c r="R123" s="193"/>
      <c r="S123" s="181" t="s">
        <v>259</v>
      </c>
    </row>
    <row r="124" ht="21.0" customHeight="1">
      <c r="A124" s="190">
        <v>123.0</v>
      </c>
      <c r="B124" s="191">
        <v>46307.0</v>
      </c>
      <c r="C124" s="192">
        <v>0.6069444444444444</v>
      </c>
      <c r="D124" s="190">
        <v>4.43142649E8</v>
      </c>
      <c r="E124" s="193" t="s">
        <v>260</v>
      </c>
      <c r="F124" s="194" t="s">
        <v>254</v>
      </c>
      <c r="G124" s="195">
        <v>400000.0</v>
      </c>
      <c r="H124" s="194" t="s">
        <v>255</v>
      </c>
      <c r="I124" s="202"/>
      <c r="J124" s="203"/>
      <c r="K124" s="193" t="s">
        <v>266</v>
      </c>
      <c r="L124" s="193" t="s">
        <v>267</v>
      </c>
      <c r="M124" s="201"/>
      <c r="N124" s="193" t="s">
        <v>588</v>
      </c>
      <c r="O124" s="185"/>
      <c r="P124" s="190">
        <v>4.43142649E8</v>
      </c>
      <c r="Q124" s="201"/>
      <c r="R124" s="193" t="s">
        <v>112</v>
      </c>
      <c r="S124" s="233" t="s">
        <v>269</v>
      </c>
    </row>
    <row r="125" ht="21.0" customHeight="1">
      <c r="A125" s="190">
        <v>124.0</v>
      </c>
      <c r="B125" s="191">
        <v>46307.0</v>
      </c>
      <c r="C125" s="192">
        <v>0.6069444444444444</v>
      </c>
      <c r="D125" s="190">
        <v>4.43142649E8</v>
      </c>
      <c r="E125" s="193" t="s">
        <v>260</v>
      </c>
      <c r="F125" s="194" t="s">
        <v>254</v>
      </c>
      <c r="G125" s="195">
        <v>264000.0</v>
      </c>
      <c r="H125" s="194" t="s">
        <v>255</v>
      </c>
      <c r="I125" s="202"/>
      <c r="J125" s="203"/>
      <c r="K125" s="193" t="s">
        <v>266</v>
      </c>
      <c r="L125" s="193" t="s">
        <v>267</v>
      </c>
      <c r="M125" s="201"/>
      <c r="N125" s="193" t="s">
        <v>589</v>
      </c>
      <c r="O125" s="185"/>
      <c r="P125" s="190">
        <v>4.43142649E8</v>
      </c>
      <c r="Q125" s="201"/>
      <c r="R125" s="193" t="s">
        <v>120</v>
      </c>
      <c r="S125" s="233" t="s">
        <v>269</v>
      </c>
    </row>
    <row r="126" ht="21.0" customHeight="1">
      <c r="A126" s="190">
        <v>125.0</v>
      </c>
      <c r="B126" s="191">
        <v>46307.0</v>
      </c>
      <c r="C126" s="192">
        <v>0.6083333333333333</v>
      </c>
      <c r="D126" s="190">
        <v>4.43142649E8</v>
      </c>
      <c r="E126" s="193" t="s">
        <v>260</v>
      </c>
      <c r="F126" s="194" t="s">
        <v>254</v>
      </c>
      <c r="G126" s="195">
        <v>681000.0</v>
      </c>
      <c r="H126" s="194" t="s">
        <v>255</v>
      </c>
      <c r="I126" s="202"/>
      <c r="J126" s="203"/>
      <c r="K126" s="193" t="s">
        <v>368</v>
      </c>
      <c r="L126" s="193" t="s">
        <v>369</v>
      </c>
      <c r="M126" s="201"/>
      <c r="N126" s="193" t="s">
        <v>590</v>
      </c>
      <c r="O126" s="185"/>
      <c r="P126" s="190">
        <v>4.43142649E8</v>
      </c>
      <c r="Q126" s="201"/>
      <c r="R126" s="193"/>
      <c r="S126" s="181" t="s">
        <v>259</v>
      </c>
    </row>
    <row r="127" ht="21.0" customHeight="1">
      <c r="A127" s="190">
        <v>126.0</v>
      </c>
      <c r="B127" s="191">
        <v>46307.0</v>
      </c>
      <c r="C127" s="192">
        <v>0.6083333333333333</v>
      </c>
      <c r="D127" s="190">
        <v>4.43142649E8</v>
      </c>
      <c r="E127" s="193" t="s">
        <v>260</v>
      </c>
      <c r="F127" s="194" t="s">
        <v>254</v>
      </c>
      <c r="G127" s="195">
        <v>120000.0</v>
      </c>
      <c r="H127" s="194" t="s">
        <v>255</v>
      </c>
      <c r="I127" s="202"/>
      <c r="J127" s="203"/>
      <c r="K127" s="193" t="s">
        <v>455</v>
      </c>
      <c r="L127" s="193" t="s">
        <v>456</v>
      </c>
      <c r="M127" s="201"/>
      <c r="N127" s="193" t="s">
        <v>591</v>
      </c>
      <c r="O127" s="185"/>
      <c r="P127" s="190">
        <v>4.43142649E8</v>
      </c>
      <c r="Q127" s="201"/>
      <c r="R127" s="193"/>
      <c r="S127" s="181" t="s">
        <v>259</v>
      </c>
    </row>
    <row r="128" ht="21.0" customHeight="1">
      <c r="A128" s="190">
        <v>127.0</v>
      </c>
      <c r="B128" s="191">
        <v>46307.0</v>
      </c>
      <c r="C128" s="192">
        <v>0.6104166666666667</v>
      </c>
      <c r="D128" s="190">
        <v>4.43142649E8</v>
      </c>
      <c r="E128" s="193" t="s">
        <v>260</v>
      </c>
      <c r="F128" s="194" t="s">
        <v>254</v>
      </c>
      <c r="G128" s="195">
        <v>350000.0</v>
      </c>
      <c r="H128" s="194" t="s">
        <v>255</v>
      </c>
      <c r="I128" s="202"/>
      <c r="J128" s="203"/>
      <c r="K128" s="193" t="s">
        <v>266</v>
      </c>
      <c r="L128" s="193" t="s">
        <v>267</v>
      </c>
      <c r="M128" s="201"/>
      <c r="N128" s="193" t="s">
        <v>592</v>
      </c>
      <c r="O128" s="185"/>
      <c r="P128" s="190">
        <v>4.43142649E8</v>
      </c>
      <c r="Q128" s="201"/>
      <c r="R128" s="193" t="s">
        <v>129</v>
      </c>
      <c r="S128" s="233" t="s">
        <v>269</v>
      </c>
    </row>
    <row r="129" ht="21.0" customHeight="1">
      <c r="A129" s="190">
        <v>128.0</v>
      </c>
      <c r="B129" s="191">
        <v>46307.0</v>
      </c>
      <c r="C129" s="192">
        <v>0.6111111111111112</v>
      </c>
      <c r="D129" s="190">
        <v>4.43142649E8</v>
      </c>
      <c r="E129" s="193" t="s">
        <v>260</v>
      </c>
      <c r="F129" s="194" t="s">
        <v>254</v>
      </c>
      <c r="G129" s="195">
        <v>145000.0</v>
      </c>
      <c r="H129" s="194" t="s">
        <v>255</v>
      </c>
      <c r="I129" s="202"/>
      <c r="J129" s="203"/>
      <c r="K129" s="193" t="s">
        <v>368</v>
      </c>
      <c r="L129" s="193" t="s">
        <v>369</v>
      </c>
      <c r="M129" s="201"/>
      <c r="N129" s="193" t="s">
        <v>593</v>
      </c>
      <c r="O129" s="185"/>
      <c r="P129" s="190">
        <v>4.43142649E8</v>
      </c>
      <c r="Q129" s="201"/>
      <c r="R129" s="193"/>
      <c r="S129" s="181" t="s">
        <v>259</v>
      </c>
    </row>
    <row r="130" ht="21.0" customHeight="1">
      <c r="A130" s="190">
        <v>129.0</v>
      </c>
      <c r="B130" s="191">
        <v>46307.0</v>
      </c>
      <c r="C130" s="192">
        <v>0.6118055555555556</v>
      </c>
      <c r="D130" s="190">
        <v>4.43142649E8</v>
      </c>
      <c r="E130" s="193" t="s">
        <v>260</v>
      </c>
      <c r="F130" s="194" t="s">
        <v>254</v>
      </c>
      <c r="G130" s="195">
        <v>5948950.0</v>
      </c>
      <c r="H130" s="194" t="s">
        <v>263</v>
      </c>
      <c r="I130" s="202">
        <v>500.0</v>
      </c>
      <c r="J130" s="203">
        <v>11897.9</v>
      </c>
      <c r="K130" s="193" t="s">
        <v>266</v>
      </c>
      <c r="L130" s="193" t="s">
        <v>267</v>
      </c>
      <c r="M130" s="201"/>
      <c r="N130" s="193" t="s">
        <v>594</v>
      </c>
      <c r="O130" s="185"/>
      <c r="P130" s="190">
        <v>4.43142649E8</v>
      </c>
      <c r="Q130" s="201"/>
      <c r="R130" s="193" t="s">
        <v>123</v>
      </c>
      <c r="S130" s="181" t="s">
        <v>564</v>
      </c>
    </row>
    <row r="131" ht="21.0" customHeight="1">
      <c r="A131" s="190">
        <v>130.0</v>
      </c>
      <c r="B131" s="191">
        <v>46307.0</v>
      </c>
      <c r="C131" s="192">
        <v>0.6125</v>
      </c>
      <c r="D131" s="190">
        <v>4.43142649E8</v>
      </c>
      <c r="E131" s="193" t="s">
        <v>260</v>
      </c>
      <c r="F131" s="194" t="s">
        <v>254</v>
      </c>
      <c r="G131" s="195">
        <v>3569370.0</v>
      </c>
      <c r="H131" s="194" t="s">
        <v>263</v>
      </c>
      <c r="I131" s="202">
        <v>300.0</v>
      </c>
      <c r="J131" s="203">
        <v>11897.9</v>
      </c>
      <c r="K131" s="193" t="s">
        <v>266</v>
      </c>
      <c r="L131" s="193" t="s">
        <v>267</v>
      </c>
      <c r="M131" s="201"/>
      <c r="N131" s="193" t="s">
        <v>595</v>
      </c>
      <c r="O131" s="185"/>
      <c r="P131" s="190">
        <v>4.43142649E8</v>
      </c>
      <c r="Q131" s="201"/>
      <c r="R131" s="193" t="s">
        <v>125</v>
      </c>
      <c r="S131" s="181" t="s">
        <v>564</v>
      </c>
    </row>
    <row r="132" ht="21.0" customHeight="1">
      <c r="A132" s="190">
        <v>131.0</v>
      </c>
      <c r="B132" s="191">
        <v>46307.0</v>
      </c>
      <c r="C132" s="192">
        <v>0.6125</v>
      </c>
      <c r="D132" s="190">
        <v>6.156487883E9</v>
      </c>
      <c r="E132" s="193" t="s">
        <v>200</v>
      </c>
      <c r="F132" s="194" t="s">
        <v>254</v>
      </c>
      <c r="G132" s="195">
        <v>80000.0</v>
      </c>
      <c r="H132" s="194" t="s">
        <v>255</v>
      </c>
      <c r="I132" s="202"/>
      <c r="J132" s="203"/>
      <c r="K132" s="193" t="s">
        <v>256</v>
      </c>
      <c r="L132" s="193" t="s">
        <v>257</v>
      </c>
      <c r="M132" s="201">
        <v>383.0</v>
      </c>
      <c r="N132" s="193" t="s">
        <v>596</v>
      </c>
      <c r="O132" s="185"/>
      <c r="P132" s="190">
        <v>6.156487883E9</v>
      </c>
      <c r="Q132" s="201"/>
      <c r="R132" s="193"/>
      <c r="S132" s="181" t="s">
        <v>259</v>
      </c>
    </row>
    <row r="133" ht="21.0" customHeight="1">
      <c r="A133" s="190">
        <v>132.0</v>
      </c>
      <c r="B133" s="191">
        <v>46307.0</v>
      </c>
      <c r="C133" s="192">
        <v>0.6131944444444445</v>
      </c>
      <c r="D133" s="190">
        <v>4.43142649E8</v>
      </c>
      <c r="E133" s="193" t="s">
        <v>260</v>
      </c>
      <c r="F133" s="194" t="s">
        <v>254</v>
      </c>
      <c r="G133" s="195">
        <v>101000.0</v>
      </c>
      <c r="H133" s="194" t="s">
        <v>255</v>
      </c>
      <c r="I133" s="202"/>
      <c r="J133" s="203"/>
      <c r="K133" s="193" t="s">
        <v>266</v>
      </c>
      <c r="L133" s="193" t="s">
        <v>267</v>
      </c>
      <c r="M133" s="201"/>
      <c r="N133" s="193" t="s">
        <v>597</v>
      </c>
      <c r="O133" s="185"/>
      <c r="P133" s="190">
        <v>4.43142649E8</v>
      </c>
      <c r="Q133" s="201"/>
      <c r="R133" s="193" t="s">
        <v>129</v>
      </c>
      <c r="S133" s="233" t="s">
        <v>269</v>
      </c>
    </row>
    <row r="134" ht="21.0" customHeight="1">
      <c r="A134" s="190">
        <v>133.0</v>
      </c>
      <c r="B134" s="191">
        <v>46307.0</v>
      </c>
      <c r="C134" s="192">
        <v>0.6138888888888889</v>
      </c>
      <c r="D134" s="190">
        <v>4.43142649E8</v>
      </c>
      <c r="E134" s="193" t="s">
        <v>260</v>
      </c>
      <c r="F134" s="194" t="s">
        <v>254</v>
      </c>
      <c r="G134" s="195">
        <v>100000.0</v>
      </c>
      <c r="H134" s="194" t="s">
        <v>255</v>
      </c>
      <c r="I134" s="202"/>
      <c r="J134" s="203"/>
      <c r="K134" s="193" t="s">
        <v>598</v>
      </c>
      <c r="L134" s="193" t="s">
        <v>599</v>
      </c>
      <c r="M134" s="201"/>
      <c r="N134" s="193" t="s">
        <v>600</v>
      </c>
      <c r="O134" s="185"/>
      <c r="P134" s="190">
        <v>4.43142649E8</v>
      </c>
      <c r="Q134" s="201"/>
      <c r="R134" s="193"/>
      <c r="S134" s="181" t="s">
        <v>259</v>
      </c>
    </row>
    <row r="135" ht="21.0" customHeight="1">
      <c r="A135" s="190">
        <v>134.0</v>
      </c>
      <c r="B135" s="191">
        <v>46307.0</v>
      </c>
      <c r="C135" s="192">
        <v>0.6145833333333334</v>
      </c>
      <c r="D135" s="190">
        <v>6.156487883E9</v>
      </c>
      <c r="E135" s="193" t="s">
        <v>200</v>
      </c>
      <c r="F135" s="194" t="s">
        <v>254</v>
      </c>
      <c r="G135" s="195">
        <v>80000.0</v>
      </c>
      <c r="H135" s="194" t="s">
        <v>255</v>
      </c>
      <c r="I135" s="202"/>
      <c r="J135" s="203"/>
      <c r="K135" s="193" t="s">
        <v>256</v>
      </c>
      <c r="L135" s="193" t="s">
        <v>257</v>
      </c>
      <c r="M135" s="201">
        <v>395.0</v>
      </c>
      <c r="N135" s="193" t="s">
        <v>521</v>
      </c>
      <c r="O135" s="185"/>
      <c r="P135" s="190">
        <v>6.156487883E9</v>
      </c>
      <c r="Q135" s="201"/>
      <c r="R135" s="193"/>
      <c r="S135" s="181" t="s">
        <v>259</v>
      </c>
    </row>
    <row r="136" ht="21.0" customHeight="1">
      <c r="A136" s="190">
        <v>135.0</v>
      </c>
      <c r="B136" s="191">
        <v>46307.0</v>
      </c>
      <c r="C136" s="192">
        <v>0.6145833333333334</v>
      </c>
      <c r="D136" s="190">
        <v>4.43142649E8</v>
      </c>
      <c r="E136" s="193" t="s">
        <v>260</v>
      </c>
      <c r="F136" s="194" t="s">
        <v>254</v>
      </c>
      <c r="G136" s="195">
        <v>1510000.0</v>
      </c>
      <c r="H136" s="194" t="s">
        <v>255</v>
      </c>
      <c r="I136" s="202"/>
      <c r="J136" s="203"/>
      <c r="K136" s="193" t="s">
        <v>560</v>
      </c>
      <c r="L136" s="193" t="s">
        <v>561</v>
      </c>
      <c r="M136" s="201"/>
      <c r="N136" s="193" t="s">
        <v>601</v>
      </c>
      <c r="O136" s="185"/>
      <c r="P136" s="190">
        <v>4.43142649E8</v>
      </c>
      <c r="Q136" s="201"/>
      <c r="R136" s="193"/>
      <c r="S136" s="181" t="s">
        <v>259</v>
      </c>
    </row>
    <row r="137" ht="21.0" customHeight="1">
      <c r="A137" s="190">
        <v>136.0</v>
      </c>
      <c r="B137" s="191">
        <v>46307.0</v>
      </c>
      <c r="C137" s="192">
        <v>0.6152777777777778</v>
      </c>
      <c r="D137" s="190">
        <v>6.156487883E9</v>
      </c>
      <c r="E137" s="193" t="s">
        <v>200</v>
      </c>
      <c r="F137" s="194" t="s">
        <v>254</v>
      </c>
      <c r="G137" s="195">
        <v>160000.0</v>
      </c>
      <c r="H137" s="194" t="s">
        <v>255</v>
      </c>
      <c r="I137" s="202"/>
      <c r="J137" s="203"/>
      <c r="K137" s="193" t="s">
        <v>256</v>
      </c>
      <c r="L137" s="193" t="s">
        <v>257</v>
      </c>
      <c r="M137" s="201">
        <v>397.0</v>
      </c>
      <c r="N137" s="193" t="s">
        <v>510</v>
      </c>
      <c r="O137" s="185"/>
      <c r="P137" s="190">
        <v>6.156487883E9</v>
      </c>
      <c r="Q137" s="201"/>
      <c r="R137" s="193"/>
      <c r="S137" s="181" t="s">
        <v>259</v>
      </c>
    </row>
    <row r="138" ht="21.0" customHeight="1">
      <c r="A138" s="190">
        <v>137.0</v>
      </c>
      <c r="B138" s="191">
        <v>46307.0</v>
      </c>
      <c r="C138" s="192">
        <v>0.6159722222222223</v>
      </c>
      <c r="D138" s="190">
        <v>6.156487883E9</v>
      </c>
      <c r="E138" s="193" t="s">
        <v>200</v>
      </c>
      <c r="F138" s="194" t="s">
        <v>254</v>
      </c>
      <c r="G138" s="195">
        <v>30000.0</v>
      </c>
      <c r="H138" s="194" t="s">
        <v>255</v>
      </c>
      <c r="I138" s="202"/>
      <c r="J138" s="203"/>
      <c r="K138" s="193" t="s">
        <v>323</v>
      </c>
      <c r="L138" s="193" t="s">
        <v>324</v>
      </c>
      <c r="M138" s="201">
        <v>383.0</v>
      </c>
      <c r="N138" s="193" t="s">
        <v>602</v>
      </c>
      <c r="O138" s="185"/>
      <c r="P138" s="190">
        <v>6.156487883E9</v>
      </c>
      <c r="Q138" s="201"/>
      <c r="R138" s="193"/>
      <c r="S138" s="181" t="s">
        <v>259</v>
      </c>
    </row>
    <row r="139" ht="21.0" customHeight="1">
      <c r="A139" s="190">
        <v>138.0</v>
      </c>
      <c r="B139" s="191">
        <v>46307.0</v>
      </c>
      <c r="C139" s="192">
        <v>0.66875</v>
      </c>
      <c r="D139" s="190">
        <v>4.43142649E8</v>
      </c>
      <c r="E139" s="193" t="s">
        <v>260</v>
      </c>
      <c r="F139" s="194" t="s">
        <v>254</v>
      </c>
      <c r="G139" s="195">
        <v>75000.0</v>
      </c>
      <c r="H139" s="194" t="s">
        <v>255</v>
      </c>
      <c r="I139" s="202"/>
      <c r="J139" s="203"/>
      <c r="K139" s="193" t="s">
        <v>342</v>
      </c>
      <c r="L139" s="193" t="s">
        <v>343</v>
      </c>
      <c r="M139" s="201">
        <v>391.0</v>
      </c>
      <c r="N139" s="193" t="s">
        <v>603</v>
      </c>
      <c r="O139" s="185"/>
      <c r="P139" s="190">
        <v>4.43142649E8</v>
      </c>
      <c r="Q139" s="201"/>
      <c r="R139" s="193"/>
      <c r="S139" s="181" t="s">
        <v>259</v>
      </c>
    </row>
    <row r="140" ht="21.0" customHeight="1">
      <c r="A140" s="190">
        <v>139.0</v>
      </c>
      <c r="B140" s="191">
        <v>46307.0</v>
      </c>
      <c r="C140" s="192">
        <v>0.6694444444444444</v>
      </c>
      <c r="D140" s="190">
        <v>4.43142649E8</v>
      </c>
      <c r="E140" s="193" t="s">
        <v>260</v>
      </c>
      <c r="F140" s="194" t="s">
        <v>254</v>
      </c>
      <c r="G140" s="195">
        <v>150000.0</v>
      </c>
      <c r="H140" s="194" t="s">
        <v>255</v>
      </c>
      <c r="I140" s="202"/>
      <c r="J140" s="203"/>
      <c r="K140" s="193" t="s">
        <v>455</v>
      </c>
      <c r="L140" s="193" t="s">
        <v>456</v>
      </c>
      <c r="M140" s="201"/>
      <c r="N140" s="193" t="s">
        <v>604</v>
      </c>
      <c r="O140" s="185"/>
      <c r="P140" s="190">
        <v>4.43142649E8</v>
      </c>
      <c r="Q140" s="201"/>
      <c r="R140" s="193"/>
      <c r="S140" s="181" t="s">
        <v>259</v>
      </c>
    </row>
    <row r="141" ht="21.0" customHeight="1">
      <c r="A141" s="190">
        <v>140.0</v>
      </c>
      <c r="B141" s="191">
        <v>46307.0</v>
      </c>
      <c r="C141" s="192">
        <v>0.6694444444444444</v>
      </c>
      <c r="D141" s="190">
        <v>4.43142649E8</v>
      </c>
      <c r="E141" s="193" t="s">
        <v>260</v>
      </c>
      <c r="F141" s="194" t="s">
        <v>254</v>
      </c>
      <c r="G141" s="195">
        <v>1050000.0</v>
      </c>
      <c r="H141" s="194" t="s">
        <v>255</v>
      </c>
      <c r="I141" s="202"/>
      <c r="J141" s="203"/>
      <c r="K141" s="193" t="s">
        <v>266</v>
      </c>
      <c r="L141" s="193" t="s">
        <v>267</v>
      </c>
      <c r="M141" s="201"/>
      <c r="N141" s="193" t="s">
        <v>605</v>
      </c>
      <c r="O141" s="185"/>
      <c r="P141" s="190">
        <v>4.43142649E8</v>
      </c>
      <c r="Q141" s="201"/>
      <c r="R141" s="193" t="s">
        <v>10</v>
      </c>
      <c r="S141" s="233" t="s">
        <v>269</v>
      </c>
    </row>
    <row r="142" ht="21.0" customHeight="1">
      <c r="A142" s="190">
        <v>141.0</v>
      </c>
      <c r="B142" s="191">
        <v>46307.0</v>
      </c>
      <c r="C142" s="192">
        <v>0.6701388888888888</v>
      </c>
      <c r="D142" s="190">
        <v>4.43142649E8</v>
      </c>
      <c r="E142" s="193" t="s">
        <v>260</v>
      </c>
      <c r="F142" s="194" t="s">
        <v>254</v>
      </c>
      <c r="G142" s="195">
        <v>170000.0</v>
      </c>
      <c r="H142" s="194" t="s">
        <v>255</v>
      </c>
      <c r="I142" s="202"/>
      <c r="J142" s="203"/>
      <c r="K142" s="193" t="s">
        <v>455</v>
      </c>
      <c r="L142" s="193" t="s">
        <v>456</v>
      </c>
      <c r="M142" s="201"/>
      <c r="N142" s="193" t="s">
        <v>608</v>
      </c>
      <c r="O142" s="185"/>
      <c r="P142" s="190">
        <v>4.43142649E8</v>
      </c>
      <c r="Q142" s="201"/>
      <c r="R142" s="193"/>
      <c r="S142" s="181" t="s">
        <v>259</v>
      </c>
    </row>
    <row r="143" ht="21.0" customHeight="1">
      <c r="A143" s="190">
        <v>142.0</v>
      </c>
      <c r="B143" s="191">
        <v>46307.0</v>
      </c>
      <c r="C143" s="192">
        <v>0.6708333333333333</v>
      </c>
      <c r="D143" s="190">
        <v>4.43142649E8</v>
      </c>
      <c r="E143" s="193" t="s">
        <v>260</v>
      </c>
      <c r="F143" s="194" t="s">
        <v>254</v>
      </c>
      <c r="G143" s="195">
        <v>230000.0</v>
      </c>
      <c r="H143" s="194" t="s">
        <v>255</v>
      </c>
      <c r="I143" s="202"/>
      <c r="J143" s="203"/>
      <c r="K143" s="193" t="s">
        <v>455</v>
      </c>
      <c r="L143" s="193" t="s">
        <v>456</v>
      </c>
      <c r="M143" s="201"/>
      <c r="N143" s="193" t="s">
        <v>608</v>
      </c>
      <c r="O143" s="185"/>
      <c r="P143" s="190">
        <v>4.43142649E8</v>
      </c>
      <c r="Q143" s="201"/>
      <c r="R143" s="193"/>
      <c r="S143" s="181" t="s">
        <v>259</v>
      </c>
    </row>
    <row r="144" ht="21.0" customHeight="1">
      <c r="A144" s="190">
        <v>143.0</v>
      </c>
      <c r="B144" s="191">
        <v>46307.0</v>
      </c>
      <c r="C144" s="192">
        <v>0.6715277777777777</v>
      </c>
      <c r="D144" s="190">
        <v>4.43142649E8</v>
      </c>
      <c r="E144" s="193" t="s">
        <v>260</v>
      </c>
      <c r="F144" s="194" t="s">
        <v>254</v>
      </c>
      <c r="G144" s="195">
        <v>300000.0</v>
      </c>
      <c r="H144" s="194" t="s">
        <v>255</v>
      </c>
      <c r="I144" s="202"/>
      <c r="J144" s="203"/>
      <c r="K144" s="193" t="s">
        <v>290</v>
      </c>
      <c r="L144" s="193" t="s">
        <v>291</v>
      </c>
      <c r="M144" s="201">
        <v>391.0</v>
      </c>
      <c r="N144" s="193" t="s">
        <v>609</v>
      </c>
      <c r="O144" s="185"/>
      <c r="P144" s="190">
        <v>4.43142649E8</v>
      </c>
      <c r="Q144" s="201"/>
      <c r="R144" s="193"/>
      <c r="S144" s="181" t="s">
        <v>259</v>
      </c>
    </row>
    <row r="145" ht="21.0" customHeight="1">
      <c r="A145" s="190">
        <v>144.0</v>
      </c>
      <c r="B145" s="191">
        <v>46307.0</v>
      </c>
      <c r="C145" s="192">
        <v>0.6722222222222223</v>
      </c>
      <c r="D145" s="190">
        <v>4.43142649E8</v>
      </c>
      <c r="E145" s="193" t="s">
        <v>260</v>
      </c>
      <c r="F145" s="194" t="s">
        <v>254</v>
      </c>
      <c r="G145" s="195">
        <v>1335000.0</v>
      </c>
      <c r="H145" s="194" t="s">
        <v>255</v>
      </c>
      <c r="I145" s="202"/>
      <c r="J145" s="203"/>
      <c r="K145" s="193" t="s">
        <v>560</v>
      </c>
      <c r="L145" s="193" t="s">
        <v>561</v>
      </c>
      <c r="M145" s="201"/>
      <c r="N145" s="193" t="s">
        <v>610</v>
      </c>
      <c r="O145" s="185"/>
      <c r="P145" s="190">
        <v>4.43142649E8</v>
      </c>
      <c r="Q145" s="201"/>
      <c r="R145" s="193"/>
      <c r="S145" s="181" t="s">
        <v>259</v>
      </c>
    </row>
    <row r="146" ht="21.0" customHeight="1">
      <c r="A146" s="190">
        <v>145.0</v>
      </c>
      <c r="B146" s="191">
        <v>46307.0</v>
      </c>
      <c r="C146" s="192">
        <v>0.6729166666666667</v>
      </c>
      <c r="D146" s="190">
        <v>4.43142649E8</v>
      </c>
      <c r="E146" s="193" t="s">
        <v>260</v>
      </c>
      <c r="F146" s="194" t="s">
        <v>254</v>
      </c>
      <c r="G146" s="195">
        <v>7257719.0</v>
      </c>
      <c r="H146" s="194" t="s">
        <v>263</v>
      </c>
      <c r="I146" s="202">
        <v>610.0</v>
      </c>
      <c r="J146" s="203">
        <v>11897.9</v>
      </c>
      <c r="K146" s="193" t="s">
        <v>266</v>
      </c>
      <c r="L146" s="193" t="s">
        <v>267</v>
      </c>
      <c r="M146" s="201"/>
      <c r="N146" s="193" t="s">
        <v>615</v>
      </c>
      <c r="O146" s="185"/>
      <c r="P146" s="190">
        <v>4.43142649E8</v>
      </c>
      <c r="Q146" s="201"/>
      <c r="R146" s="193" t="s">
        <v>139</v>
      </c>
      <c r="S146" s="181" t="s">
        <v>564</v>
      </c>
    </row>
    <row r="147" ht="21.0" customHeight="1">
      <c r="A147" s="190">
        <v>146.0</v>
      </c>
      <c r="B147" s="191">
        <v>46307.0</v>
      </c>
      <c r="C147" s="192">
        <v>0.6736111111111112</v>
      </c>
      <c r="D147" s="190">
        <v>4.43142649E8</v>
      </c>
      <c r="E147" s="193" t="s">
        <v>260</v>
      </c>
      <c r="F147" s="194" t="s">
        <v>254</v>
      </c>
      <c r="G147" s="195">
        <v>6151214.0</v>
      </c>
      <c r="H147" s="194" t="s">
        <v>263</v>
      </c>
      <c r="I147" s="202">
        <v>517.0</v>
      </c>
      <c r="J147" s="203">
        <v>11897.9</v>
      </c>
      <c r="K147" s="193" t="s">
        <v>368</v>
      </c>
      <c r="L147" s="193" t="s">
        <v>369</v>
      </c>
      <c r="M147" s="201"/>
      <c r="N147" s="193" t="s">
        <v>635</v>
      </c>
      <c r="O147" s="185"/>
      <c r="P147" s="190">
        <v>4.43142649E8</v>
      </c>
      <c r="Q147" s="201"/>
      <c r="R147" s="193"/>
      <c r="S147" s="181" t="s">
        <v>259</v>
      </c>
    </row>
    <row r="148" ht="21.0" customHeight="1">
      <c r="A148" s="190">
        <v>147.0</v>
      </c>
      <c r="B148" s="191">
        <v>46307.0</v>
      </c>
      <c r="C148" s="192">
        <v>0.6743055555555556</v>
      </c>
      <c r="D148" s="190">
        <v>4.43142649E8</v>
      </c>
      <c r="E148" s="193" t="s">
        <v>260</v>
      </c>
      <c r="F148" s="194" t="s">
        <v>254</v>
      </c>
      <c r="G148" s="195">
        <v>200000.0</v>
      </c>
      <c r="H148" s="194" t="s">
        <v>255</v>
      </c>
      <c r="I148" s="202"/>
      <c r="J148" s="203"/>
      <c r="K148" s="193" t="s">
        <v>455</v>
      </c>
      <c r="L148" s="193" t="s">
        <v>456</v>
      </c>
      <c r="M148" s="201"/>
      <c r="N148" s="193" t="s">
        <v>640</v>
      </c>
      <c r="O148" s="185"/>
      <c r="P148" s="190">
        <v>4.43142649E8</v>
      </c>
      <c r="Q148" s="201"/>
      <c r="R148" s="193"/>
      <c r="S148" s="181" t="s">
        <v>259</v>
      </c>
    </row>
    <row r="149" ht="21.0" customHeight="1">
      <c r="A149" s="190">
        <v>148.0</v>
      </c>
      <c r="B149" s="191">
        <v>46307.0</v>
      </c>
      <c r="C149" s="192">
        <v>0.675</v>
      </c>
      <c r="D149" s="190">
        <v>4.43142649E8</v>
      </c>
      <c r="E149" s="193" t="s">
        <v>260</v>
      </c>
      <c r="F149" s="194" t="s">
        <v>254</v>
      </c>
      <c r="G149" s="195">
        <v>300000.0</v>
      </c>
      <c r="H149" s="194" t="s">
        <v>255</v>
      </c>
      <c r="I149" s="202"/>
      <c r="J149" s="203"/>
      <c r="K149" s="193" t="s">
        <v>368</v>
      </c>
      <c r="L149" s="193" t="s">
        <v>369</v>
      </c>
      <c r="M149" s="201"/>
      <c r="N149" s="193" t="s">
        <v>641</v>
      </c>
      <c r="O149" s="185"/>
      <c r="P149" s="190">
        <v>4.43142649E8</v>
      </c>
      <c r="Q149" s="201"/>
      <c r="R149" s="193"/>
      <c r="S149" s="181" t="s">
        <v>259</v>
      </c>
    </row>
    <row r="150" ht="21.0" customHeight="1">
      <c r="A150" s="190">
        <v>149.0</v>
      </c>
      <c r="B150" s="191">
        <v>46307.0</v>
      </c>
      <c r="C150" s="192">
        <v>0.7048611111111112</v>
      </c>
      <c r="D150" s="190">
        <v>4.43142649E8</v>
      </c>
      <c r="E150" s="193" t="s">
        <v>260</v>
      </c>
      <c r="F150" s="194" t="s">
        <v>254</v>
      </c>
      <c r="G150" s="195">
        <v>600000.0</v>
      </c>
      <c r="H150" s="194" t="s">
        <v>255</v>
      </c>
      <c r="I150" s="202"/>
      <c r="J150" s="203"/>
      <c r="K150" s="193" t="s">
        <v>664</v>
      </c>
      <c r="L150" s="193" t="s">
        <v>667</v>
      </c>
      <c r="M150" s="201"/>
      <c r="N150" s="193" t="s">
        <v>672</v>
      </c>
      <c r="O150" s="185"/>
      <c r="P150" s="190">
        <v>4.43142649E8</v>
      </c>
      <c r="Q150" s="201"/>
      <c r="R150" s="193"/>
      <c r="S150" s="181" t="s">
        <v>259</v>
      </c>
    </row>
    <row r="151" ht="21.0" customHeight="1">
      <c r="A151" s="190">
        <v>150.0</v>
      </c>
      <c r="B151" s="191">
        <v>46307.0</v>
      </c>
      <c r="C151" s="192">
        <v>0.7055555555555556</v>
      </c>
      <c r="D151" s="190">
        <v>4.43142649E8</v>
      </c>
      <c r="E151" s="193" t="s">
        <v>260</v>
      </c>
      <c r="F151" s="194" t="s">
        <v>254</v>
      </c>
      <c r="G151" s="195">
        <v>130000.0</v>
      </c>
      <c r="H151" s="194" t="s">
        <v>255</v>
      </c>
      <c r="I151" s="202"/>
      <c r="J151" s="203"/>
      <c r="K151" s="193" t="s">
        <v>560</v>
      </c>
      <c r="L151" s="193" t="s">
        <v>561</v>
      </c>
      <c r="M151" s="201"/>
      <c r="N151" s="193" t="s">
        <v>699</v>
      </c>
      <c r="O151" s="185"/>
      <c r="P151" s="190">
        <v>4.43142649E8</v>
      </c>
      <c r="Q151" s="201"/>
      <c r="R151" s="193"/>
      <c r="S151" s="181" t="s">
        <v>259</v>
      </c>
    </row>
    <row r="152" ht="21.0" customHeight="1">
      <c r="A152" s="190">
        <v>151.0</v>
      </c>
      <c r="B152" s="191">
        <v>46307.0</v>
      </c>
      <c r="C152" s="192">
        <v>0.70625</v>
      </c>
      <c r="D152" s="190">
        <v>4.43142649E8</v>
      </c>
      <c r="E152" s="193" t="s">
        <v>260</v>
      </c>
      <c r="F152" s="194" t="s">
        <v>254</v>
      </c>
      <c r="G152" s="195">
        <v>1100000.0</v>
      </c>
      <c r="H152" s="194" t="s">
        <v>255</v>
      </c>
      <c r="I152" s="202"/>
      <c r="J152" s="203"/>
      <c r="K152" s="193" t="s">
        <v>719</v>
      </c>
      <c r="L152" s="193" t="s">
        <v>720</v>
      </c>
      <c r="M152" s="201"/>
      <c r="N152" s="193" t="s">
        <v>721</v>
      </c>
      <c r="O152" s="185"/>
      <c r="P152" s="190">
        <v>4.43142649E8</v>
      </c>
      <c r="Q152" s="201"/>
      <c r="R152" s="193"/>
      <c r="S152" s="181" t="s">
        <v>259</v>
      </c>
    </row>
    <row r="153" ht="21.0" customHeight="1">
      <c r="A153" s="190">
        <v>152.0</v>
      </c>
      <c r="B153" s="191">
        <v>46307.0</v>
      </c>
      <c r="C153" s="192">
        <v>0.70625</v>
      </c>
      <c r="D153" s="190">
        <v>4.43142649E8</v>
      </c>
      <c r="E153" s="193" t="s">
        <v>260</v>
      </c>
      <c r="F153" s="194" t="s">
        <v>254</v>
      </c>
      <c r="G153" s="195">
        <v>600000.0</v>
      </c>
      <c r="H153" s="194" t="s">
        <v>255</v>
      </c>
      <c r="I153" s="202"/>
      <c r="J153" s="203"/>
      <c r="K153" s="193" t="s">
        <v>664</v>
      </c>
      <c r="L153" s="193" t="s">
        <v>667</v>
      </c>
      <c r="M153" s="201"/>
      <c r="N153" s="193" t="s">
        <v>747</v>
      </c>
      <c r="O153" s="185"/>
      <c r="P153" s="190">
        <v>4.43142649E8</v>
      </c>
      <c r="Q153" s="201"/>
      <c r="R153" s="193"/>
      <c r="S153" s="181" t="s">
        <v>259</v>
      </c>
    </row>
    <row r="154" ht="21.0" customHeight="1">
      <c r="A154" s="190">
        <v>153.0</v>
      </c>
      <c r="B154" s="191">
        <v>46307.0</v>
      </c>
      <c r="C154" s="192">
        <v>0.7069444444444445</v>
      </c>
      <c r="D154" s="190">
        <v>4.43142649E8</v>
      </c>
      <c r="E154" s="193" t="s">
        <v>260</v>
      </c>
      <c r="F154" s="194" t="s">
        <v>254</v>
      </c>
      <c r="G154" s="195">
        <v>675000.0</v>
      </c>
      <c r="H154" s="194" t="s">
        <v>255</v>
      </c>
      <c r="I154" s="202"/>
      <c r="J154" s="203"/>
      <c r="K154" s="193" t="s">
        <v>368</v>
      </c>
      <c r="L154" s="193" t="s">
        <v>369</v>
      </c>
      <c r="M154" s="201"/>
      <c r="N154" s="193" t="s">
        <v>757</v>
      </c>
      <c r="O154" s="185"/>
      <c r="P154" s="190">
        <v>4.43142649E8</v>
      </c>
      <c r="Q154" s="201"/>
      <c r="R154" s="193"/>
      <c r="S154" s="181" t="s">
        <v>259</v>
      </c>
    </row>
    <row r="155" ht="21.0" customHeight="1">
      <c r="A155" s="190">
        <v>154.0</v>
      </c>
      <c r="B155" s="191">
        <v>46307.0</v>
      </c>
      <c r="C155" s="192">
        <v>0.7076388888888889</v>
      </c>
      <c r="D155" s="190">
        <v>4.43142649E8</v>
      </c>
      <c r="E155" s="193" t="s">
        <v>260</v>
      </c>
      <c r="F155" s="194" t="s">
        <v>254</v>
      </c>
      <c r="G155" s="195">
        <v>8328530.0</v>
      </c>
      <c r="H155" s="194" t="s">
        <v>263</v>
      </c>
      <c r="I155" s="202">
        <v>700.0</v>
      </c>
      <c r="J155" s="203">
        <v>11897.9</v>
      </c>
      <c r="K155" s="193" t="s">
        <v>266</v>
      </c>
      <c r="L155" s="193" t="s">
        <v>267</v>
      </c>
      <c r="M155" s="201"/>
      <c r="N155" s="193" t="s">
        <v>758</v>
      </c>
      <c r="O155" s="185"/>
      <c r="P155" s="190">
        <v>4.43142649E8</v>
      </c>
      <c r="Q155" s="201"/>
      <c r="R155" s="193" t="s">
        <v>126</v>
      </c>
      <c r="S155" s="233" t="s">
        <v>269</v>
      </c>
    </row>
    <row r="156" ht="21.0" customHeight="1">
      <c r="A156" s="190">
        <v>155.0</v>
      </c>
      <c r="B156" s="191">
        <v>46307.0</v>
      </c>
      <c r="C156" s="192">
        <v>0.7076388888888889</v>
      </c>
      <c r="D156" s="190">
        <v>4.43142649E8</v>
      </c>
      <c r="E156" s="193" t="s">
        <v>260</v>
      </c>
      <c r="F156" s="194" t="s">
        <v>254</v>
      </c>
      <c r="G156" s="195">
        <v>450000.0</v>
      </c>
      <c r="H156" s="194" t="s">
        <v>255</v>
      </c>
      <c r="I156" s="202"/>
      <c r="J156" s="203"/>
      <c r="K156" s="193" t="s">
        <v>455</v>
      </c>
      <c r="L156" s="193" t="s">
        <v>456</v>
      </c>
      <c r="M156" s="201"/>
      <c r="N156" s="193" t="s">
        <v>759</v>
      </c>
      <c r="O156" s="185"/>
      <c r="P156" s="190">
        <v>4.43142649E8</v>
      </c>
      <c r="Q156" s="201"/>
      <c r="R156" s="193"/>
      <c r="S156" s="181" t="s">
        <v>259</v>
      </c>
    </row>
    <row r="157" ht="21.0" customHeight="1">
      <c r="A157" s="190">
        <v>156.0</v>
      </c>
      <c r="B157" s="191">
        <v>46307.0</v>
      </c>
      <c r="C157" s="192">
        <v>0.7083333333333334</v>
      </c>
      <c r="D157" s="190">
        <v>4.43142649E8</v>
      </c>
      <c r="E157" s="193" t="s">
        <v>260</v>
      </c>
      <c r="F157" s="194" t="s">
        <v>254</v>
      </c>
      <c r="G157" s="195">
        <v>500000.0</v>
      </c>
      <c r="H157" s="194" t="s">
        <v>255</v>
      </c>
      <c r="I157" s="202"/>
      <c r="J157" s="203"/>
      <c r="K157" s="193" t="s">
        <v>266</v>
      </c>
      <c r="L157" s="193" t="s">
        <v>267</v>
      </c>
      <c r="M157" s="201"/>
      <c r="N157" s="193" t="s">
        <v>760</v>
      </c>
      <c r="O157" s="185"/>
      <c r="P157" s="190">
        <v>4.43142649E8</v>
      </c>
      <c r="Q157" s="201"/>
      <c r="R157" s="193" t="s">
        <v>112</v>
      </c>
      <c r="S157" s="233" t="s">
        <v>269</v>
      </c>
    </row>
    <row r="158" ht="21.0" customHeight="1">
      <c r="A158" s="190">
        <v>157.0</v>
      </c>
      <c r="B158" s="191">
        <v>46307.0</v>
      </c>
      <c r="C158" s="192">
        <v>0.7090277777777778</v>
      </c>
      <c r="D158" s="190">
        <v>4.43142649E8</v>
      </c>
      <c r="E158" s="193" t="s">
        <v>260</v>
      </c>
      <c r="F158" s="194" t="s">
        <v>254</v>
      </c>
      <c r="G158" s="195">
        <v>280000.0</v>
      </c>
      <c r="H158" s="194" t="s">
        <v>255</v>
      </c>
      <c r="I158" s="202"/>
      <c r="J158" s="203"/>
      <c r="K158" s="193" t="s">
        <v>455</v>
      </c>
      <c r="L158" s="193" t="s">
        <v>456</v>
      </c>
      <c r="M158" s="201"/>
      <c r="N158" s="193" t="s">
        <v>604</v>
      </c>
      <c r="O158" s="185"/>
      <c r="P158" s="190">
        <v>4.43142649E8</v>
      </c>
      <c r="Q158" s="201"/>
      <c r="R158" s="193"/>
      <c r="S158" s="181" t="s">
        <v>259</v>
      </c>
    </row>
    <row r="159" ht="21.0" customHeight="1">
      <c r="A159" s="190">
        <v>158.0</v>
      </c>
      <c r="B159" s="191">
        <v>46307.0</v>
      </c>
      <c r="C159" s="192">
        <v>0.7097222222222223</v>
      </c>
      <c r="D159" s="190">
        <v>4.43142649E8</v>
      </c>
      <c r="E159" s="193" t="s">
        <v>260</v>
      </c>
      <c r="F159" s="194" t="s">
        <v>254</v>
      </c>
      <c r="G159" s="195">
        <v>70000.0</v>
      </c>
      <c r="H159" s="194" t="s">
        <v>255</v>
      </c>
      <c r="I159" s="202"/>
      <c r="J159" s="203"/>
      <c r="K159" s="193" t="s">
        <v>361</v>
      </c>
      <c r="L159" s="193" t="s">
        <v>362</v>
      </c>
      <c r="M159" s="201"/>
      <c r="N159" s="193" t="s">
        <v>761</v>
      </c>
      <c r="O159" s="185"/>
      <c r="P159" s="190">
        <v>4.43142649E8</v>
      </c>
      <c r="Q159" s="201"/>
      <c r="R159" s="193"/>
      <c r="S159" s="181" t="s">
        <v>259</v>
      </c>
    </row>
    <row r="160" ht="21.0" customHeight="1">
      <c r="A160" s="190">
        <v>159.0</v>
      </c>
      <c r="B160" s="191">
        <v>46307.0</v>
      </c>
      <c r="C160" s="192">
        <v>0.7104166666666667</v>
      </c>
      <c r="D160" s="190">
        <v>4.43142649E8</v>
      </c>
      <c r="E160" s="193" t="s">
        <v>260</v>
      </c>
      <c r="F160" s="194" t="s">
        <v>254</v>
      </c>
      <c r="G160" s="195">
        <v>1800000.0</v>
      </c>
      <c r="H160" s="194" t="s">
        <v>255</v>
      </c>
      <c r="I160" s="202"/>
      <c r="J160" s="203"/>
      <c r="K160" s="193" t="s">
        <v>598</v>
      </c>
      <c r="L160" s="193" t="s">
        <v>599</v>
      </c>
      <c r="M160" s="201"/>
      <c r="N160" s="193" t="s">
        <v>762</v>
      </c>
      <c r="O160" s="185"/>
      <c r="P160" s="190">
        <v>4.43142649E8</v>
      </c>
      <c r="Q160" s="201"/>
      <c r="R160" s="193"/>
      <c r="S160" s="181" t="s">
        <v>259</v>
      </c>
    </row>
    <row r="161" ht="21.0" customHeight="1">
      <c r="A161" s="190">
        <v>160.0</v>
      </c>
      <c r="B161" s="191">
        <v>46307.0</v>
      </c>
      <c r="C161" s="192">
        <v>0.7104166666666667</v>
      </c>
      <c r="D161" s="190">
        <v>4.43142649E8</v>
      </c>
      <c r="E161" s="193" t="s">
        <v>260</v>
      </c>
      <c r="F161" s="194" t="s">
        <v>254</v>
      </c>
      <c r="G161" s="195">
        <v>70000.0</v>
      </c>
      <c r="H161" s="194" t="s">
        <v>255</v>
      </c>
      <c r="I161" s="202"/>
      <c r="J161" s="203"/>
      <c r="K161" s="193" t="s">
        <v>455</v>
      </c>
      <c r="L161" s="193" t="s">
        <v>456</v>
      </c>
      <c r="M161" s="201"/>
      <c r="N161" s="193" t="s">
        <v>763</v>
      </c>
      <c r="O161" s="185"/>
      <c r="P161" s="190">
        <v>4.43142649E8</v>
      </c>
      <c r="Q161" s="201"/>
      <c r="R161" s="193"/>
      <c r="S161" s="181" t="s">
        <v>259</v>
      </c>
    </row>
    <row r="162" ht="21.0" customHeight="1">
      <c r="A162" s="190">
        <v>161.0</v>
      </c>
      <c r="B162" s="191">
        <v>46307.0</v>
      </c>
      <c r="C162" s="192">
        <v>0.7111111111111111</v>
      </c>
      <c r="D162" s="190">
        <v>4.43142649E8</v>
      </c>
      <c r="E162" s="193" t="s">
        <v>260</v>
      </c>
      <c r="F162" s="194" t="s">
        <v>254</v>
      </c>
      <c r="G162" s="195">
        <v>820955.0</v>
      </c>
      <c r="H162" s="194" t="s">
        <v>263</v>
      </c>
      <c r="I162" s="202">
        <v>69.0</v>
      </c>
      <c r="J162" s="203">
        <v>11897.9</v>
      </c>
      <c r="K162" s="193" t="s">
        <v>560</v>
      </c>
      <c r="L162" s="193" t="s">
        <v>561</v>
      </c>
      <c r="M162" s="201"/>
      <c r="N162" s="193" t="s">
        <v>610</v>
      </c>
      <c r="O162" s="185"/>
      <c r="P162" s="190">
        <v>4.43142649E8</v>
      </c>
      <c r="Q162" s="201"/>
      <c r="R162" s="193"/>
      <c r="S162" s="181" t="s">
        <v>259</v>
      </c>
    </row>
    <row r="163" ht="21.0" customHeight="1">
      <c r="A163" s="190">
        <v>162.0</v>
      </c>
      <c r="B163" s="191">
        <v>46307.0</v>
      </c>
      <c r="C163" s="192">
        <v>0.7111111111111111</v>
      </c>
      <c r="D163" s="190">
        <v>4.43142649E8</v>
      </c>
      <c r="E163" s="193" t="s">
        <v>260</v>
      </c>
      <c r="F163" s="194" t="s">
        <v>254</v>
      </c>
      <c r="G163" s="195">
        <v>1150000.0</v>
      </c>
      <c r="H163" s="194" t="s">
        <v>255</v>
      </c>
      <c r="I163" s="202"/>
      <c r="J163" s="203"/>
      <c r="K163" s="193" t="s">
        <v>664</v>
      </c>
      <c r="L163" s="193" t="s">
        <v>667</v>
      </c>
      <c r="M163" s="201"/>
      <c r="N163" s="193" t="s">
        <v>764</v>
      </c>
      <c r="O163" s="185"/>
      <c r="P163" s="190">
        <v>4.43142649E8</v>
      </c>
      <c r="Q163" s="201"/>
      <c r="R163" s="193"/>
      <c r="S163" s="181" t="s">
        <v>259</v>
      </c>
    </row>
    <row r="164" ht="21.0" customHeight="1">
      <c r="A164" s="190">
        <v>163.0</v>
      </c>
      <c r="B164" s="191">
        <v>46307.0</v>
      </c>
      <c r="C164" s="192">
        <v>0.7118055555555556</v>
      </c>
      <c r="D164" s="190">
        <v>4.43142649E8</v>
      </c>
      <c r="E164" s="193" t="s">
        <v>260</v>
      </c>
      <c r="F164" s="194" t="s">
        <v>254</v>
      </c>
      <c r="G164" s="195">
        <v>950000.0</v>
      </c>
      <c r="H164" s="194" t="s">
        <v>255</v>
      </c>
      <c r="I164" s="202"/>
      <c r="J164" s="203"/>
      <c r="K164" s="193" t="s">
        <v>455</v>
      </c>
      <c r="L164" s="193" t="s">
        <v>456</v>
      </c>
      <c r="M164" s="201"/>
      <c r="N164" s="193" t="s">
        <v>765</v>
      </c>
      <c r="O164" s="185"/>
      <c r="P164" s="190">
        <v>4.43142649E8</v>
      </c>
      <c r="Q164" s="201"/>
      <c r="R164" s="193"/>
      <c r="S164" s="181" t="s">
        <v>259</v>
      </c>
    </row>
    <row r="165" ht="21.0" customHeight="1">
      <c r="A165" s="190">
        <v>164.0</v>
      </c>
      <c r="B165" s="191">
        <v>46307.0</v>
      </c>
      <c r="C165" s="192">
        <v>0.7125</v>
      </c>
      <c r="D165" s="190">
        <v>4.43142649E8</v>
      </c>
      <c r="E165" s="193" t="s">
        <v>260</v>
      </c>
      <c r="F165" s="194" t="s">
        <v>254</v>
      </c>
      <c r="G165" s="195">
        <v>6290000.0</v>
      </c>
      <c r="H165" s="194" t="s">
        <v>255</v>
      </c>
      <c r="I165" s="202"/>
      <c r="J165" s="203"/>
      <c r="K165" s="193" t="s">
        <v>266</v>
      </c>
      <c r="L165" s="193" t="s">
        <v>267</v>
      </c>
      <c r="M165" s="201"/>
      <c r="N165" s="193" t="s">
        <v>766</v>
      </c>
      <c r="O165" s="185"/>
      <c r="P165" s="190">
        <v>4.43142649E8</v>
      </c>
      <c r="Q165" s="201"/>
      <c r="R165" s="193" t="s">
        <v>121</v>
      </c>
      <c r="S165" s="181" t="s">
        <v>564</v>
      </c>
    </row>
    <row r="166" ht="21.0" customHeight="1">
      <c r="A166" s="190">
        <v>165.0</v>
      </c>
      <c r="B166" s="191">
        <v>46307.0</v>
      </c>
      <c r="C166" s="192">
        <v>0.7131944444444445</v>
      </c>
      <c r="D166" s="190">
        <v>4.43142649E8</v>
      </c>
      <c r="E166" s="193" t="s">
        <v>260</v>
      </c>
      <c r="F166" s="194" t="s">
        <v>254</v>
      </c>
      <c r="G166" s="195">
        <v>130000.0</v>
      </c>
      <c r="H166" s="194" t="s">
        <v>255</v>
      </c>
      <c r="I166" s="202"/>
      <c r="J166" s="203"/>
      <c r="K166" s="193" t="s">
        <v>455</v>
      </c>
      <c r="L166" s="193" t="s">
        <v>456</v>
      </c>
      <c r="M166" s="201"/>
      <c r="N166" s="193" t="s">
        <v>604</v>
      </c>
      <c r="O166" s="185"/>
      <c r="P166" s="190">
        <v>4.43142649E8</v>
      </c>
      <c r="Q166" s="201"/>
      <c r="R166" s="193"/>
      <c r="S166" s="181" t="s">
        <v>259</v>
      </c>
    </row>
    <row r="167" ht="21.0" customHeight="1">
      <c r="A167" s="190">
        <v>166.0</v>
      </c>
      <c r="B167" s="191">
        <v>46307.0</v>
      </c>
      <c r="C167" s="192">
        <v>0.7138888888888889</v>
      </c>
      <c r="D167" s="190">
        <v>4.43142649E8</v>
      </c>
      <c r="E167" s="193" t="s">
        <v>260</v>
      </c>
      <c r="F167" s="194" t="s">
        <v>254</v>
      </c>
      <c r="G167" s="195">
        <v>800000.0</v>
      </c>
      <c r="H167" s="194" t="s">
        <v>255</v>
      </c>
      <c r="I167" s="202"/>
      <c r="J167" s="203"/>
      <c r="K167" s="193" t="s">
        <v>266</v>
      </c>
      <c r="L167" s="193" t="s">
        <v>267</v>
      </c>
      <c r="M167" s="201"/>
      <c r="N167" s="193" t="s">
        <v>770</v>
      </c>
      <c r="O167" s="185"/>
      <c r="P167" s="190">
        <v>4.43142649E8</v>
      </c>
      <c r="Q167" s="201"/>
      <c r="R167" s="193" t="s">
        <v>109</v>
      </c>
      <c r="S167" s="233" t="s">
        <v>269</v>
      </c>
    </row>
    <row r="168" ht="21.0" customHeight="1">
      <c r="A168" s="190">
        <v>167.0</v>
      </c>
      <c r="B168" s="191">
        <v>46307.0</v>
      </c>
      <c r="C168" s="192">
        <v>0.7145833333333333</v>
      </c>
      <c r="D168" s="190">
        <v>4.43142649E8</v>
      </c>
      <c r="E168" s="193" t="s">
        <v>260</v>
      </c>
      <c r="F168" s="194" t="s">
        <v>254</v>
      </c>
      <c r="G168" s="195">
        <v>150000.0</v>
      </c>
      <c r="H168" s="194" t="s">
        <v>255</v>
      </c>
      <c r="I168" s="202"/>
      <c r="J168" s="203"/>
      <c r="K168" s="193" t="s">
        <v>598</v>
      </c>
      <c r="L168" s="193" t="s">
        <v>599</v>
      </c>
      <c r="M168" s="201"/>
      <c r="N168" s="193" t="s">
        <v>773</v>
      </c>
      <c r="O168" s="185"/>
      <c r="P168" s="190">
        <v>4.43142649E8</v>
      </c>
      <c r="Q168" s="201"/>
      <c r="R168" s="193"/>
      <c r="S168" s="181" t="s">
        <v>259</v>
      </c>
    </row>
    <row r="169" ht="21.0" customHeight="1">
      <c r="A169" s="190">
        <v>168.0</v>
      </c>
      <c r="B169" s="191">
        <v>46307.0</v>
      </c>
      <c r="C169" s="192">
        <v>0.7152777777777778</v>
      </c>
      <c r="D169" s="190">
        <v>4.43142649E8</v>
      </c>
      <c r="E169" s="193" t="s">
        <v>260</v>
      </c>
      <c r="F169" s="194" t="s">
        <v>254</v>
      </c>
      <c r="G169" s="195">
        <v>1189790.0</v>
      </c>
      <c r="H169" s="194" t="s">
        <v>263</v>
      </c>
      <c r="I169" s="202">
        <v>100.0</v>
      </c>
      <c r="J169" s="203">
        <v>11897.9</v>
      </c>
      <c r="K169" s="193" t="s">
        <v>266</v>
      </c>
      <c r="L169" s="193" t="s">
        <v>267</v>
      </c>
      <c r="M169" s="201"/>
      <c r="N169" s="193" t="s">
        <v>774</v>
      </c>
      <c r="O169" s="185"/>
      <c r="P169" s="190">
        <v>4.43142649E8</v>
      </c>
      <c r="Q169" s="201"/>
      <c r="R169" s="193" t="s">
        <v>10</v>
      </c>
      <c r="S169" s="233" t="s">
        <v>269</v>
      </c>
    </row>
    <row r="170" ht="21.0" customHeight="1">
      <c r="A170" s="190">
        <v>169.0</v>
      </c>
      <c r="B170" s="191">
        <v>46307.0</v>
      </c>
      <c r="C170" s="192">
        <v>0.7152777777777778</v>
      </c>
      <c r="D170" s="190">
        <v>4.43142649E8</v>
      </c>
      <c r="E170" s="193" t="s">
        <v>260</v>
      </c>
      <c r="F170" s="194" t="s">
        <v>254</v>
      </c>
      <c r="G170" s="195">
        <v>550000.0</v>
      </c>
      <c r="H170" s="194" t="s">
        <v>255</v>
      </c>
      <c r="I170" s="202"/>
      <c r="J170" s="203"/>
      <c r="K170" s="193" t="s">
        <v>455</v>
      </c>
      <c r="L170" s="193" t="s">
        <v>456</v>
      </c>
      <c r="M170" s="201"/>
      <c r="N170" s="193" t="s">
        <v>781</v>
      </c>
      <c r="O170" s="185"/>
      <c r="P170" s="190">
        <v>4.43142649E8</v>
      </c>
      <c r="Q170" s="201"/>
      <c r="R170" s="193"/>
      <c r="S170" s="181" t="s">
        <v>259</v>
      </c>
    </row>
    <row r="171" ht="21.0" customHeight="1">
      <c r="A171" s="190">
        <v>170.0</v>
      </c>
      <c r="B171" s="191">
        <v>46307.0</v>
      </c>
      <c r="C171" s="192">
        <v>0.7173611111111111</v>
      </c>
      <c r="D171" s="190">
        <v>4.43142649E8</v>
      </c>
      <c r="E171" s="193" t="s">
        <v>260</v>
      </c>
      <c r="F171" s="194" t="s">
        <v>254</v>
      </c>
      <c r="G171" s="195">
        <v>100000.0</v>
      </c>
      <c r="H171" s="194" t="s">
        <v>255</v>
      </c>
      <c r="I171" s="202"/>
      <c r="J171" s="203"/>
      <c r="K171" s="193" t="s">
        <v>266</v>
      </c>
      <c r="L171" s="193" t="s">
        <v>267</v>
      </c>
      <c r="M171" s="201"/>
      <c r="N171" s="193" t="s">
        <v>782</v>
      </c>
      <c r="O171" s="185"/>
      <c r="P171" s="190">
        <v>4.43142649E8</v>
      </c>
      <c r="Q171" s="201"/>
      <c r="R171" s="193" t="s">
        <v>175</v>
      </c>
      <c r="S171" s="233" t="s">
        <v>269</v>
      </c>
    </row>
    <row r="172" ht="21.0" customHeight="1">
      <c r="A172" s="190">
        <v>171.0</v>
      </c>
      <c r="B172" s="191">
        <v>46307.0</v>
      </c>
      <c r="C172" s="192">
        <v>0.7173611111111111</v>
      </c>
      <c r="D172" s="190">
        <v>4.43142649E8</v>
      </c>
      <c r="E172" s="193" t="s">
        <v>260</v>
      </c>
      <c r="F172" s="194" t="s">
        <v>254</v>
      </c>
      <c r="G172" s="195">
        <v>100000.0</v>
      </c>
      <c r="H172" s="194" t="s">
        <v>255</v>
      </c>
      <c r="I172" s="202"/>
      <c r="J172" s="203"/>
      <c r="K172" s="193" t="s">
        <v>266</v>
      </c>
      <c r="L172" s="193" t="s">
        <v>267</v>
      </c>
      <c r="M172" s="201"/>
      <c r="N172" s="193" t="s">
        <v>783</v>
      </c>
      <c r="O172" s="185"/>
      <c r="P172" s="190">
        <v>4.43142649E8</v>
      </c>
      <c r="Q172" s="201"/>
      <c r="R172" s="193" t="s">
        <v>155</v>
      </c>
      <c r="S172" s="233" t="s">
        <v>269</v>
      </c>
    </row>
    <row r="173" ht="21.0" customHeight="1">
      <c r="A173" s="190">
        <v>172.0</v>
      </c>
      <c r="B173" s="191">
        <v>46307.0</v>
      </c>
      <c r="C173" s="192">
        <v>0.7173611111111111</v>
      </c>
      <c r="D173" s="190">
        <v>4.43142649E8</v>
      </c>
      <c r="E173" s="193" t="s">
        <v>260</v>
      </c>
      <c r="F173" s="194" t="s">
        <v>254</v>
      </c>
      <c r="G173" s="195">
        <v>100000.0</v>
      </c>
      <c r="H173" s="194" t="s">
        <v>255</v>
      </c>
      <c r="I173" s="202"/>
      <c r="J173" s="203"/>
      <c r="K173" s="193" t="s">
        <v>266</v>
      </c>
      <c r="L173" s="193" t="s">
        <v>267</v>
      </c>
      <c r="M173" s="201"/>
      <c r="N173" s="193" t="s">
        <v>797</v>
      </c>
      <c r="O173" s="185"/>
      <c r="P173" s="190">
        <v>4.43142649E8</v>
      </c>
      <c r="Q173" s="201"/>
      <c r="R173" s="193" t="s">
        <v>129</v>
      </c>
      <c r="S173" s="233" t="s">
        <v>269</v>
      </c>
    </row>
    <row r="174" ht="21.0" customHeight="1">
      <c r="A174" s="190">
        <v>173.0</v>
      </c>
      <c r="B174" s="191">
        <v>46307.0</v>
      </c>
      <c r="C174" s="192">
        <v>0.7180555555555556</v>
      </c>
      <c r="D174" s="190">
        <v>4.43142649E8</v>
      </c>
      <c r="E174" s="193" t="s">
        <v>260</v>
      </c>
      <c r="F174" s="194" t="s">
        <v>254</v>
      </c>
      <c r="G174" s="195">
        <v>500000.0</v>
      </c>
      <c r="H174" s="194" t="s">
        <v>255</v>
      </c>
      <c r="I174" s="202"/>
      <c r="J174" s="203"/>
      <c r="K174" s="193" t="s">
        <v>266</v>
      </c>
      <c r="L174" s="193" t="s">
        <v>267</v>
      </c>
      <c r="M174" s="201"/>
      <c r="N174" s="193" t="s">
        <v>802</v>
      </c>
      <c r="O174" s="185"/>
      <c r="P174" s="190">
        <v>4.43142649E8</v>
      </c>
      <c r="Q174" s="201"/>
      <c r="R174" s="193" t="s">
        <v>126</v>
      </c>
      <c r="S174" s="233" t="s">
        <v>269</v>
      </c>
    </row>
    <row r="175" ht="21.0" customHeight="1">
      <c r="A175" s="190">
        <v>174.0</v>
      </c>
      <c r="B175" s="191">
        <v>46307.0</v>
      </c>
      <c r="C175" s="192">
        <v>0.71875</v>
      </c>
      <c r="D175" s="190">
        <v>4.43142649E8</v>
      </c>
      <c r="E175" s="193" t="s">
        <v>260</v>
      </c>
      <c r="F175" s="194" t="s">
        <v>254</v>
      </c>
      <c r="G175" s="195">
        <v>1189790.0</v>
      </c>
      <c r="H175" s="194" t="s">
        <v>263</v>
      </c>
      <c r="I175" s="202">
        <v>100.0</v>
      </c>
      <c r="J175" s="203">
        <v>11897.9</v>
      </c>
      <c r="K175" s="193" t="s">
        <v>266</v>
      </c>
      <c r="L175" s="193" t="s">
        <v>267</v>
      </c>
      <c r="M175" s="201"/>
      <c r="N175" s="193" t="s">
        <v>803</v>
      </c>
      <c r="O175" s="185"/>
      <c r="P175" s="190">
        <v>4.43142649E8</v>
      </c>
      <c r="Q175" s="201"/>
      <c r="R175" s="193" t="s">
        <v>120</v>
      </c>
      <c r="S175" s="233" t="s">
        <v>269</v>
      </c>
    </row>
    <row r="176" ht="21.0" customHeight="1">
      <c r="A176" s="190">
        <v>175.0</v>
      </c>
      <c r="B176" s="191">
        <v>46307.0</v>
      </c>
      <c r="C176" s="192">
        <v>0.7194444444444444</v>
      </c>
      <c r="D176" s="190">
        <v>4.43142649E8</v>
      </c>
      <c r="E176" s="193" t="s">
        <v>260</v>
      </c>
      <c r="F176" s="194" t="s">
        <v>254</v>
      </c>
      <c r="G176" s="195">
        <v>1189790.0</v>
      </c>
      <c r="H176" s="194" t="s">
        <v>263</v>
      </c>
      <c r="I176" s="202">
        <v>100.0</v>
      </c>
      <c r="J176" s="203">
        <v>11897.9</v>
      </c>
      <c r="K176" s="193" t="s">
        <v>266</v>
      </c>
      <c r="L176" s="193" t="s">
        <v>267</v>
      </c>
      <c r="M176" s="201"/>
      <c r="N176" s="193" t="s">
        <v>760</v>
      </c>
      <c r="O176" s="185"/>
      <c r="P176" s="190">
        <v>4.43142649E8</v>
      </c>
      <c r="Q176" s="201"/>
      <c r="R176" s="193" t="s">
        <v>112</v>
      </c>
      <c r="S176" s="233" t="s">
        <v>269</v>
      </c>
    </row>
    <row r="177" ht="21.0" customHeight="1">
      <c r="A177" s="190">
        <v>176.0</v>
      </c>
      <c r="B177" s="191">
        <v>46307.0</v>
      </c>
      <c r="C177" s="192">
        <v>0.7201388888888889</v>
      </c>
      <c r="D177" s="190">
        <v>4.43142649E8</v>
      </c>
      <c r="E177" s="193" t="s">
        <v>260</v>
      </c>
      <c r="F177" s="194" t="s">
        <v>254</v>
      </c>
      <c r="G177" s="195">
        <v>1.18979E7</v>
      </c>
      <c r="H177" s="194" t="s">
        <v>263</v>
      </c>
      <c r="I177" s="202">
        <v>1000.0</v>
      </c>
      <c r="J177" s="203">
        <v>11897.9</v>
      </c>
      <c r="K177" s="193" t="s">
        <v>266</v>
      </c>
      <c r="L177" s="193" t="s">
        <v>267</v>
      </c>
      <c r="M177" s="201"/>
      <c r="N177" s="193" t="s">
        <v>804</v>
      </c>
      <c r="O177" s="185"/>
      <c r="P177" s="190">
        <v>4.43142649E8</v>
      </c>
      <c r="Q177" s="201"/>
      <c r="R177" s="193" t="s">
        <v>10</v>
      </c>
      <c r="S177" s="233" t="s">
        <v>269</v>
      </c>
    </row>
    <row r="178" ht="21.0" customHeight="1">
      <c r="A178" s="190">
        <v>177.0</v>
      </c>
      <c r="B178" s="191">
        <v>46307.0</v>
      </c>
      <c r="C178" s="192">
        <v>0.7534722222222222</v>
      </c>
      <c r="D178" s="190">
        <v>4.43142649E8</v>
      </c>
      <c r="E178" s="193" t="s">
        <v>260</v>
      </c>
      <c r="F178" s="194" t="s">
        <v>254</v>
      </c>
      <c r="G178" s="195">
        <v>105000.0</v>
      </c>
      <c r="H178" s="194" t="s">
        <v>255</v>
      </c>
      <c r="I178" s="202"/>
      <c r="J178" s="203"/>
      <c r="K178" s="193" t="s">
        <v>664</v>
      </c>
      <c r="L178" s="193" t="s">
        <v>667</v>
      </c>
      <c r="M178" s="201"/>
      <c r="N178" s="193" t="s">
        <v>805</v>
      </c>
      <c r="O178" s="185"/>
      <c r="P178" s="190">
        <v>4.43142649E8</v>
      </c>
      <c r="Q178" s="201"/>
      <c r="R178" s="193"/>
      <c r="S178" s="181" t="s">
        <v>259</v>
      </c>
    </row>
    <row r="179" ht="21.0" customHeight="1">
      <c r="A179" s="190">
        <v>178.0</v>
      </c>
      <c r="B179" s="191">
        <v>46307.0</v>
      </c>
      <c r="C179" s="192">
        <v>0.7534722222222222</v>
      </c>
      <c r="D179" s="190">
        <v>4.43142649E8</v>
      </c>
      <c r="E179" s="193" t="s">
        <v>260</v>
      </c>
      <c r="F179" s="194" t="s">
        <v>254</v>
      </c>
      <c r="G179" s="195">
        <v>250000.0</v>
      </c>
      <c r="H179" s="194" t="s">
        <v>255</v>
      </c>
      <c r="I179" s="202"/>
      <c r="J179" s="203"/>
      <c r="K179" s="193" t="s">
        <v>664</v>
      </c>
      <c r="L179" s="193" t="s">
        <v>667</v>
      </c>
      <c r="M179" s="201"/>
      <c r="N179" s="193" t="s">
        <v>806</v>
      </c>
      <c r="O179" s="185"/>
      <c r="P179" s="190">
        <v>4.43142649E8</v>
      </c>
      <c r="Q179" s="201"/>
      <c r="R179" s="193"/>
      <c r="S179" s="181" t="s">
        <v>259</v>
      </c>
    </row>
    <row r="180" ht="21.0" customHeight="1">
      <c r="A180" s="190">
        <v>179.0</v>
      </c>
      <c r="B180" s="191">
        <v>46307.0</v>
      </c>
      <c r="C180" s="192">
        <v>0.7534722222222222</v>
      </c>
      <c r="D180" s="190">
        <v>4.43142649E8</v>
      </c>
      <c r="E180" s="193" t="s">
        <v>260</v>
      </c>
      <c r="F180" s="194" t="s">
        <v>254</v>
      </c>
      <c r="G180" s="195">
        <v>700000.0</v>
      </c>
      <c r="H180" s="194" t="s">
        <v>255</v>
      </c>
      <c r="I180" s="202"/>
      <c r="J180" s="203"/>
      <c r="K180" s="193" t="s">
        <v>664</v>
      </c>
      <c r="L180" s="193" t="s">
        <v>667</v>
      </c>
      <c r="M180" s="201"/>
      <c r="N180" s="193" t="s">
        <v>672</v>
      </c>
      <c r="O180" s="185"/>
      <c r="P180" s="190">
        <v>4.43142649E8</v>
      </c>
      <c r="Q180" s="201"/>
      <c r="R180" s="193"/>
      <c r="S180" s="181" t="s">
        <v>259</v>
      </c>
    </row>
    <row r="181" ht="21.0" customHeight="1">
      <c r="A181" s="190">
        <v>180.0</v>
      </c>
      <c r="B181" s="191">
        <v>46307.0</v>
      </c>
      <c r="C181" s="192">
        <v>0.7541666666666667</v>
      </c>
      <c r="D181" s="190">
        <v>4.43142649E8</v>
      </c>
      <c r="E181" s="193" t="s">
        <v>260</v>
      </c>
      <c r="F181" s="194" t="s">
        <v>254</v>
      </c>
      <c r="G181" s="195">
        <v>7186332.0</v>
      </c>
      <c r="H181" s="194" t="s">
        <v>263</v>
      </c>
      <c r="I181" s="202">
        <v>604.0</v>
      </c>
      <c r="J181" s="203">
        <v>11897.9</v>
      </c>
      <c r="K181" s="193" t="s">
        <v>266</v>
      </c>
      <c r="L181" s="193" t="s">
        <v>267</v>
      </c>
      <c r="M181" s="201"/>
      <c r="N181" s="193" t="s">
        <v>807</v>
      </c>
      <c r="O181" s="185"/>
      <c r="P181" s="190">
        <v>4.43142649E8</v>
      </c>
      <c r="Q181" s="201"/>
      <c r="R181" s="193" t="s">
        <v>131</v>
      </c>
      <c r="S181" s="181" t="s">
        <v>564</v>
      </c>
    </row>
    <row r="182" ht="21.0" customHeight="1">
      <c r="A182" s="190">
        <v>181.0</v>
      </c>
      <c r="B182" s="191">
        <v>46307.0</v>
      </c>
      <c r="C182" s="192">
        <v>0.7541666666666667</v>
      </c>
      <c r="D182" s="190">
        <v>4.43142649E8</v>
      </c>
      <c r="E182" s="193" t="s">
        <v>260</v>
      </c>
      <c r="F182" s="194" t="s">
        <v>254</v>
      </c>
      <c r="G182" s="195">
        <v>360000.0</v>
      </c>
      <c r="H182" s="194" t="s">
        <v>255</v>
      </c>
      <c r="I182" s="202"/>
      <c r="J182" s="203"/>
      <c r="K182" s="193" t="s">
        <v>368</v>
      </c>
      <c r="L182" s="193" t="s">
        <v>369</v>
      </c>
      <c r="M182" s="201"/>
      <c r="N182" s="193" t="s">
        <v>757</v>
      </c>
      <c r="O182" s="185"/>
      <c r="P182" s="190">
        <v>4.43142649E8</v>
      </c>
      <c r="Q182" s="201"/>
      <c r="R182" s="193"/>
      <c r="S182" s="181" t="s">
        <v>259</v>
      </c>
    </row>
    <row r="183" ht="21.0" customHeight="1">
      <c r="A183" s="190">
        <v>182.0</v>
      </c>
      <c r="B183" s="191">
        <v>46307.0</v>
      </c>
      <c r="C183" s="192">
        <v>0.7548611111111111</v>
      </c>
      <c r="D183" s="190">
        <v>4.43142649E8</v>
      </c>
      <c r="E183" s="193" t="s">
        <v>260</v>
      </c>
      <c r="F183" s="194" t="s">
        <v>254</v>
      </c>
      <c r="G183" s="195">
        <v>400000.0</v>
      </c>
      <c r="H183" s="194" t="s">
        <v>255</v>
      </c>
      <c r="I183" s="202"/>
      <c r="J183" s="203"/>
      <c r="K183" s="193" t="s">
        <v>266</v>
      </c>
      <c r="L183" s="193" t="s">
        <v>267</v>
      </c>
      <c r="M183" s="201"/>
      <c r="N183" s="193" t="s">
        <v>597</v>
      </c>
      <c r="O183" s="185"/>
      <c r="P183" s="190">
        <v>4.43142649E8</v>
      </c>
      <c r="Q183" s="201"/>
      <c r="R183" s="193" t="s">
        <v>129</v>
      </c>
      <c r="S183" s="233" t="s">
        <v>269</v>
      </c>
    </row>
    <row r="184" ht="21.0" customHeight="1">
      <c r="A184" s="190">
        <v>183.0</v>
      </c>
      <c r="B184" s="191">
        <v>46307.0</v>
      </c>
      <c r="C184" s="192">
        <v>0.7548611111111111</v>
      </c>
      <c r="D184" s="190">
        <v>4.43142649E8</v>
      </c>
      <c r="E184" s="193" t="s">
        <v>260</v>
      </c>
      <c r="F184" s="194" t="s">
        <v>254</v>
      </c>
      <c r="G184" s="195">
        <v>100000.0</v>
      </c>
      <c r="H184" s="194" t="s">
        <v>255</v>
      </c>
      <c r="I184" s="202"/>
      <c r="J184" s="203"/>
      <c r="K184" s="193" t="s">
        <v>455</v>
      </c>
      <c r="L184" s="193" t="s">
        <v>456</v>
      </c>
      <c r="M184" s="201"/>
      <c r="N184" s="193" t="s">
        <v>604</v>
      </c>
      <c r="O184" s="185"/>
      <c r="P184" s="190">
        <v>4.43142649E8</v>
      </c>
      <c r="Q184" s="201"/>
      <c r="R184" s="193"/>
      <c r="S184" s="181" t="s">
        <v>259</v>
      </c>
    </row>
    <row r="185" ht="21.0" customHeight="1">
      <c r="A185" s="190">
        <v>184.0</v>
      </c>
      <c r="B185" s="191">
        <v>46307.0</v>
      </c>
      <c r="C185" s="192">
        <v>0.7548611111111111</v>
      </c>
      <c r="D185" s="190">
        <v>4.43142649E8</v>
      </c>
      <c r="E185" s="193" t="s">
        <v>260</v>
      </c>
      <c r="F185" s="194" t="s">
        <v>254</v>
      </c>
      <c r="G185" s="195">
        <v>540000.0</v>
      </c>
      <c r="H185" s="194" t="s">
        <v>255</v>
      </c>
      <c r="I185" s="202"/>
      <c r="J185" s="203"/>
      <c r="K185" s="193" t="s">
        <v>664</v>
      </c>
      <c r="L185" s="193" t="s">
        <v>667</v>
      </c>
      <c r="M185" s="201"/>
      <c r="N185" s="193" t="s">
        <v>747</v>
      </c>
      <c r="O185" s="185"/>
      <c r="P185" s="190">
        <v>4.43142649E8</v>
      </c>
      <c r="Q185" s="201"/>
      <c r="R185" s="193"/>
      <c r="S185" s="181" t="s">
        <v>259</v>
      </c>
    </row>
    <row r="186" ht="21.0" customHeight="1">
      <c r="A186" s="190">
        <v>185.0</v>
      </c>
      <c r="B186" s="191">
        <v>46307.0</v>
      </c>
      <c r="C186" s="192">
        <v>0.7555555555555555</v>
      </c>
      <c r="D186" s="190">
        <v>4.43142649E8</v>
      </c>
      <c r="E186" s="193" t="s">
        <v>260</v>
      </c>
      <c r="F186" s="194" t="s">
        <v>254</v>
      </c>
      <c r="G186" s="195">
        <v>2120000.0</v>
      </c>
      <c r="H186" s="194" t="s">
        <v>255</v>
      </c>
      <c r="I186" s="202"/>
      <c r="J186" s="203"/>
      <c r="K186" s="193" t="s">
        <v>372</v>
      </c>
      <c r="L186" s="193" t="s">
        <v>373</v>
      </c>
      <c r="M186" s="201"/>
      <c r="N186" s="193" t="s">
        <v>808</v>
      </c>
      <c r="O186" s="185"/>
      <c r="P186" s="190">
        <v>4.43142649E8</v>
      </c>
      <c r="Q186" s="201"/>
      <c r="R186" s="193"/>
      <c r="S186" s="181" t="s">
        <v>259</v>
      </c>
    </row>
    <row r="187" ht="21.0" customHeight="1">
      <c r="A187" s="190">
        <v>186.0</v>
      </c>
      <c r="B187" s="191">
        <v>46307.0</v>
      </c>
      <c r="C187" s="192">
        <v>0.75625</v>
      </c>
      <c r="D187" s="190">
        <v>4.43142649E8</v>
      </c>
      <c r="E187" s="193" t="s">
        <v>260</v>
      </c>
      <c r="F187" s="194" t="s">
        <v>254</v>
      </c>
      <c r="G187" s="195">
        <v>2250000.0</v>
      </c>
      <c r="H187" s="194" t="s">
        <v>255</v>
      </c>
      <c r="I187" s="202"/>
      <c r="J187" s="203"/>
      <c r="K187" s="193" t="s">
        <v>290</v>
      </c>
      <c r="L187" s="193" t="s">
        <v>291</v>
      </c>
      <c r="M187" s="201">
        <v>395.0</v>
      </c>
      <c r="N187" s="193" t="s">
        <v>809</v>
      </c>
      <c r="O187" s="185"/>
      <c r="P187" s="190">
        <v>4.43142649E8</v>
      </c>
      <c r="Q187" s="201"/>
      <c r="R187" s="193"/>
      <c r="S187" s="181" t="s">
        <v>259</v>
      </c>
    </row>
    <row r="188" ht="21.0" customHeight="1">
      <c r="A188" s="190">
        <v>187.0</v>
      </c>
      <c r="B188" s="191">
        <v>46307.0</v>
      </c>
      <c r="C188" s="192">
        <v>0.7569444444444444</v>
      </c>
      <c r="D188" s="190">
        <v>4.43142649E8</v>
      </c>
      <c r="E188" s="193" t="s">
        <v>260</v>
      </c>
      <c r="F188" s="194" t="s">
        <v>254</v>
      </c>
      <c r="G188" s="195">
        <v>380000.0</v>
      </c>
      <c r="H188" s="194" t="s">
        <v>255</v>
      </c>
      <c r="I188" s="202"/>
      <c r="J188" s="203"/>
      <c r="K188" s="193" t="s">
        <v>664</v>
      </c>
      <c r="L188" s="193" t="s">
        <v>667</v>
      </c>
      <c r="M188" s="201"/>
      <c r="N188" s="193" t="s">
        <v>810</v>
      </c>
      <c r="O188" s="185"/>
      <c r="P188" s="190">
        <v>4.43142649E8</v>
      </c>
      <c r="Q188" s="201"/>
      <c r="R188" s="193"/>
      <c r="S188" s="181" t="s">
        <v>259</v>
      </c>
    </row>
    <row r="189" ht="21.0" customHeight="1">
      <c r="A189" s="190">
        <v>188.0</v>
      </c>
      <c r="B189" s="191">
        <v>46307.0</v>
      </c>
      <c r="C189" s="192">
        <v>0.7576388888888889</v>
      </c>
      <c r="D189" s="190">
        <v>4.43142649E8</v>
      </c>
      <c r="E189" s="193" t="s">
        <v>260</v>
      </c>
      <c r="F189" s="194" t="s">
        <v>254</v>
      </c>
      <c r="G189" s="195">
        <v>250000.0</v>
      </c>
      <c r="H189" s="194" t="s">
        <v>255</v>
      </c>
      <c r="I189" s="202"/>
      <c r="J189" s="203"/>
      <c r="K189" s="193" t="s">
        <v>368</v>
      </c>
      <c r="L189" s="193" t="s">
        <v>369</v>
      </c>
      <c r="M189" s="201"/>
      <c r="N189" s="193" t="s">
        <v>757</v>
      </c>
      <c r="O189" s="185"/>
      <c r="P189" s="190">
        <v>4.43142649E8</v>
      </c>
      <c r="Q189" s="201"/>
      <c r="R189" s="193"/>
      <c r="S189" s="181" t="s">
        <v>259</v>
      </c>
    </row>
    <row r="190" ht="21.0" customHeight="1">
      <c r="A190" s="190">
        <v>189.0</v>
      </c>
      <c r="B190" s="191">
        <v>46307.0</v>
      </c>
      <c r="C190" s="192">
        <v>0.8506944444444444</v>
      </c>
      <c r="D190" s="190">
        <v>6.156487883E9</v>
      </c>
      <c r="E190" s="193" t="s">
        <v>200</v>
      </c>
      <c r="F190" s="194" t="s">
        <v>254</v>
      </c>
      <c r="G190" s="195">
        <v>40000.0</v>
      </c>
      <c r="H190" s="194" t="s">
        <v>255</v>
      </c>
      <c r="I190" s="202"/>
      <c r="J190" s="203"/>
      <c r="K190" s="193" t="s">
        <v>256</v>
      </c>
      <c r="L190" s="193" t="s">
        <v>257</v>
      </c>
      <c r="M190" s="201">
        <v>388.0</v>
      </c>
      <c r="N190" s="193" t="s">
        <v>548</v>
      </c>
      <c r="O190" s="185"/>
      <c r="P190" s="190">
        <v>6.156487883E9</v>
      </c>
      <c r="Q190" s="201"/>
      <c r="R190" s="193"/>
      <c r="S190" s="181" t="s">
        <v>259</v>
      </c>
    </row>
    <row r="191" ht="21.0" customHeight="1">
      <c r="A191" s="190">
        <v>190.0</v>
      </c>
      <c r="B191" s="191">
        <v>46307.0</v>
      </c>
      <c r="C191" s="192">
        <v>0.9236111111111112</v>
      </c>
      <c r="D191" s="190">
        <v>4.43142649E8</v>
      </c>
      <c r="E191" s="193" t="s">
        <v>260</v>
      </c>
      <c r="F191" s="194" t="s">
        <v>254</v>
      </c>
      <c r="G191" s="195">
        <v>100000.0</v>
      </c>
      <c r="H191" s="194" t="s">
        <v>255</v>
      </c>
      <c r="I191" s="202"/>
      <c r="J191" s="203"/>
      <c r="K191" s="193" t="s">
        <v>664</v>
      </c>
      <c r="L191" s="193" t="s">
        <v>667</v>
      </c>
      <c r="M191" s="201"/>
      <c r="N191" s="193" t="s">
        <v>811</v>
      </c>
      <c r="O191" s="185"/>
      <c r="P191" s="190">
        <v>4.43142649E8</v>
      </c>
      <c r="Q191" s="201"/>
      <c r="R191" s="193"/>
      <c r="S191" s="181" t="s">
        <v>259</v>
      </c>
    </row>
    <row r="192" ht="21.0" customHeight="1">
      <c r="A192" s="190">
        <v>191.0</v>
      </c>
      <c r="B192" s="191">
        <v>46307.0</v>
      </c>
      <c r="C192" s="192">
        <v>0.9236111111111112</v>
      </c>
      <c r="D192" s="190">
        <v>4.43142649E8</v>
      </c>
      <c r="E192" s="193" t="s">
        <v>260</v>
      </c>
      <c r="F192" s="194" t="s">
        <v>254</v>
      </c>
      <c r="G192" s="195">
        <v>500000.0</v>
      </c>
      <c r="H192" s="194" t="s">
        <v>255</v>
      </c>
      <c r="I192" s="202"/>
      <c r="J192" s="203"/>
      <c r="K192" s="193" t="s">
        <v>266</v>
      </c>
      <c r="L192" s="193" t="s">
        <v>267</v>
      </c>
      <c r="M192" s="201"/>
      <c r="N192" s="193" t="s">
        <v>812</v>
      </c>
      <c r="O192" s="185"/>
      <c r="P192" s="190">
        <v>4.43142649E8</v>
      </c>
      <c r="Q192" s="201"/>
      <c r="R192" s="193" t="s">
        <v>145</v>
      </c>
      <c r="S192" s="233" t="s">
        <v>269</v>
      </c>
    </row>
    <row r="193" ht="21.0" customHeight="1">
      <c r="A193" s="190">
        <v>192.0</v>
      </c>
      <c r="B193" s="191">
        <v>46308.0</v>
      </c>
      <c r="C193" s="192">
        <v>0.5222222222222223</v>
      </c>
      <c r="D193" s="190">
        <v>4.43142649E8</v>
      </c>
      <c r="E193" s="193" t="s">
        <v>260</v>
      </c>
      <c r="F193" s="194" t="s">
        <v>254</v>
      </c>
      <c r="G193" s="195">
        <v>260000.0</v>
      </c>
      <c r="H193" s="194" t="s">
        <v>255</v>
      </c>
      <c r="I193" s="202"/>
      <c r="J193" s="203"/>
      <c r="K193" s="193" t="s">
        <v>664</v>
      </c>
      <c r="L193" s="193" t="s">
        <v>667</v>
      </c>
      <c r="M193" s="201"/>
      <c r="N193" s="193" t="s">
        <v>813</v>
      </c>
      <c r="O193" s="185"/>
      <c r="P193" s="190">
        <v>4.43142649E8</v>
      </c>
      <c r="Q193" s="201"/>
      <c r="R193" s="193"/>
      <c r="S193" s="181" t="s">
        <v>259</v>
      </c>
    </row>
    <row r="194" ht="21.0" customHeight="1">
      <c r="A194" s="190">
        <v>193.0</v>
      </c>
      <c r="B194" s="191">
        <v>46308.0</v>
      </c>
      <c r="C194" s="192">
        <v>0.5486111111111112</v>
      </c>
      <c r="D194" s="190">
        <v>6.156487883E9</v>
      </c>
      <c r="E194" s="193" t="s">
        <v>200</v>
      </c>
      <c r="F194" s="194" t="s">
        <v>254</v>
      </c>
      <c r="G194" s="195">
        <v>40000.0</v>
      </c>
      <c r="H194" s="194" t="s">
        <v>255</v>
      </c>
      <c r="I194" s="202"/>
      <c r="J194" s="203"/>
      <c r="K194" s="193" t="s">
        <v>256</v>
      </c>
      <c r="L194" s="193" t="s">
        <v>257</v>
      </c>
      <c r="M194" s="201">
        <v>388.0</v>
      </c>
      <c r="N194" s="193" t="s">
        <v>547</v>
      </c>
      <c r="O194" s="185"/>
      <c r="P194" s="190">
        <v>6.156487883E9</v>
      </c>
      <c r="Q194" s="201"/>
      <c r="R194" s="193"/>
      <c r="S194" s="181" t="s">
        <v>259</v>
      </c>
    </row>
    <row r="195" ht="21.0" customHeight="1">
      <c r="A195" s="190">
        <v>194.0</v>
      </c>
      <c r="B195" s="191">
        <v>46308.0</v>
      </c>
      <c r="C195" s="192">
        <v>0.55</v>
      </c>
      <c r="D195" s="190">
        <v>4.43142649E8</v>
      </c>
      <c r="E195" s="193" t="s">
        <v>260</v>
      </c>
      <c r="F195" s="194" t="s">
        <v>254</v>
      </c>
      <c r="G195" s="195">
        <v>400000.0</v>
      </c>
      <c r="H195" s="194" t="s">
        <v>255</v>
      </c>
      <c r="I195" s="202"/>
      <c r="J195" s="203"/>
      <c r="K195" s="193" t="s">
        <v>814</v>
      </c>
      <c r="L195" s="193" t="s">
        <v>815</v>
      </c>
      <c r="M195" s="201"/>
      <c r="N195" s="193" t="s">
        <v>816</v>
      </c>
      <c r="O195" s="185"/>
      <c r="P195" s="190">
        <v>4.43142649E8</v>
      </c>
      <c r="Q195" s="201"/>
      <c r="R195" s="193"/>
      <c r="S195" s="181" t="s">
        <v>259</v>
      </c>
    </row>
    <row r="196" ht="21.0" customHeight="1">
      <c r="A196" s="190">
        <v>195.0</v>
      </c>
      <c r="B196" s="191">
        <v>46308.0</v>
      </c>
      <c r="C196" s="192">
        <v>0.5513888888888889</v>
      </c>
      <c r="D196" s="190">
        <v>4.43142649E8</v>
      </c>
      <c r="E196" s="193" t="s">
        <v>260</v>
      </c>
      <c r="F196" s="194" t="s">
        <v>254</v>
      </c>
      <c r="G196" s="195">
        <v>35000.0</v>
      </c>
      <c r="H196" s="194" t="s">
        <v>255</v>
      </c>
      <c r="I196" s="202"/>
      <c r="J196" s="203"/>
      <c r="K196" s="193" t="s">
        <v>455</v>
      </c>
      <c r="L196" s="193" t="s">
        <v>456</v>
      </c>
      <c r="M196" s="201"/>
      <c r="N196" s="193" t="s">
        <v>817</v>
      </c>
      <c r="O196" s="185"/>
      <c r="P196" s="190">
        <v>4.43142649E8</v>
      </c>
      <c r="Q196" s="201"/>
      <c r="R196" s="193"/>
      <c r="S196" s="181" t="s">
        <v>259</v>
      </c>
    </row>
    <row r="197" ht="21.0" customHeight="1">
      <c r="A197" s="190">
        <v>196.0</v>
      </c>
      <c r="B197" s="191">
        <v>46308.0</v>
      </c>
      <c r="C197" s="192">
        <v>0.5805555555555556</v>
      </c>
      <c r="D197" s="190">
        <v>4.43142649E8</v>
      </c>
      <c r="E197" s="193" t="s">
        <v>260</v>
      </c>
      <c r="F197" s="194" t="s">
        <v>254</v>
      </c>
      <c r="G197" s="195">
        <v>750000.0</v>
      </c>
      <c r="H197" s="194" t="s">
        <v>255</v>
      </c>
      <c r="I197" s="202"/>
      <c r="J197" s="203"/>
      <c r="K197" s="193" t="s">
        <v>323</v>
      </c>
      <c r="L197" s="193" t="s">
        <v>324</v>
      </c>
      <c r="M197" s="201">
        <v>398.0</v>
      </c>
      <c r="N197" s="193" t="s">
        <v>818</v>
      </c>
      <c r="O197" s="185"/>
      <c r="P197" s="190">
        <v>4.43142649E8</v>
      </c>
      <c r="Q197" s="201"/>
      <c r="R197" s="193"/>
      <c r="S197" s="181" t="s">
        <v>259</v>
      </c>
    </row>
    <row r="198" ht="21.0" customHeight="1">
      <c r="A198" s="190">
        <v>197.0</v>
      </c>
      <c r="B198" s="191">
        <v>46308.0</v>
      </c>
      <c r="C198" s="192">
        <v>0.5875</v>
      </c>
      <c r="D198" s="190">
        <v>2.54366051E8</v>
      </c>
      <c r="E198" s="193" t="s">
        <v>8</v>
      </c>
      <c r="F198" s="194" t="s">
        <v>254</v>
      </c>
      <c r="G198" s="195">
        <v>1.6658726E7</v>
      </c>
      <c r="H198" s="194" t="s">
        <v>263</v>
      </c>
      <c r="I198" s="202">
        <v>1400.0</v>
      </c>
      <c r="J198" s="203">
        <v>11899.09</v>
      </c>
      <c r="K198" s="193" t="s">
        <v>342</v>
      </c>
      <c r="L198" s="193" t="s">
        <v>343</v>
      </c>
      <c r="M198" s="201">
        <v>383.0</v>
      </c>
      <c r="N198" s="193" t="s">
        <v>819</v>
      </c>
      <c r="O198" s="185"/>
      <c r="P198" s="190">
        <v>2.54366051E8</v>
      </c>
      <c r="Q198" s="201"/>
      <c r="R198" s="193"/>
      <c r="S198" s="181" t="s">
        <v>259</v>
      </c>
    </row>
    <row r="199" ht="21.0" customHeight="1">
      <c r="A199" s="190">
        <v>198.0</v>
      </c>
      <c r="B199" s="191">
        <v>46308.0</v>
      </c>
      <c r="C199" s="192">
        <v>0.6409722222222223</v>
      </c>
      <c r="D199" s="190">
        <v>6.156487883E9</v>
      </c>
      <c r="E199" s="193" t="s">
        <v>200</v>
      </c>
      <c r="F199" s="194" t="s">
        <v>254</v>
      </c>
      <c r="G199" s="195">
        <v>70000.0</v>
      </c>
      <c r="H199" s="194" t="s">
        <v>255</v>
      </c>
      <c r="I199" s="202"/>
      <c r="J199" s="203"/>
      <c r="K199" s="193" t="s">
        <v>372</v>
      </c>
      <c r="L199" s="193" t="s">
        <v>373</v>
      </c>
      <c r="M199" s="201"/>
      <c r="N199" s="193" t="s">
        <v>820</v>
      </c>
      <c r="O199" s="185"/>
      <c r="P199" s="190">
        <v>6.156487883E9</v>
      </c>
      <c r="Q199" s="201"/>
      <c r="R199" s="193"/>
      <c r="S199" s="181" t="s">
        <v>259</v>
      </c>
    </row>
    <row r="200" ht="21.0" customHeight="1">
      <c r="A200" s="190">
        <v>199.0</v>
      </c>
      <c r="B200" s="191">
        <v>46308.0</v>
      </c>
      <c r="C200" s="192">
        <v>0.6631944444444444</v>
      </c>
      <c r="D200" s="190">
        <v>6.156487883E9</v>
      </c>
      <c r="E200" s="193" t="s">
        <v>200</v>
      </c>
      <c r="F200" s="194" t="s">
        <v>254</v>
      </c>
      <c r="G200" s="195">
        <v>20000.0</v>
      </c>
      <c r="H200" s="194" t="s">
        <v>255</v>
      </c>
      <c r="I200" s="202"/>
      <c r="J200" s="203"/>
      <c r="K200" s="193" t="s">
        <v>256</v>
      </c>
      <c r="L200" s="193" t="s">
        <v>257</v>
      </c>
      <c r="M200" s="201"/>
      <c r="N200" s="193" t="s">
        <v>821</v>
      </c>
      <c r="O200" s="185"/>
      <c r="P200" s="190">
        <v>6.156487883E9</v>
      </c>
      <c r="Q200" s="201"/>
      <c r="R200" s="193"/>
      <c r="S200" s="181" t="s">
        <v>259</v>
      </c>
    </row>
    <row r="201" ht="21.0" customHeight="1">
      <c r="A201" s="190">
        <v>200.0</v>
      </c>
      <c r="B201" s="191">
        <v>46308.0</v>
      </c>
      <c r="C201" s="192">
        <v>0.6645833333333333</v>
      </c>
      <c r="D201" s="190">
        <v>4.43142649E8</v>
      </c>
      <c r="E201" s="193" t="s">
        <v>260</v>
      </c>
      <c r="F201" s="194" t="s">
        <v>254</v>
      </c>
      <c r="G201" s="195">
        <v>200000.0</v>
      </c>
      <c r="H201" s="194" t="s">
        <v>255</v>
      </c>
      <c r="I201" s="202"/>
      <c r="J201" s="203"/>
      <c r="K201" s="193" t="s">
        <v>455</v>
      </c>
      <c r="L201" s="193" t="s">
        <v>456</v>
      </c>
      <c r="M201" s="201"/>
      <c r="N201" s="193" t="s">
        <v>822</v>
      </c>
      <c r="O201" s="185"/>
      <c r="P201" s="190">
        <v>4.43142649E8</v>
      </c>
      <c r="Q201" s="201"/>
      <c r="R201" s="193"/>
      <c r="S201" s="181" t="s">
        <v>259</v>
      </c>
    </row>
    <row r="202" ht="21.0" customHeight="1">
      <c r="A202" s="190">
        <v>201.0</v>
      </c>
      <c r="B202" s="191">
        <v>46308.0</v>
      </c>
      <c r="C202" s="192">
        <v>0.6694444444444444</v>
      </c>
      <c r="D202" s="190">
        <v>6.156487883E9</v>
      </c>
      <c r="E202" s="193" t="s">
        <v>200</v>
      </c>
      <c r="F202" s="194" t="s">
        <v>254</v>
      </c>
      <c r="G202" s="195">
        <v>200000.0</v>
      </c>
      <c r="H202" s="194" t="s">
        <v>255</v>
      </c>
      <c r="I202" s="202"/>
      <c r="J202" s="203"/>
      <c r="K202" s="193" t="s">
        <v>266</v>
      </c>
      <c r="L202" s="193" t="s">
        <v>267</v>
      </c>
      <c r="M202" s="201"/>
      <c r="N202" s="193" t="s">
        <v>823</v>
      </c>
      <c r="O202" s="185"/>
      <c r="P202" s="190">
        <v>6.156487883E9</v>
      </c>
      <c r="Q202" s="201"/>
      <c r="R202" s="193" t="s">
        <v>112</v>
      </c>
      <c r="S202" s="181" t="s">
        <v>269</v>
      </c>
    </row>
    <row r="203" ht="21.0" customHeight="1">
      <c r="A203" s="190">
        <v>202.0</v>
      </c>
      <c r="B203" s="191">
        <v>46308.0</v>
      </c>
      <c r="C203" s="192">
        <v>0.6743055555555556</v>
      </c>
      <c r="D203" s="190">
        <v>2.54366051E8</v>
      </c>
      <c r="E203" s="193" t="s">
        <v>8</v>
      </c>
      <c r="F203" s="194" t="s">
        <v>254</v>
      </c>
      <c r="G203" s="195">
        <v>35000.0</v>
      </c>
      <c r="H203" s="194" t="s">
        <v>255</v>
      </c>
      <c r="I203" s="202"/>
      <c r="J203" s="203"/>
      <c r="K203" s="193" t="s">
        <v>256</v>
      </c>
      <c r="L203" s="193" t="s">
        <v>257</v>
      </c>
      <c r="M203" s="201"/>
      <c r="N203" s="193" t="s">
        <v>285</v>
      </c>
      <c r="O203" s="185"/>
      <c r="P203" s="190">
        <v>2.54366051E8</v>
      </c>
      <c r="Q203" s="201"/>
      <c r="R203" s="193"/>
      <c r="S203" s="181" t="s">
        <v>259</v>
      </c>
    </row>
    <row r="204" ht="21.0" customHeight="1">
      <c r="A204" s="190">
        <v>203.0</v>
      </c>
      <c r="B204" s="191">
        <v>46308.0</v>
      </c>
      <c r="C204" s="192">
        <v>0.675</v>
      </c>
      <c r="D204" s="190">
        <v>2.54366051E8</v>
      </c>
      <c r="E204" s="193" t="s">
        <v>8</v>
      </c>
      <c r="F204" s="194" t="s">
        <v>254</v>
      </c>
      <c r="G204" s="195">
        <v>400000.0</v>
      </c>
      <c r="H204" s="194" t="s">
        <v>255</v>
      </c>
      <c r="I204" s="202"/>
      <c r="J204" s="203"/>
      <c r="K204" s="193" t="s">
        <v>266</v>
      </c>
      <c r="L204" s="193" t="s">
        <v>267</v>
      </c>
      <c r="M204" s="201"/>
      <c r="N204" s="193" t="s">
        <v>365</v>
      </c>
      <c r="O204" s="185"/>
      <c r="P204" s="190">
        <v>2.54366051E8</v>
      </c>
      <c r="Q204" s="201"/>
      <c r="R204" s="193" t="s">
        <v>126</v>
      </c>
      <c r="S204" s="181" t="s">
        <v>269</v>
      </c>
    </row>
    <row r="205" ht="21.0" customHeight="1">
      <c r="A205" s="190">
        <v>204.0</v>
      </c>
      <c r="B205" s="191">
        <v>46308.0</v>
      </c>
      <c r="C205" s="192">
        <v>0.6819444444444445</v>
      </c>
      <c r="D205" s="190">
        <v>4.43142649E8</v>
      </c>
      <c r="E205" s="193" t="s">
        <v>260</v>
      </c>
      <c r="F205" s="194" t="s">
        <v>254</v>
      </c>
      <c r="G205" s="195">
        <v>1.0709181E7</v>
      </c>
      <c r="H205" s="194" t="s">
        <v>263</v>
      </c>
      <c r="I205" s="202">
        <v>900.0</v>
      </c>
      <c r="J205" s="203">
        <v>11899.09</v>
      </c>
      <c r="K205" s="193" t="s">
        <v>368</v>
      </c>
      <c r="L205" s="193" t="s">
        <v>369</v>
      </c>
      <c r="M205" s="201"/>
      <c r="N205" s="193" t="s">
        <v>824</v>
      </c>
      <c r="O205" s="185"/>
      <c r="P205" s="190">
        <v>4.43142649E8</v>
      </c>
      <c r="Q205" s="201"/>
      <c r="R205" s="193"/>
      <c r="S205" s="181" t="s">
        <v>259</v>
      </c>
    </row>
    <row r="206" ht="21.0" customHeight="1">
      <c r="A206" s="190">
        <v>205.0</v>
      </c>
      <c r="B206" s="191">
        <v>46308.0</v>
      </c>
      <c r="C206" s="192">
        <v>0.6895833333333333</v>
      </c>
      <c r="D206" s="190">
        <v>4.43142649E8</v>
      </c>
      <c r="E206" s="193" t="s">
        <v>260</v>
      </c>
      <c r="F206" s="194" t="s">
        <v>254</v>
      </c>
      <c r="G206" s="195">
        <v>35000.0</v>
      </c>
      <c r="H206" s="194" t="s">
        <v>255</v>
      </c>
      <c r="I206" s="202"/>
      <c r="J206" s="203"/>
      <c r="K206" s="193" t="s">
        <v>266</v>
      </c>
      <c r="L206" s="193" t="s">
        <v>267</v>
      </c>
      <c r="M206" s="201"/>
      <c r="N206" s="193" t="s">
        <v>825</v>
      </c>
      <c r="O206" s="185"/>
      <c r="P206" s="190">
        <v>4.43142649E8</v>
      </c>
      <c r="Q206" s="201"/>
      <c r="R206" s="193" t="s">
        <v>129</v>
      </c>
      <c r="S206" s="233" t="s">
        <v>269</v>
      </c>
    </row>
    <row r="207" ht="21.0" customHeight="1">
      <c r="A207" s="190">
        <v>206.0</v>
      </c>
      <c r="B207" s="191">
        <v>46308.0</v>
      </c>
      <c r="C207" s="192">
        <v>0.9034722222222222</v>
      </c>
      <c r="D207" s="190">
        <v>4.43142649E8</v>
      </c>
      <c r="E207" s="193" t="s">
        <v>260</v>
      </c>
      <c r="F207" s="194" t="s">
        <v>254</v>
      </c>
      <c r="G207" s="195">
        <v>120000.0</v>
      </c>
      <c r="H207" s="194" t="s">
        <v>255</v>
      </c>
      <c r="I207" s="202"/>
      <c r="J207" s="203"/>
      <c r="K207" s="193" t="s">
        <v>455</v>
      </c>
      <c r="L207" s="193" t="s">
        <v>456</v>
      </c>
      <c r="M207" s="201"/>
      <c r="N207" s="193" t="s">
        <v>826</v>
      </c>
      <c r="O207" s="185"/>
      <c r="P207" s="190">
        <v>4.43142649E8</v>
      </c>
      <c r="Q207" s="201"/>
      <c r="R207" s="193"/>
      <c r="S207" s="181" t="s">
        <v>259</v>
      </c>
    </row>
    <row r="208" ht="21.0" customHeight="1">
      <c r="A208" s="190">
        <v>207.0</v>
      </c>
      <c r="B208" s="191">
        <v>46308.0</v>
      </c>
      <c r="C208" s="192">
        <v>0.9291666666666667</v>
      </c>
      <c r="D208" s="190">
        <v>4.43142649E8</v>
      </c>
      <c r="E208" s="193" t="s">
        <v>260</v>
      </c>
      <c r="F208" s="194" t="s">
        <v>254</v>
      </c>
      <c r="G208" s="195">
        <v>1500000.0</v>
      </c>
      <c r="H208" s="194" t="s">
        <v>255</v>
      </c>
      <c r="I208" s="202"/>
      <c r="J208" s="203"/>
      <c r="K208" s="193" t="s">
        <v>560</v>
      </c>
      <c r="L208" s="193" t="s">
        <v>561</v>
      </c>
      <c r="M208" s="201"/>
      <c r="N208" s="193" t="s">
        <v>827</v>
      </c>
      <c r="O208" s="185"/>
      <c r="P208" s="190">
        <v>4.43142649E8</v>
      </c>
      <c r="Q208" s="201"/>
      <c r="R208" s="193"/>
      <c r="S208" s="181" t="s">
        <v>259</v>
      </c>
    </row>
    <row r="209" ht="21.0" customHeight="1">
      <c r="A209" s="190">
        <v>208.0</v>
      </c>
      <c r="B209" s="191">
        <v>46308.0</v>
      </c>
      <c r="C209" s="192">
        <v>0.94375</v>
      </c>
      <c r="D209" s="190">
        <v>6.156487883E9</v>
      </c>
      <c r="E209" s="193" t="s">
        <v>200</v>
      </c>
      <c r="F209" s="194" t="s">
        <v>254</v>
      </c>
      <c r="G209" s="195">
        <v>280000.0</v>
      </c>
      <c r="H209" s="194" t="s">
        <v>255</v>
      </c>
      <c r="I209" s="202"/>
      <c r="J209" s="203"/>
      <c r="K209" s="193" t="s">
        <v>256</v>
      </c>
      <c r="L209" s="193" t="s">
        <v>257</v>
      </c>
      <c r="M209" s="201">
        <v>383.0</v>
      </c>
      <c r="N209" s="193" t="s">
        <v>828</v>
      </c>
      <c r="O209" s="185"/>
      <c r="P209" s="190">
        <v>6.156487883E9</v>
      </c>
      <c r="Q209" s="201"/>
      <c r="R209" s="193"/>
      <c r="S209" s="181" t="s">
        <v>259</v>
      </c>
    </row>
    <row r="210" ht="21.0" customHeight="1">
      <c r="A210" s="190">
        <v>209.0</v>
      </c>
      <c r="B210" s="191">
        <v>46308.0</v>
      </c>
      <c r="C210" s="192">
        <v>0.9611111111111111</v>
      </c>
      <c r="D210" s="190">
        <v>6.156487883E9</v>
      </c>
      <c r="E210" s="193" t="s">
        <v>200</v>
      </c>
      <c r="F210" s="194" t="s">
        <v>254</v>
      </c>
      <c r="G210" s="195">
        <v>40000.0</v>
      </c>
      <c r="H210" s="194" t="s">
        <v>255</v>
      </c>
      <c r="I210" s="202"/>
      <c r="J210" s="203"/>
      <c r="K210" s="193" t="s">
        <v>256</v>
      </c>
      <c r="L210" s="193" t="s">
        <v>257</v>
      </c>
      <c r="M210" s="201">
        <v>388.0</v>
      </c>
      <c r="N210" s="193" t="s">
        <v>548</v>
      </c>
      <c r="O210" s="185"/>
      <c r="P210" s="190">
        <v>6.156487883E9</v>
      </c>
      <c r="Q210" s="201"/>
      <c r="R210" s="193"/>
      <c r="S210" s="181" t="s">
        <v>259</v>
      </c>
    </row>
    <row r="211" ht="21.0" customHeight="1">
      <c r="A211" s="190">
        <v>210.0</v>
      </c>
      <c r="B211" s="191">
        <v>46308.0</v>
      </c>
      <c r="C211" s="192">
        <v>0.9652777777777778</v>
      </c>
      <c r="D211" s="190">
        <v>6.156487883E9</v>
      </c>
      <c r="E211" s="193" t="s">
        <v>200</v>
      </c>
      <c r="F211" s="194" t="s">
        <v>254</v>
      </c>
      <c r="G211" s="195">
        <v>50000.0</v>
      </c>
      <c r="H211" s="194" t="s">
        <v>255</v>
      </c>
      <c r="I211" s="202"/>
      <c r="J211" s="203"/>
      <c r="K211" s="193" t="s">
        <v>266</v>
      </c>
      <c r="L211" s="193" t="s">
        <v>267</v>
      </c>
      <c r="M211" s="201"/>
      <c r="N211" s="193" t="s">
        <v>829</v>
      </c>
      <c r="O211" s="185"/>
      <c r="P211" s="190">
        <v>6.156487883E9</v>
      </c>
      <c r="Q211" s="201"/>
      <c r="R211" s="193" t="s">
        <v>120</v>
      </c>
      <c r="S211" s="181" t="s">
        <v>269</v>
      </c>
    </row>
    <row r="212" ht="21.0" customHeight="1">
      <c r="A212" s="190">
        <v>211.0</v>
      </c>
      <c r="B212" s="191">
        <v>46309.0</v>
      </c>
      <c r="C212" s="192">
        <v>0.4638888888888889</v>
      </c>
      <c r="D212" s="190">
        <v>4.43142649E8</v>
      </c>
      <c r="E212" s="193" t="s">
        <v>260</v>
      </c>
      <c r="F212" s="194" t="s">
        <v>254</v>
      </c>
      <c r="G212" s="195">
        <v>50000.0</v>
      </c>
      <c r="H212" s="194" t="s">
        <v>255</v>
      </c>
      <c r="I212" s="202"/>
      <c r="J212" s="203"/>
      <c r="K212" s="193" t="s">
        <v>361</v>
      </c>
      <c r="L212" s="193" t="s">
        <v>362</v>
      </c>
      <c r="M212" s="201"/>
      <c r="N212" s="193" t="s">
        <v>830</v>
      </c>
      <c r="O212" s="185"/>
      <c r="P212" s="190">
        <v>4.43142649E8</v>
      </c>
      <c r="Q212" s="201"/>
      <c r="R212" s="193"/>
      <c r="S212" s="181" t="s">
        <v>259</v>
      </c>
    </row>
    <row r="213" ht="21.0" customHeight="1">
      <c r="A213" s="190">
        <v>212.0</v>
      </c>
      <c r="B213" s="191">
        <v>46309.0</v>
      </c>
      <c r="C213" s="192">
        <v>0.4756944444444444</v>
      </c>
      <c r="D213" s="190">
        <v>6.156487883E9</v>
      </c>
      <c r="E213" s="193" t="s">
        <v>200</v>
      </c>
      <c r="F213" s="194" t="s">
        <v>254</v>
      </c>
      <c r="G213" s="195">
        <v>100000.0</v>
      </c>
      <c r="H213" s="194" t="s">
        <v>255</v>
      </c>
      <c r="I213" s="202"/>
      <c r="J213" s="203"/>
      <c r="K213" s="193" t="s">
        <v>296</v>
      </c>
      <c r="L213" s="193" t="s">
        <v>297</v>
      </c>
      <c r="M213" s="201"/>
      <c r="N213" s="193" t="s">
        <v>557</v>
      </c>
      <c r="O213" s="185"/>
      <c r="P213" s="190">
        <v>6.156487883E9</v>
      </c>
      <c r="Q213" s="201"/>
      <c r="R213" s="193" t="s">
        <v>116</v>
      </c>
      <c r="S213" s="181" t="s">
        <v>259</v>
      </c>
    </row>
    <row r="214" ht="21.0" customHeight="1">
      <c r="A214" s="190">
        <v>213.0</v>
      </c>
      <c r="B214" s="191">
        <v>46309.0</v>
      </c>
      <c r="C214" s="192">
        <v>0.5243055555555556</v>
      </c>
      <c r="D214" s="190">
        <v>6.156487883E9</v>
      </c>
      <c r="E214" s="193" t="s">
        <v>200</v>
      </c>
      <c r="F214" s="194" t="s">
        <v>270</v>
      </c>
      <c r="G214" s="195">
        <v>1200000.0</v>
      </c>
      <c r="H214" s="194" t="s">
        <v>255</v>
      </c>
      <c r="I214" s="202"/>
      <c r="J214" s="203"/>
      <c r="K214" s="193" t="s">
        <v>271</v>
      </c>
      <c r="L214" s="193" t="s">
        <v>272</v>
      </c>
      <c r="M214" s="201"/>
      <c r="N214" s="193" t="s">
        <v>831</v>
      </c>
      <c r="O214" s="185"/>
      <c r="P214" s="190">
        <v>4.43142649E8</v>
      </c>
      <c r="Q214" s="201"/>
      <c r="R214" s="193"/>
      <c r="S214" s="181" t="s">
        <v>259</v>
      </c>
    </row>
    <row r="215" ht="21.0" customHeight="1">
      <c r="A215" s="190">
        <v>214.0</v>
      </c>
      <c r="B215" s="191">
        <v>46309.0</v>
      </c>
      <c r="C215" s="192">
        <v>0.5256944444444445</v>
      </c>
      <c r="D215" s="190">
        <v>6.156487883E9</v>
      </c>
      <c r="E215" s="193" t="s">
        <v>200</v>
      </c>
      <c r="F215" s="194" t="s">
        <v>254</v>
      </c>
      <c r="G215" s="195">
        <v>55000.0</v>
      </c>
      <c r="H215" s="194" t="s">
        <v>255</v>
      </c>
      <c r="I215" s="202"/>
      <c r="J215" s="203"/>
      <c r="K215" s="193" t="s">
        <v>266</v>
      </c>
      <c r="L215" s="193" t="s">
        <v>267</v>
      </c>
      <c r="M215" s="201"/>
      <c r="N215" s="193" t="s">
        <v>832</v>
      </c>
      <c r="O215" s="185"/>
      <c r="P215" s="190">
        <v>6.156487883E9</v>
      </c>
      <c r="Q215" s="201"/>
      <c r="R215" s="193" t="s">
        <v>139</v>
      </c>
      <c r="S215" s="181" t="s">
        <v>269</v>
      </c>
    </row>
    <row r="216" ht="21.0" customHeight="1">
      <c r="A216" s="190">
        <v>215.0</v>
      </c>
      <c r="B216" s="191">
        <v>46309.0</v>
      </c>
      <c r="C216" s="192">
        <v>0.5256944444444445</v>
      </c>
      <c r="D216" s="190">
        <v>2.54366051E8</v>
      </c>
      <c r="E216" s="193" t="s">
        <v>8</v>
      </c>
      <c r="F216" s="194" t="s">
        <v>270</v>
      </c>
      <c r="G216" s="195">
        <v>1200000.0</v>
      </c>
      <c r="H216" s="194" t="s">
        <v>255</v>
      </c>
      <c r="I216" s="202"/>
      <c r="J216" s="203"/>
      <c r="K216" s="193" t="s">
        <v>271</v>
      </c>
      <c r="L216" s="193" t="s">
        <v>272</v>
      </c>
      <c r="M216" s="201"/>
      <c r="N216" s="193" t="s">
        <v>833</v>
      </c>
      <c r="O216" s="185"/>
      <c r="P216" s="190">
        <v>4.43142649E8</v>
      </c>
      <c r="Q216" s="201"/>
      <c r="R216" s="193"/>
      <c r="S216" s="181" t="s">
        <v>259</v>
      </c>
    </row>
    <row r="217" ht="21.0" customHeight="1">
      <c r="A217" s="190">
        <v>216.0</v>
      </c>
      <c r="B217" s="191">
        <v>46309.0</v>
      </c>
      <c r="C217" s="192">
        <v>0.5708333333333333</v>
      </c>
      <c r="D217" s="190">
        <v>6.156487883E9</v>
      </c>
      <c r="E217" s="193" t="s">
        <v>200</v>
      </c>
      <c r="F217" s="194" t="s">
        <v>254</v>
      </c>
      <c r="G217" s="195">
        <v>240000.0</v>
      </c>
      <c r="H217" s="194" t="s">
        <v>255</v>
      </c>
      <c r="I217" s="202"/>
      <c r="J217" s="203"/>
      <c r="K217" s="193" t="s">
        <v>256</v>
      </c>
      <c r="L217" s="193" t="s">
        <v>257</v>
      </c>
      <c r="M217" s="201">
        <v>395.0</v>
      </c>
      <c r="N217" s="193" t="s">
        <v>834</v>
      </c>
      <c r="O217" s="185"/>
      <c r="P217" s="190">
        <v>6.156487883E9</v>
      </c>
      <c r="Q217" s="201"/>
      <c r="R217" s="193"/>
      <c r="S217" s="181" t="s">
        <v>259</v>
      </c>
    </row>
    <row r="218" ht="21.0" customHeight="1">
      <c r="A218" s="190">
        <v>217.0</v>
      </c>
      <c r="B218" s="191">
        <v>46309.0</v>
      </c>
      <c r="C218" s="192">
        <v>0.5763888888888888</v>
      </c>
      <c r="D218" s="190">
        <v>6.156487883E9</v>
      </c>
      <c r="E218" s="193" t="s">
        <v>200</v>
      </c>
      <c r="F218" s="194" t="s">
        <v>254</v>
      </c>
      <c r="G218" s="195">
        <v>40000.0</v>
      </c>
      <c r="H218" s="194" t="s">
        <v>255</v>
      </c>
      <c r="I218" s="202"/>
      <c r="J218" s="203"/>
      <c r="K218" s="193" t="s">
        <v>256</v>
      </c>
      <c r="L218" s="193" t="s">
        <v>257</v>
      </c>
      <c r="M218" s="201">
        <v>388.0</v>
      </c>
      <c r="N218" s="193" t="s">
        <v>547</v>
      </c>
      <c r="O218" s="185"/>
      <c r="P218" s="190">
        <v>6.156487883E9</v>
      </c>
      <c r="Q218" s="201"/>
      <c r="R218" s="193"/>
      <c r="S218" s="181" t="s">
        <v>259</v>
      </c>
    </row>
    <row r="219" ht="21.0" customHeight="1">
      <c r="A219" s="190">
        <v>218.0</v>
      </c>
      <c r="B219" s="191">
        <v>46309.0</v>
      </c>
      <c r="C219" s="192">
        <v>0.5965277777777778</v>
      </c>
      <c r="D219" s="190">
        <v>6.156487883E9</v>
      </c>
      <c r="E219" s="193" t="s">
        <v>200</v>
      </c>
      <c r="F219" s="194" t="s">
        <v>254</v>
      </c>
      <c r="G219" s="195">
        <v>15000.0</v>
      </c>
      <c r="H219" s="194" t="s">
        <v>255</v>
      </c>
      <c r="I219" s="202"/>
      <c r="J219" s="203"/>
      <c r="K219" s="193" t="s">
        <v>256</v>
      </c>
      <c r="L219" s="193" t="s">
        <v>257</v>
      </c>
      <c r="M219" s="201">
        <v>388.0</v>
      </c>
      <c r="N219" s="193" t="s">
        <v>835</v>
      </c>
      <c r="O219" s="185"/>
      <c r="P219" s="190">
        <v>6.156487883E9</v>
      </c>
      <c r="Q219" s="201"/>
      <c r="R219" s="193"/>
      <c r="S219" s="181" t="s">
        <v>259</v>
      </c>
    </row>
    <row r="220" ht="21.0" customHeight="1">
      <c r="A220" s="190">
        <v>219.0</v>
      </c>
      <c r="B220" s="191">
        <v>46309.0</v>
      </c>
      <c r="C220" s="192">
        <v>0.6083333333333333</v>
      </c>
      <c r="D220" s="190">
        <v>6.156487883E9</v>
      </c>
      <c r="E220" s="193" t="s">
        <v>200</v>
      </c>
      <c r="F220" s="194" t="s">
        <v>254</v>
      </c>
      <c r="G220" s="195">
        <v>80000.0</v>
      </c>
      <c r="H220" s="194" t="s">
        <v>255</v>
      </c>
      <c r="I220" s="202"/>
      <c r="J220" s="203"/>
      <c r="K220" s="193" t="s">
        <v>323</v>
      </c>
      <c r="L220" s="193" t="s">
        <v>324</v>
      </c>
      <c r="M220" s="201">
        <v>388.0</v>
      </c>
      <c r="N220" s="193" t="s">
        <v>836</v>
      </c>
      <c r="O220" s="185"/>
      <c r="P220" s="190">
        <v>6.156487883E9</v>
      </c>
      <c r="Q220" s="201"/>
      <c r="R220" s="193"/>
      <c r="S220" s="181" t="s">
        <v>259</v>
      </c>
    </row>
    <row r="221" ht="21.0" customHeight="1">
      <c r="A221" s="190">
        <v>220.0</v>
      </c>
      <c r="B221" s="191">
        <v>46309.0</v>
      </c>
      <c r="C221" s="192">
        <v>0.6618055555555555</v>
      </c>
      <c r="D221" s="190">
        <v>4.43142649E8</v>
      </c>
      <c r="E221" s="193" t="s">
        <v>260</v>
      </c>
      <c r="F221" s="194" t="s">
        <v>254</v>
      </c>
      <c r="G221" s="195">
        <v>53000.0</v>
      </c>
      <c r="H221" s="194" t="s">
        <v>255</v>
      </c>
      <c r="I221" s="202"/>
      <c r="J221" s="203"/>
      <c r="K221" s="193" t="s">
        <v>455</v>
      </c>
      <c r="L221" s="193" t="s">
        <v>456</v>
      </c>
      <c r="M221" s="201"/>
      <c r="N221" s="193" t="s">
        <v>817</v>
      </c>
      <c r="O221" s="185"/>
      <c r="P221" s="190">
        <v>4.43142649E8</v>
      </c>
      <c r="Q221" s="201"/>
      <c r="R221" s="193"/>
      <c r="S221" s="181" t="s">
        <v>259</v>
      </c>
    </row>
    <row r="222" ht="21.0" customHeight="1">
      <c r="A222" s="190">
        <v>221.0</v>
      </c>
      <c r="B222" s="191">
        <v>46309.0</v>
      </c>
      <c r="C222" s="192">
        <v>0.6659722222222222</v>
      </c>
      <c r="D222" s="190">
        <v>4.43142649E8</v>
      </c>
      <c r="E222" s="193" t="s">
        <v>260</v>
      </c>
      <c r="F222" s="194" t="s">
        <v>254</v>
      </c>
      <c r="G222" s="195">
        <v>440000.0</v>
      </c>
      <c r="H222" s="194" t="s">
        <v>255</v>
      </c>
      <c r="I222" s="202"/>
      <c r="J222" s="203"/>
      <c r="K222" s="193" t="s">
        <v>368</v>
      </c>
      <c r="L222" s="193" t="s">
        <v>369</v>
      </c>
      <c r="M222" s="201"/>
      <c r="N222" s="193" t="s">
        <v>837</v>
      </c>
      <c r="O222" s="185"/>
      <c r="P222" s="190">
        <v>4.43142649E8</v>
      </c>
      <c r="Q222" s="201"/>
      <c r="R222" s="193"/>
      <c r="S222" s="181" t="s">
        <v>259</v>
      </c>
    </row>
    <row r="223" ht="21.0" customHeight="1">
      <c r="A223" s="190">
        <v>222.0</v>
      </c>
      <c r="B223" s="191">
        <v>46309.0</v>
      </c>
      <c r="C223" s="192">
        <v>0.6826388888888889</v>
      </c>
      <c r="D223" s="190">
        <v>4.43142649E8</v>
      </c>
      <c r="E223" s="193" t="s">
        <v>260</v>
      </c>
      <c r="F223" s="194" t="s">
        <v>254</v>
      </c>
      <c r="G223" s="195">
        <v>2382670.0</v>
      </c>
      <c r="H223" s="194" t="s">
        <v>263</v>
      </c>
      <c r="I223" s="202">
        <v>200.0</v>
      </c>
      <c r="J223" s="203">
        <v>11913.35</v>
      </c>
      <c r="K223" s="193" t="s">
        <v>664</v>
      </c>
      <c r="L223" s="193" t="s">
        <v>667</v>
      </c>
      <c r="M223" s="201"/>
      <c r="N223" s="193" t="s">
        <v>811</v>
      </c>
      <c r="O223" s="185"/>
      <c r="P223" s="190">
        <v>4.43142649E8</v>
      </c>
      <c r="Q223" s="201"/>
      <c r="R223" s="193"/>
      <c r="S223" s="181" t="s">
        <v>259</v>
      </c>
    </row>
    <row r="224" ht="21.0" customHeight="1">
      <c r="A224" s="190">
        <v>223.0</v>
      </c>
      <c r="B224" s="191">
        <v>46309.0</v>
      </c>
      <c r="C224" s="192">
        <v>0.7229166666666667</v>
      </c>
      <c r="D224" s="190">
        <v>4.43142649E8</v>
      </c>
      <c r="E224" s="193" t="s">
        <v>260</v>
      </c>
      <c r="F224" s="194" t="s">
        <v>254</v>
      </c>
      <c r="G224" s="195">
        <v>50000.0</v>
      </c>
      <c r="H224" s="194" t="s">
        <v>255</v>
      </c>
      <c r="I224" s="202"/>
      <c r="J224" s="203"/>
      <c r="K224" s="193" t="s">
        <v>342</v>
      </c>
      <c r="L224" s="193" t="s">
        <v>343</v>
      </c>
      <c r="M224" s="201">
        <v>395.0</v>
      </c>
      <c r="N224" s="193" t="s">
        <v>838</v>
      </c>
      <c r="O224" s="185"/>
      <c r="P224" s="190">
        <v>4.43142649E8</v>
      </c>
      <c r="Q224" s="201"/>
      <c r="R224" s="193"/>
      <c r="S224" s="181" t="s">
        <v>259</v>
      </c>
    </row>
    <row r="225" ht="21.0" customHeight="1">
      <c r="A225" s="190">
        <v>224.0</v>
      </c>
      <c r="B225" s="191">
        <v>46309.0</v>
      </c>
      <c r="C225" s="192">
        <v>0.7958333333333333</v>
      </c>
      <c r="D225" s="190">
        <v>4.43142649E8</v>
      </c>
      <c r="E225" s="193" t="s">
        <v>260</v>
      </c>
      <c r="F225" s="194" t="s">
        <v>254</v>
      </c>
      <c r="G225" s="195">
        <v>300000.0</v>
      </c>
      <c r="H225" s="194" t="s">
        <v>255</v>
      </c>
      <c r="I225" s="202"/>
      <c r="J225" s="203"/>
      <c r="K225" s="193" t="s">
        <v>266</v>
      </c>
      <c r="L225" s="193" t="s">
        <v>267</v>
      </c>
      <c r="M225" s="201"/>
      <c r="N225" s="193" t="s">
        <v>839</v>
      </c>
      <c r="O225" s="185"/>
      <c r="P225" s="190">
        <v>4.43142649E8</v>
      </c>
      <c r="Q225" s="201"/>
      <c r="R225" s="193" t="s">
        <v>120</v>
      </c>
      <c r="S225" s="233" t="s">
        <v>269</v>
      </c>
    </row>
    <row r="226" ht="21.0" customHeight="1">
      <c r="A226" s="190">
        <v>225.0</v>
      </c>
      <c r="B226" s="191">
        <v>46309.0</v>
      </c>
      <c r="C226" s="192">
        <v>0.8375</v>
      </c>
      <c r="D226" s="190">
        <v>4.43142649E8</v>
      </c>
      <c r="E226" s="193" t="s">
        <v>260</v>
      </c>
      <c r="F226" s="194" t="s">
        <v>254</v>
      </c>
      <c r="G226" s="195">
        <v>100000.0</v>
      </c>
      <c r="H226" s="194" t="s">
        <v>255</v>
      </c>
      <c r="I226" s="202"/>
      <c r="J226" s="203"/>
      <c r="K226" s="193" t="s">
        <v>455</v>
      </c>
      <c r="L226" s="193" t="s">
        <v>456</v>
      </c>
      <c r="M226" s="201"/>
      <c r="N226" s="193" t="s">
        <v>840</v>
      </c>
      <c r="O226" s="185"/>
      <c r="P226" s="190">
        <v>4.43142649E8</v>
      </c>
      <c r="Q226" s="201"/>
      <c r="R226" s="193"/>
      <c r="S226" s="181" t="s">
        <v>259</v>
      </c>
    </row>
    <row r="227" ht="21.0" customHeight="1">
      <c r="A227" s="190">
        <v>226.0</v>
      </c>
      <c r="B227" s="191">
        <v>46309.0</v>
      </c>
      <c r="C227" s="192">
        <v>0.8590277777777777</v>
      </c>
      <c r="D227" s="190">
        <v>2.54366051E8</v>
      </c>
      <c r="E227" s="193" t="s">
        <v>8</v>
      </c>
      <c r="F227" s="194" t="s">
        <v>254</v>
      </c>
      <c r="G227" s="195">
        <v>270000.0</v>
      </c>
      <c r="H227" s="194" t="s">
        <v>255</v>
      </c>
      <c r="I227" s="202"/>
      <c r="J227" s="203"/>
      <c r="K227" s="193" t="s">
        <v>296</v>
      </c>
      <c r="L227" s="193" t="s">
        <v>297</v>
      </c>
      <c r="M227" s="201"/>
      <c r="N227" s="193" t="s">
        <v>557</v>
      </c>
      <c r="O227" s="185"/>
      <c r="P227" s="190">
        <v>2.54366051E8</v>
      </c>
      <c r="Q227" s="201"/>
      <c r="R227" s="193" t="s">
        <v>473</v>
      </c>
      <c r="S227" s="181" t="s">
        <v>259</v>
      </c>
    </row>
    <row r="228" ht="21.0" customHeight="1">
      <c r="A228" s="190">
        <v>227.0</v>
      </c>
      <c r="B228" s="191">
        <v>46309.0</v>
      </c>
      <c r="C228" s="192">
        <v>0.8701388888888889</v>
      </c>
      <c r="D228" s="190">
        <v>6.156487883E9</v>
      </c>
      <c r="E228" s="193" t="s">
        <v>200</v>
      </c>
      <c r="F228" s="194" t="s">
        <v>254</v>
      </c>
      <c r="G228" s="195">
        <v>80000.0</v>
      </c>
      <c r="H228" s="194" t="s">
        <v>255</v>
      </c>
      <c r="I228" s="202"/>
      <c r="J228" s="203"/>
      <c r="K228" s="193" t="s">
        <v>256</v>
      </c>
      <c r="L228" s="193" t="s">
        <v>257</v>
      </c>
      <c r="M228" s="201"/>
      <c r="N228" s="193" t="s">
        <v>841</v>
      </c>
      <c r="O228" s="185"/>
      <c r="P228" s="190">
        <v>6.156487883E9</v>
      </c>
      <c r="Q228" s="201"/>
      <c r="R228" s="193"/>
      <c r="S228" s="181" t="s">
        <v>259</v>
      </c>
    </row>
    <row r="229" ht="21.0" customHeight="1">
      <c r="A229" s="190">
        <v>228.0</v>
      </c>
      <c r="B229" s="191">
        <v>46309.0</v>
      </c>
      <c r="C229" s="192">
        <v>0.8847222222222222</v>
      </c>
      <c r="D229" s="190">
        <v>6.156487883E9</v>
      </c>
      <c r="E229" s="193" t="s">
        <v>200</v>
      </c>
      <c r="F229" s="194" t="s">
        <v>254</v>
      </c>
      <c r="G229" s="195">
        <v>200000.0</v>
      </c>
      <c r="H229" s="194" t="s">
        <v>255</v>
      </c>
      <c r="I229" s="202"/>
      <c r="J229" s="203"/>
      <c r="K229" s="193" t="s">
        <v>256</v>
      </c>
      <c r="L229" s="193" t="s">
        <v>257</v>
      </c>
      <c r="M229" s="201">
        <v>395.0</v>
      </c>
      <c r="N229" s="193" t="s">
        <v>842</v>
      </c>
      <c r="O229" s="185"/>
      <c r="P229" s="190">
        <v>6.156487883E9</v>
      </c>
      <c r="Q229" s="201"/>
      <c r="R229" s="193"/>
      <c r="S229" s="181" t="s">
        <v>259</v>
      </c>
    </row>
    <row r="230" ht="21.0" customHeight="1">
      <c r="A230" s="190">
        <v>229.0</v>
      </c>
      <c r="B230" s="191">
        <v>46309.0</v>
      </c>
      <c r="C230" s="192">
        <v>0.8861111111111111</v>
      </c>
      <c r="D230" s="190">
        <v>6.156487883E9</v>
      </c>
      <c r="E230" s="193" t="s">
        <v>200</v>
      </c>
      <c r="F230" s="194" t="s">
        <v>254</v>
      </c>
      <c r="G230" s="195">
        <v>40000.0</v>
      </c>
      <c r="H230" s="194" t="s">
        <v>255</v>
      </c>
      <c r="I230" s="202"/>
      <c r="J230" s="203"/>
      <c r="K230" s="193" t="s">
        <v>372</v>
      </c>
      <c r="L230" s="193" t="s">
        <v>373</v>
      </c>
      <c r="M230" s="201">
        <v>383.0</v>
      </c>
      <c r="N230" s="193" t="s">
        <v>843</v>
      </c>
      <c r="O230" s="185"/>
      <c r="P230" s="190">
        <v>6.156487883E9</v>
      </c>
      <c r="Q230" s="201"/>
      <c r="R230" s="193"/>
      <c r="S230" s="181" t="s">
        <v>259</v>
      </c>
    </row>
    <row r="231" ht="21.0" customHeight="1">
      <c r="A231" s="190">
        <v>230.0</v>
      </c>
      <c r="B231" s="191">
        <v>46309.0</v>
      </c>
      <c r="C231" s="192">
        <v>0.8993055555555556</v>
      </c>
      <c r="D231" s="190">
        <v>6.156487883E9</v>
      </c>
      <c r="E231" s="193" t="s">
        <v>200</v>
      </c>
      <c r="F231" s="194" t="s">
        <v>254</v>
      </c>
      <c r="G231" s="195">
        <v>80000.0</v>
      </c>
      <c r="H231" s="194" t="s">
        <v>255</v>
      </c>
      <c r="I231" s="202"/>
      <c r="J231" s="203"/>
      <c r="K231" s="193" t="s">
        <v>256</v>
      </c>
      <c r="L231" s="193" t="s">
        <v>257</v>
      </c>
      <c r="M231" s="201">
        <v>388.0</v>
      </c>
      <c r="N231" s="193" t="s">
        <v>844</v>
      </c>
      <c r="O231" s="185"/>
      <c r="P231" s="190">
        <v>6.156487883E9</v>
      </c>
      <c r="Q231" s="201"/>
      <c r="R231" s="193"/>
      <c r="S231" s="181" t="s">
        <v>259</v>
      </c>
    </row>
    <row r="232" ht="21.0" customHeight="1">
      <c r="A232" s="190">
        <v>231.0</v>
      </c>
      <c r="B232" s="191">
        <v>46309.0</v>
      </c>
      <c r="C232" s="192">
        <v>0.9159722222222222</v>
      </c>
      <c r="D232" s="190">
        <v>2.54366051E8</v>
      </c>
      <c r="E232" s="193" t="s">
        <v>8</v>
      </c>
      <c r="F232" s="194" t="s">
        <v>254</v>
      </c>
      <c r="G232" s="195">
        <v>202000.0</v>
      </c>
      <c r="H232" s="194" t="s">
        <v>255</v>
      </c>
      <c r="I232" s="202"/>
      <c r="J232" s="203"/>
      <c r="K232" s="193" t="s">
        <v>266</v>
      </c>
      <c r="L232" s="193" t="s">
        <v>267</v>
      </c>
      <c r="M232" s="201"/>
      <c r="N232" s="193" t="s">
        <v>365</v>
      </c>
      <c r="O232" s="185"/>
      <c r="P232" s="190">
        <v>2.54366051E8</v>
      </c>
      <c r="Q232" s="201"/>
      <c r="R232" s="193" t="s">
        <v>112</v>
      </c>
      <c r="S232" s="181" t="s">
        <v>269</v>
      </c>
    </row>
    <row r="233" ht="21.0" customHeight="1">
      <c r="A233" s="190">
        <v>232.0</v>
      </c>
      <c r="B233" s="191">
        <v>46309.0</v>
      </c>
      <c r="C233" s="192">
        <v>0.9479166666666666</v>
      </c>
      <c r="D233" s="190">
        <v>2.54366051E8</v>
      </c>
      <c r="E233" s="193" t="s">
        <v>8</v>
      </c>
      <c r="F233" s="194" t="s">
        <v>254</v>
      </c>
      <c r="G233" s="195">
        <v>100000.0</v>
      </c>
      <c r="H233" s="194" t="s">
        <v>255</v>
      </c>
      <c r="I233" s="202"/>
      <c r="J233" s="203"/>
      <c r="K233" s="193" t="s">
        <v>266</v>
      </c>
      <c r="L233" s="193" t="s">
        <v>267</v>
      </c>
      <c r="M233" s="201"/>
      <c r="N233" s="193" t="s">
        <v>365</v>
      </c>
      <c r="O233" s="185"/>
      <c r="P233" s="190">
        <v>2.54366051E8</v>
      </c>
      <c r="Q233" s="201"/>
      <c r="R233" s="193" t="s">
        <v>126</v>
      </c>
      <c r="S233" s="181" t="s">
        <v>269</v>
      </c>
    </row>
    <row r="234" ht="21.0" customHeight="1">
      <c r="A234" s="190">
        <v>233.0</v>
      </c>
      <c r="B234" s="191">
        <v>46309.0</v>
      </c>
      <c r="C234" s="192">
        <v>0.9729166666666667</v>
      </c>
      <c r="D234" s="190">
        <v>6.156487883E9</v>
      </c>
      <c r="E234" s="193" t="s">
        <v>200</v>
      </c>
      <c r="F234" s="194" t="s">
        <v>254</v>
      </c>
      <c r="G234" s="195">
        <v>20000.0</v>
      </c>
      <c r="H234" s="194" t="s">
        <v>255</v>
      </c>
      <c r="I234" s="202"/>
      <c r="J234" s="203"/>
      <c r="K234" s="193" t="s">
        <v>372</v>
      </c>
      <c r="L234" s="193" t="s">
        <v>373</v>
      </c>
      <c r="M234" s="201">
        <v>395.0</v>
      </c>
      <c r="N234" s="193" t="s">
        <v>845</v>
      </c>
      <c r="O234" s="185"/>
      <c r="P234" s="190">
        <v>6.156487883E9</v>
      </c>
      <c r="Q234" s="201"/>
      <c r="R234" s="193"/>
      <c r="S234" s="181" t="s">
        <v>259</v>
      </c>
    </row>
    <row r="235" ht="21.0" customHeight="1">
      <c r="A235" s="190">
        <v>234.0</v>
      </c>
      <c r="B235" s="191">
        <v>46310.0</v>
      </c>
      <c r="C235" s="192">
        <v>0.5388888888888889</v>
      </c>
      <c r="D235" s="190">
        <v>2.54366051E8</v>
      </c>
      <c r="E235" s="193" t="s">
        <v>8</v>
      </c>
      <c r="F235" s="194" t="s">
        <v>254</v>
      </c>
      <c r="G235" s="195">
        <v>242000.0</v>
      </c>
      <c r="H235" s="194" t="s">
        <v>255</v>
      </c>
      <c r="I235" s="202"/>
      <c r="J235" s="203"/>
      <c r="K235" s="193" t="s">
        <v>342</v>
      </c>
      <c r="L235" s="193" t="s">
        <v>343</v>
      </c>
      <c r="M235" s="201">
        <v>395.0</v>
      </c>
      <c r="N235" s="193" t="s">
        <v>846</v>
      </c>
      <c r="O235" s="185"/>
      <c r="P235" s="190">
        <v>2.54366051E8</v>
      </c>
      <c r="Q235" s="201"/>
      <c r="R235" s="193"/>
      <c r="S235" s="181" t="s">
        <v>259</v>
      </c>
    </row>
    <row r="236" ht="21.0" customHeight="1">
      <c r="A236" s="190">
        <v>235.0</v>
      </c>
      <c r="B236" s="191">
        <v>46310.0</v>
      </c>
      <c r="C236" s="192">
        <v>0.55</v>
      </c>
      <c r="D236" s="190">
        <v>2.54366051E8</v>
      </c>
      <c r="E236" s="193" t="s">
        <v>8</v>
      </c>
      <c r="F236" s="194" t="s">
        <v>254</v>
      </c>
      <c r="G236" s="195">
        <v>353000.0</v>
      </c>
      <c r="H236" s="194" t="s">
        <v>255</v>
      </c>
      <c r="I236" s="202"/>
      <c r="J236" s="203"/>
      <c r="K236" s="193" t="s">
        <v>296</v>
      </c>
      <c r="L236" s="193" t="s">
        <v>297</v>
      </c>
      <c r="M236" s="201"/>
      <c r="N236" s="193" t="s">
        <v>329</v>
      </c>
      <c r="O236" s="185"/>
      <c r="P236" s="190">
        <v>2.54366051E8</v>
      </c>
      <c r="Q236" s="201"/>
      <c r="R236" s="193" t="s">
        <v>507</v>
      </c>
      <c r="S236" s="181" t="s">
        <v>259</v>
      </c>
    </row>
    <row r="237" ht="21.0" customHeight="1">
      <c r="A237" s="190">
        <v>236.0</v>
      </c>
      <c r="B237" s="191">
        <v>46310.0</v>
      </c>
      <c r="C237" s="192">
        <v>0.5506944444444445</v>
      </c>
      <c r="D237" s="190">
        <v>2.54366051E8</v>
      </c>
      <c r="E237" s="193" t="s">
        <v>8</v>
      </c>
      <c r="F237" s="194" t="s">
        <v>254</v>
      </c>
      <c r="G237" s="195">
        <v>35000.0</v>
      </c>
      <c r="H237" s="194" t="s">
        <v>255</v>
      </c>
      <c r="I237" s="202"/>
      <c r="J237" s="203"/>
      <c r="K237" s="193" t="s">
        <v>256</v>
      </c>
      <c r="L237" s="193" t="s">
        <v>257</v>
      </c>
      <c r="M237" s="201"/>
      <c r="N237" s="193" t="s">
        <v>285</v>
      </c>
      <c r="O237" s="185"/>
      <c r="P237" s="190">
        <v>2.54366051E8</v>
      </c>
      <c r="Q237" s="201"/>
      <c r="R237" s="193"/>
      <c r="S237" s="181" t="s">
        <v>259</v>
      </c>
    </row>
    <row r="238" ht="21.0" customHeight="1">
      <c r="A238" s="190">
        <v>237.0</v>
      </c>
      <c r="B238" s="191">
        <v>46310.0</v>
      </c>
      <c r="C238" s="192">
        <v>0.5708333333333333</v>
      </c>
      <c r="D238" s="190">
        <v>6.156487883E9</v>
      </c>
      <c r="E238" s="193" t="s">
        <v>200</v>
      </c>
      <c r="F238" s="194" t="s">
        <v>254</v>
      </c>
      <c r="G238" s="195">
        <v>200000.0</v>
      </c>
      <c r="H238" s="194" t="s">
        <v>255</v>
      </c>
      <c r="I238" s="202"/>
      <c r="J238" s="203"/>
      <c r="K238" s="193" t="s">
        <v>256</v>
      </c>
      <c r="L238" s="193" t="s">
        <v>257</v>
      </c>
      <c r="M238" s="201">
        <v>395.0</v>
      </c>
      <c r="N238" s="193" t="s">
        <v>847</v>
      </c>
      <c r="O238" s="185"/>
      <c r="P238" s="190">
        <v>6.156487883E9</v>
      </c>
      <c r="Q238" s="201"/>
      <c r="R238" s="193"/>
      <c r="S238" s="181" t="s">
        <v>259</v>
      </c>
    </row>
    <row r="239" ht="21.0" customHeight="1">
      <c r="A239" s="190">
        <v>238.0</v>
      </c>
      <c r="B239" s="191">
        <v>46310.0</v>
      </c>
      <c r="C239" s="192">
        <v>0.5972222222222222</v>
      </c>
      <c r="D239" s="190">
        <v>4.43142649E8</v>
      </c>
      <c r="E239" s="193" t="s">
        <v>260</v>
      </c>
      <c r="F239" s="194" t="s">
        <v>270</v>
      </c>
      <c r="G239" s="195">
        <v>5.98158E7</v>
      </c>
      <c r="H239" s="194" t="s">
        <v>263</v>
      </c>
      <c r="I239" s="202">
        <v>5000.0</v>
      </c>
      <c r="J239" s="203">
        <v>11963.16</v>
      </c>
      <c r="K239" s="193" t="s">
        <v>848</v>
      </c>
      <c r="L239" s="193" t="s">
        <v>849</v>
      </c>
      <c r="M239" s="201">
        <v>391.0</v>
      </c>
      <c r="N239" s="193" t="s">
        <v>850</v>
      </c>
      <c r="O239" s="185"/>
      <c r="P239" s="190">
        <v>4.43142649E8</v>
      </c>
      <c r="Q239" s="201"/>
      <c r="R239" s="193"/>
      <c r="S239" s="181" t="s">
        <v>259</v>
      </c>
    </row>
    <row r="240" ht="21.0" customHeight="1">
      <c r="A240" s="190">
        <v>239.0</v>
      </c>
      <c r="B240" s="191">
        <v>46310.0</v>
      </c>
      <c r="C240" s="192">
        <v>0.6006944444444444</v>
      </c>
      <c r="D240" s="190">
        <v>4.43142649E8</v>
      </c>
      <c r="E240" s="193" t="s">
        <v>260</v>
      </c>
      <c r="F240" s="194" t="s">
        <v>254</v>
      </c>
      <c r="G240" s="195">
        <v>7177896.0</v>
      </c>
      <c r="H240" s="194" t="s">
        <v>263</v>
      </c>
      <c r="I240" s="202">
        <v>600.0</v>
      </c>
      <c r="J240" s="203">
        <v>11963.16</v>
      </c>
      <c r="K240" s="193" t="s">
        <v>323</v>
      </c>
      <c r="L240" s="193" t="s">
        <v>324</v>
      </c>
      <c r="M240" s="201">
        <v>383.0</v>
      </c>
      <c r="N240" s="193" t="s">
        <v>851</v>
      </c>
      <c r="O240" s="185"/>
      <c r="P240" s="190">
        <v>4.43142649E8</v>
      </c>
      <c r="Q240" s="201"/>
      <c r="R240" s="193"/>
      <c r="S240" s="181" t="s">
        <v>259</v>
      </c>
    </row>
    <row r="241" ht="21.0" customHeight="1">
      <c r="A241" s="190">
        <v>240.0</v>
      </c>
      <c r="B241" s="191">
        <v>46310.0</v>
      </c>
      <c r="C241" s="192">
        <v>0.6013888888888889</v>
      </c>
      <c r="D241" s="190">
        <v>6.156487883E9</v>
      </c>
      <c r="E241" s="193" t="s">
        <v>200</v>
      </c>
      <c r="F241" s="194" t="s">
        <v>270</v>
      </c>
      <c r="G241" s="195">
        <v>1190000.0</v>
      </c>
      <c r="H241" s="194" t="s">
        <v>255</v>
      </c>
      <c r="I241" s="202"/>
      <c r="J241" s="203"/>
      <c r="K241" s="193" t="s">
        <v>271</v>
      </c>
      <c r="L241" s="193" t="s">
        <v>272</v>
      </c>
      <c r="M241" s="201"/>
      <c r="N241" s="193" t="s">
        <v>852</v>
      </c>
      <c r="O241" s="185"/>
      <c r="P241" s="190">
        <v>4.43142649E8</v>
      </c>
      <c r="Q241" s="201"/>
      <c r="R241" s="193"/>
      <c r="S241" s="181" t="s">
        <v>259</v>
      </c>
    </row>
    <row r="242" ht="21.0" customHeight="1">
      <c r="A242" s="190">
        <v>241.0</v>
      </c>
      <c r="B242" s="191">
        <v>46310.0</v>
      </c>
      <c r="C242" s="192">
        <v>0.6520833333333333</v>
      </c>
      <c r="D242" s="190">
        <v>2.54366051E8</v>
      </c>
      <c r="E242" s="193" t="s">
        <v>8</v>
      </c>
      <c r="F242" s="194" t="s">
        <v>270</v>
      </c>
      <c r="G242" s="195">
        <v>1790000.0</v>
      </c>
      <c r="H242" s="194" t="s">
        <v>255</v>
      </c>
      <c r="I242" s="202"/>
      <c r="J242" s="203"/>
      <c r="K242" s="193" t="s">
        <v>271</v>
      </c>
      <c r="L242" s="193" t="s">
        <v>272</v>
      </c>
      <c r="M242" s="201"/>
      <c r="N242" s="193" t="s">
        <v>853</v>
      </c>
      <c r="O242" s="185"/>
      <c r="P242" s="190">
        <v>4.43142649E8</v>
      </c>
      <c r="Q242" s="201"/>
      <c r="R242" s="193"/>
      <c r="S242" s="181" t="s">
        <v>259</v>
      </c>
    </row>
    <row r="243" ht="21.0" customHeight="1">
      <c r="A243" s="190">
        <v>242.0</v>
      </c>
      <c r="B243" s="191">
        <v>46310.0</v>
      </c>
      <c r="C243" s="192">
        <v>0.6680555555555555</v>
      </c>
      <c r="D243" s="190">
        <v>2.54366051E8</v>
      </c>
      <c r="E243" s="193" t="s">
        <v>8</v>
      </c>
      <c r="F243" s="194" t="s">
        <v>254</v>
      </c>
      <c r="G243" s="195">
        <v>559000.0</v>
      </c>
      <c r="H243" s="194" t="s">
        <v>255</v>
      </c>
      <c r="I243" s="202"/>
      <c r="J243" s="203"/>
      <c r="K243" s="193" t="s">
        <v>323</v>
      </c>
      <c r="L243" s="193" t="s">
        <v>324</v>
      </c>
      <c r="M243" s="201">
        <v>391.0</v>
      </c>
      <c r="N243" s="193" t="s">
        <v>854</v>
      </c>
      <c r="O243" s="185"/>
      <c r="P243" s="190">
        <v>2.54366051E8</v>
      </c>
      <c r="Q243" s="201"/>
      <c r="R243" s="193"/>
      <c r="S243" s="181" t="s">
        <v>259</v>
      </c>
    </row>
    <row r="244" ht="21.0" customHeight="1">
      <c r="A244" s="190">
        <v>243.0</v>
      </c>
      <c r="B244" s="191">
        <v>46310.0</v>
      </c>
      <c r="C244" s="192">
        <v>0.66875</v>
      </c>
      <c r="D244" s="190">
        <v>6.156487883E9</v>
      </c>
      <c r="E244" s="193" t="s">
        <v>200</v>
      </c>
      <c r="F244" s="194" t="s">
        <v>254</v>
      </c>
      <c r="G244" s="195">
        <v>50000.0</v>
      </c>
      <c r="H244" s="194" t="s">
        <v>255</v>
      </c>
      <c r="I244" s="202"/>
      <c r="J244" s="203"/>
      <c r="K244" s="193" t="s">
        <v>256</v>
      </c>
      <c r="L244" s="193" t="s">
        <v>257</v>
      </c>
      <c r="M244" s="201">
        <v>388.0</v>
      </c>
      <c r="N244" s="193" t="s">
        <v>547</v>
      </c>
      <c r="O244" s="185"/>
      <c r="P244" s="190">
        <v>6.156487883E9</v>
      </c>
      <c r="Q244" s="201"/>
      <c r="R244" s="193"/>
      <c r="S244" s="181" t="s">
        <v>259</v>
      </c>
    </row>
    <row r="245" ht="21.0" customHeight="1">
      <c r="A245" s="190">
        <v>244.0</v>
      </c>
      <c r="B245" s="191">
        <v>46310.0</v>
      </c>
      <c r="C245" s="192">
        <v>0.6715277777777777</v>
      </c>
      <c r="D245" s="190">
        <v>6.156487883E9</v>
      </c>
      <c r="E245" s="193" t="s">
        <v>200</v>
      </c>
      <c r="F245" s="194" t="s">
        <v>254</v>
      </c>
      <c r="G245" s="195">
        <v>80000.0</v>
      </c>
      <c r="H245" s="194" t="s">
        <v>255</v>
      </c>
      <c r="I245" s="202"/>
      <c r="J245" s="203"/>
      <c r="K245" s="193" t="s">
        <v>256</v>
      </c>
      <c r="L245" s="193" t="s">
        <v>257</v>
      </c>
      <c r="M245" s="201">
        <v>395.0</v>
      </c>
      <c r="N245" s="193" t="s">
        <v>855</v>
      </c>
      <c r="O245" s="185"/>
      <c r="P245" s="190">
        <v>6.156487883E9</v>
      </c>
      <c r="Q245" s="201"/>
      <c r="R245" s="193"/>
      <c r="S245" s="181" t="s">
        <v>259</v>
      </c>
    </row>
    <row r="246" ht="21.0" customHeight="1">
      <c r="A246" s="190">
        <v>245.0</v>
      </c>
      <c r="B246" s="191">
        <v>46310.0</v>
      </c>
      <c r="C246" s="192">
        <v>0.7479166666666667</v>
      </c>
      <c r="D246" s="190">
        <v>6.156487883E9</v>
      </c>
      <c r="E246" s="193" t="s">
        <v>200</v>
      </c>
      <c r="F246" s="194" t="s">
        <v>254</v>
      </c>
      <c r="G246" s="195">
        <v>82000.0</v>
      </c>
      <c r="H246" s="194" t="s">
        <v>255</v>
      </c>
      <c r="I246" s="202"/>
      <c r="J246" s="203"/>
      <c r="K246" s="193" t="s">
        <v>372</v>
      </c>
      <c r="L246" s="193" t="s">
        <v>373</v>
      </c>
      <c r="M246" s="201">
        <v>388.0</v>
      </c>
      <c r="N246" s="193" t="s">
        <v>856</v>
      </c>
      <c r="O246" s="185"/>
      <c r="P246" s="190">
        <v>6.156487883E9</v>
      </c>
      <c r="Q246" s="201"/>
      <c r="R246" s="193"/>
      <c r="S246" s="181" t="s">
        <v>259</v>
      </c>
    </row>
    <row r="247" ht="21.0" customHeight="1">
      <c r="A247" s="190">
        <v>246.0</v>
      </c>
      <c r="B247" s="191">
        <v>46310.0</v>
      </c>
      <c r="C247" s="192">
        <v>0.7493055555555556</v>
      </c>
      <c r="D247" s="190">
        <v>2.54366051E8</v>
      </c>
      <c r="E247" s="193" t="s">
        <v>8</v>
      </c>
      <c r="F247" s="194" t="s">
        <v>254</v>
      </c>
      <c r="G247" s="195">
        <v>39000.0</v>
      </c>
      <c r="H247" s="194" t="s">
        <v>255</v>
      </c>
      <c r="I247" s="202"/>
      <c r="J247" s="203"/>
      <c r="K247" s="193" t="s">
        <v>323</v>
      </c>
      <c r="L247" s="193" t="s">
        <v>324</v>
      </c>
      <c r="M247" s="201">
        <v>388.0</v>
      </c>
      <c r="N247" s="193" t="s">
        <v>857</v>
      </c>
      <c r="O247" s="185"/>
      <c r="P247" s="190">
        <v>2.54366051E8</v>
      </c>
      <c r="Q247" s="201"/>
      <c r="R247" s="193"/>
      <c r="S247" s="181" t="s">
        <v>259</v>
      </c>
    </row>
    <row r="248" ht="21.0" customHeight="1">
      <c r="A248" s="190">
        <v>247.0</v>
      </c>
      <c r="B248" s="191">
        <v>46310.0</v>
      </c>
      <c r="C248" s="192">
        <v>0.7604166666666666</v>
      </c>
      <c r="D248" s="190">
        <v>6.156487883E9</v>
      </c>
      <c r="E248" s="193" t="s">
        <v>200</v>
      </c>
      <c r="F248" s="194" t="s">
        <v>254</v>
      </c>
      <c r="G248" s="195">
        <v>20000.0</v>
      </c>
      <c r="H248" s="194" t="s">
        <v>255</v>
      </c>
      <c r="I248" s="202"/>
      <c r="J248" s="203"/>
      <c r="K248" s="193" t="s">
        <v>814</v>
      </c>
      <c r="L248" s="193" t="s">
        <v>815</v>
      </c>
      <c r="M248" s="201"/>
      <c r="N248" s="193" t="s">
        <v>858</v>
      </c>
      <c r="O248" s="185"/>
      <c r="P248" s="190">
        <v>6.156487883E9</v>
      </c>
      <c r="Q248" s="201"/>
      <c r="R248" s="193"/>
      <c r="S248" s="181" t="s">
        <v>259</v>
      </c>
    </row>
    <row r="249" ht="21.0" customHeight="1">
      <c r="A249" s="190">
        <v>248.0</v>
      </c>
      <c r="B249" s="191">
        <v>46310.0</v>
      </c>
      <c r="C249" s="192">
        <v>0.8229166666666666</v>
      </c>
      <c r="D249" s="190">
        <v>2.54366051E8</v>
      </c>
      <c r="E249" s="193" t="s">
        <v>8</v>
      </c>
      <c r="F249" s="194" t="s">
        <v>254</v>
      </c>
      <c r="G249" s="195">
        <v>44000.0</v>
      </c>
      <c r="H249" s="194" t="s">
        <v>255</v>
      </c>
      <c r="I249" s="202"/>
      <c r="J249" s="203"/>
      <c r="K249" s="193" t="s">
        <v>323</v>
      </c>
      <c r="L249" s="193" t="s">
        <v>324</v>
      </c>
      <c r="M249" s="201">
        <v>388.0</v>
      </c>
      <c r="N249" s="193" t="s">
        <v>859</v>
      </c>
      <c r="O249" s="185"/>
      <c r="P249" s="190">
        <v>2.54366051E8</v>
      </c>
      <c r="Q249" s="201"/>
      <c r="R249" s="193"/>
      <c r="S249" s="181" t="s">
        <v>259</v>
      </c>
    </row>
    <row r="250" ht="21.0" customHeight="1">
      <c r="A250" s="190">
        <v>249.0</v>
      </c>
      <c r="B250" s="191">
        <v>46310.0</v>
      </c>
      <c r="C250" s="192">
        <v>0.8729166666666667</v>
      </c>
      <c r="D250" s="190">
        <v>6.156487883E9</v>
      </c>
      <c r="E250" s="193" t="s">
        <v>200</v>
      </c>
      <c r="F250" s="194" t="s">
        <v>254</v>
      </c>
      <c r="G250" s="195">
        <v>80000.0</v>
      </c>
      <c r="H250" s="194" t="s">
        <v>255</v>
      </c>
      <c r="I250" s="202"/>
      <c r="J250" s="203"/>
      <c r="K250" s="193" t="s">
        <v>256</v>
      </c>
      <c r="L250" s="193" t="s">
        <v>257</v>
      </c>
      <c r="M250" s="201">
        <v>388.0</v>
      </c>
      <c r="N250" s="193" t="s">
        <v>860</v>
      </c>
      <c r="O250" s="185"/>
      <c r="P250" s="190">
        <v>6.156487883E9</v>
      </c>
      <c r="Q250" s="201"/>
      <c r="R250" s="193"/>
      <c r="S250" s="181" t="s">
        <v>259</v>
      </c>
    </row>
    <row r="251" ht="21.0" customHeight="1">
      <c r="A251" s="190">
        <v>250.0</v>
      </c>
      <c r="B251" s="191">
        <v>46310.0</v>
      </c>
      <c r="C251" s="192">
        <v>0.875</v>
      </c>
      <c r="D251" s="190">
        <v>6.156487883E9</v>
      </c>
      <c r="E251" s="193" t="s">
        <v>200</v>
      </c>
      <c r="F251" s="194" t="s">
        <v>254</v>
      </c>
      <c r="G251" s="195">
        <v>40000.0</v>
      </c>
      <c r="H251" s="194" t="s">
        <v>255</v>
      </c>
      <c r="I251" s="202"/>
      <c r="J251" s="203"/>
      <c r="K251" s="193" t="s">
        <v>256</v>
      </c>
      <c r="L251" s="193" t="s">
        <v>257</v>
      </c>
      <c r="M251" s="201">
        <v>388.0</v>
      </c>
      <c r="N251" s="193" t="s">
        <v>861</v>
      </c>
      <c r="O251" s="185"/>
      <c r="P251" s="190">
        <v>6.156487883E9</v>
      </c>
      <c r="Q251" s="201"/>
      <c r="R251" s="193"/>
      <c r="S251" s="181" t="s">
        <v>259</v>
      </c>
    </row>
    <row r="252" ht="21.0" customHeight="1">
      <c r="A252" s="190">
        <v>251.0</v>
      </c>
      <c r="B252" s="191">
        <v>46310.0</v>
      </c>
      <c r="C252" s="192">
        <v>0.8819444444444444</v>
      </c>
      <c r="D252" s="190">
        <v>6.156487883E9</v>
      </c>
      <c r="E252" s="193" t="s">
        <v>200</v>
      </c>
      <c r="F252" s="194" t="s">
        <v>254</v>
      </c>
      <c r="G252" s="195">
        <v>240000.0</v>
      </c>
      <c r="H252" s="194" t="s">
        <v>255</v>
      </c>
      <c r="I252" s="202"/>
      <c r="J252" s="203"/>
      <c r="K252" s="193" t="s">
        <v>256</v>
      </c>
      <c r="L252" s="193" t="s">
        <v>257</v>
      </c>
      <c r="M252" s="201">
        <v>395.0</v>
      </c>
      <c r="N252" s="193" t="s">
        <v>862</v>
      </c>
      <c r="O252" s="185"/>
      <c r="P252" s="190">
        <v>6.156487883E9</v>
      </c>
      <c r="Q252" s="201"/>
      <c r="R252" s="193"/>
      <c r="S252" s="181" t="s">
        <v>259</v>
      </c>
    </row>
    <row r="253" ht="21.0" customHeight="1">
      <c r="A253" s="190">
        <v>252.0</v>
      </c>
      <c r="B253" s="191">
        <v>46310.0</v>
      </c>
      <c r="C253" s="192">
        <v>0.9611111111111111</v>
      </c>
      <c r="D253" s="190">
        <v>4.43142649E8</v>
      </c>
      <c r="E253" s="193" t="s">
        <v>260</v>
      </c>
      <c r="F253" s="194" t="s">
        <v>254</v>
      </c>
      <c r="G253" s="195">
        <v>35000.0</v>
      </c>
      <c r="H253" s="194" t="s">
        <v>255</v>
      </c>
      <c r="I253" s="202"/>
      <c r="J253" s="203"/>
      <c r="K253" s="193" t="s">
        <v>455</v>
      </c>
      <c r="L253" s="193" t="s">
        <v>456</v>
      </c>
      <c r="M253" s="201"/>
      <c r="N253" s="193" t="s">
        <v>863</v>
      </c>
      <c r="O253" s="185"/>
      <c r="P253" s="190">
        <v>4.43142649E8</v>
      </c>
      <c r="Q253" s="201"/>
      <c r="R253" s="193"/>
      <c r="S253" s="181" t="s">
        <v>259</v>
      </c>
    </row>
    <row r="254" ht="21.0" customHeight="1">
      <c r="A254" s="190">
        <v>253.0</v>
      </c>
      <c r="B254" s="191">
        <v>46311.0</v>
      </c>
      <c r="C254" s="192">
        <v>0.004166666666666667</v>
      </c>
      <c r="D254" s="190">
        <v>4.43142649E8</v>
      </c>
      <c r="E254" s="193" t="s">
        <v>260</v>
      </c>
      <c r="F254" s="194" t="s">
        <v>254</v>
      </c>
      <c r="G254" s="195">
        <v>130000.0</v>
      </c>
      <c r="H254" s="194" t="s">
        <v>255</v>
      </c>
      <c r="I254" s="202"/>
      <c r="J254" s="203"/>
      <c r="K254" s="193" t="s">
        <v>455</v>
      </c>
      <c r="L254" s="193" t="s">
        <v>456</v>
      </c>
      <c r="M254" s="201"/>
      <c r="N254" s="193" t="s">
        <v>840</v>
      </c>
      <c r="O254" s="185"/>
      <c r="P254" s="190">
        <v>4.43142649E8</v>
      </c>
      <c r="Q254" s="201"/>
      <c r="R254" s="193"/>
      <c r="S254" s="181" t="s">
        <v>259</v>
      </c>
    </row>
    <row r="255" ht="21.0" customHeight="1">
      <c r="A255" s="190">
        <v>254.0</v>
      </c>
      <c r="B255" s="191">
        <v>46311.0</v>
      </c>
      <c r="C255" s="192">
        <v>0.47291666666666665</v>
      </c>
      <c r="D255" s="190">
        <v>2.54366051E8</v>
      </c>
      <c r="E255" s="193" t="s">
        <v>8</v>
      </c>
      <c r="F255" s="194" t="s">
        <v>254</v>
      </c>
      <c r="G255" s="195">
        <v>50000.0</v>
      </c>
      <c r="H255" s="194" t="s">
        <v>255</v>
      </c>
      <c r="I255" s="202"/>
      <c r="J255" s="203"/>
      <c r="K255" s="193" t="s">
        <v>361</v>
      </c>
      <c r="L255" s="193" t="s">
        <v>362</v>
      </c>
      <c r="M255" s="201"/>
      <c r="N255" s="193" t="s">
        <v>864</v>
      </c>
      <c r="O255" s="185"/>
      <c r="P255" s="190">
        <v>2.54366051E8</v>
      </c>
      <c r="Q255" s="201"/>
      <c r="R255" s="193"/>
      <c r="S255" s="181" t="s">
        <v>259</v>
      </c>
    </row>
    <row r="256" ht="21.0" customHeight="1">
      <c r="A256" s="190">
        <v>255.0</v>
      </c>
      <c r="B256" s="191">
        <v>46311.0</v>
      </c>
      <c r="C256" s="192">
        <v>0.4736111111111111</v>
      </c>
      <c r="D256" s="190">
        <v>2.54366051E8</v>
      </c>
      <c r="E256" s="193" t="s">
        <v>8</v>
      </c>
      <c r="F256" s="194" t="s">
        <v>254</v>
      </c>
      <c r="G256" s="195">
        <v>48921.0</v>
      </c>
      <c r="H256" s="194" t="s">
        <v>255</v>
      </c>
      <c r="I256" s="202"/>
      <c r="J256" s="203"/>
      <c r="K256" s="193" t="s">
        <v>361</v>
      </c>
      <c r="L256" s="193" t="s">
        <v>362</v>
      </c>
      <c r="M256" s="201"/>
      <c r="N256" s="193" t="s">
        <v>865</v>
      </c>
      <c r="O256" s="185"/>
      <c r="P256" s="190">
        <v>2.54366051E8</v>
      </c>
      <c r="Q256" s="201"/>
      <c r="R256" s="193"/>
      <c r="S256" s="181" t="s">
        <v>259</v>
      </c>
    </row>
    <row r="257" ht="21.0" customHeight="1">
      <c r="A257" s="190">
        <v>256.0</v>
      </c>
      <c r="B257" s="191">
        <v>46311.0</v>
      </c>
      <c r="C257" s="192">
        <v>0.4930555555555556</v>
      </c>
      <c r="D257" s="190">
        <v>4.43142649E8</v>
      </c>
      <c r="E257" s="193" t="s">
        <v>260</v>
      </c>
      <c r="F257" s="194" t="s">
        <v>270</v>
      </c>
      <c r="G257" s="195">
        <v>1.23998E7</v>
      </c>
      <c r="H257" s="194" t="s">
        <v>263</v>
      </c>
      <c r="I257" s="202">
        <v>1042.0</v>
      </c>
      <c r="J257" s="203">
        <v>11900.0</v>
      </c>
      <c r="K257" s="193" t="s">
        <v>848</v>
      </c>
      <c r="L257" s="193" t="s">
        <v>849</v>
      </c>
      <c r="M257" s="201">
        <v>398.0</v>
      </c>
      <c r="N257" s="193" t="s">
        <v>866</v>
      </c>
      <c r="O257" s="185"/>
      <c r="P257" s="190">
        <v>4.43142649E8</v>
      </c>
      <c r="Q257" s="201"/>
      <c r="R257" s="193"/>
      <c r="S257" s="181" t="s">
        <v>259</v>
      </c>
    </row>
    <row r="258" ht="21.0" customHeight="1">
      <c r="A258" s="190">
        <v>257.0</v>
      </c>
      <c r="B258" s="191">
        <v>46311.0</v>
      </c>
      <c r="C258" s="192">
        <v>0.5020833333333333</v>
      </c>
      <c r="D258" s="190">
        <v>2.54366051E8</v>
      </c>
      <c r="E258" s="193" t="s">
        <v>8</v>
      </c>
      <c r="F258" s="194" t="s">
        <v>254</v>
      </c>
      <c r="G258" s="195">
        <v>165000.0</v>
      </c>
      <c r="H258" s="194" t="s">
        <v>255</v>
      </c>
      <c r="I258" s="202"/>
      <c r="J258" s="203"/>
      <c r="K258" s="193" t="s">
        <v>361</v>
      </c>
      <c r="L258" s="193" t="s">
        <v>362</v>
      </c>
      <c r="M258" s="201"/>
      <c r="N258" s="193" t="s">
        <v>867</v>
      </c>
      <c r="O258" s="185"/>
      <c r="P258" s="190">
        <v>2.54366051E8</v>
      </c>
      <c r="Q258" s="201"/>
      <c r="R258" s="193"/>
      <c r="S258" s="181" t="s">
        <v>259</v>
      </c>
    </row>
    <row r="259" ht="21.0" customHeight="1">
      <c r="A259" s="190">
        <v>258.0</v>
      </c>
      <c r="B259" s="191">
        <v>46311.0</v>
      </c>
      <c r="C259" s="192">
        <v>0.5034722222222222</v>
      </c>
      <c r="D259" s="190">
        <v>2.54366051E8</v>
      </c>
      <c r="E259" s="193" t="s">
        <v>8</v>
      </c>
      <c r="F259" s="194" t="s">
        <v>254</v>
      </c>
      <c r="G259" s="195">
        <v>86000.0</v>
      </c>
      <c r="H259" s="194" t="s">
        <v>255</v>
      </c>
      <c r="I259" s="202"/>
      <c r="J259" s="203"/>
      <c r="K259" s="193" t="s">
        <v>323</v>
      </c>
      <c r="L259" s="193" t="s">
        <v>324</v>
      </c>
      <c r="M259" s="201">
        <v>388.0</v>
      </c>
      <c r="N259" s="193" t="s">
        <v>868</v>
      </c>
      <c r="O259" s="185"/>
      <c r="P259" s="190">
        <v>2.54366051E8</v>
      </c>
      <c r="Q259" s="201"/>
      <c r="R259" s="193"/>
      <c r="S259" s="181" t="s">
        <v>259</v>
      </c>
    </row>
    <row r="260" ht="21.0" customHeight="1">
      <c r="A260" s="190">
        <v>259.0</v>
      </c>
      <c r="B260" s="191">
        <v>46311.0</v>
      </c>
      <c r="C260" s="192">
        <v>0.6097222222222223</v>
      </c>
      <c r="D260" s="190">
        <v>6.156487883E9</v>
      </c>
      <c r="E260" s="193" t="s">
        <v>200</v>
      </c>
      <c r="F260" s="194" t="s">
        <v>254</v>
      </c>
      <c r="G260" s="195">
        <v>80000.0</v>
      </c>
      <c r="H260" s="194" t="s">
        <v>255</v>
      </c>
      <c r="I260" s="202"/>
      <c r="J260" s="203"/>
      <c r="K260" s="193" t="s">
        <v>256</v>
      </c>
      <c r="L260" s="193" t="s">
        <v>257</v>
      </c>
      <c r="M260" s="201">
        <v>392.0</v>
      </c>
      <c r="N260" s="193" t="s">
        <v>869</v>
      </c>
      <c r="O260" s="185"/>
      <c r="P260" s="190">
        <v>6.156487883E9</v>
      </c>
      <c r="Q260" s="201"/>
      <c r="R260" s="193"/>
      <c r="S260" s="181" t="s">
        <v>259</v>
      </c>
    </row>
    <row r="261" ht="21.0" customHeight="1">
      <c r="A261" s="190">
        <v>260.0</v>
      </c>
      <c r="B261" s="191">
        <v>46311.0</v>
      </c>
      <c r="C261" s="192">
        <v>0.6097222222222223</v>
      </c>
      <c r="D261" s="190">
        <v>6.156487883E9</v>
      </c>
      <c r="E261" s="193" t="s">
        <v>200</v>
      </c>
      <c r="F261" s="194" t="s">
        <v>254</v>
      </c>
      <c r="G261" s="195">
        <v>45000.0</v>
      </c>
      <c r="H261" s="194" t="s">
        <v>255</v>
      </c>
      <c r="I261" s="202"/>
      <c r="J261" s="203"/>
      <c r="K261" s="193" t="s">
        <v>455</v>
      </c>
      <c r="L261" s="193" t="s">
        <v>456</v>
      </c>
      <c r="M261" s="201"/>
      <c r="N261" s="193" t="s">
        <v>870</v>
      </c>
      <c r="O261" s="185"/>
      <c r="P261" s="190">
        <v>6.156487883E9</v>
      </c>
      <c r="Q261" s="201"/>
      <c r="R261" s="193"/>
      <c r="S261" s="181" t="s">
        <v>259</v>
      </c>
    </row>
    <row r="262" ht="21.0" customHeight="1">
      <c r="A262" s="190">
        <v>261.0</v>
      </c>
      <c r="B262" s="191">
        <v>46311.0</v>
      </c>
      <c r="C262" s="192">
        <v>0.6111111111111112</v>
      </c>
      <c r="D262" s="190">
        <v>6.156487883E9</v>
      </c>
      <c r="E262" s="193" t="s">
        <v>200</v>
      </c>
      <c r="F262" s="194" t="s">
        <v>254</v>
      </c>
      <c r="G262" s="195">
        <v>80000.0</v>
      </c>
      <c r="H262" s="194" t="s">
        <v>255</v>
      </c>
      <c r="I262" s="202"/>
      <c r="J262" s="203"/>
      <c r="K262" s="193" t="s">
        <v>256</v>
      </c>
      <c r="L262" s="193" t="s">
        <v>257</v>
      </c>
      <c r="M262" s="201">
        <v>388.0</v>
      </c>
      <c r="N262" s="193" t="s">
        <v>869</v>
      </c>
      <c r="O262" s="185"/>
      <c r="P262" s="190">
        <v>6.156487883E9</v>
      </c>
      <c r="Q262" s="201"/>
      <c r="R262" s="193"/>
      <c r="S262" s="181" t="s">
        <v>259</v>
      </c>
    </row>
    <row r="263" ht="21.0" customHeight="1">
      <c r="A263" s="190">
        <v>262.0</v>
      </c>
      <c r="B263" s="191">
        <v>46311.0</v>
      </c>
      <c r="C263" s="192">
        <v>0.6138888888888889</v>
      </c>
      <c r="D263" s="190">
        <v>6.156487883E9</v>
      </c>
      <c r="E263" s="193" t="s">
        <v>200</v>
      </c>
      <c r="F263" s="194" t="s">
        <v>254</v>
      </c>
      <c r="G263" s="195">
        <v>40000.0</v>
      </c>
      <c r="H263" s="194" t="s">
        <v>255</v>
      </c>
      <c r="I263" s="202"/>
      <c r="J263" s="203"/>
      <c r="K263" s="193" t="s">
        <v>372</v>
      </c>
      <c r="L263" s="193" t="s">
        <v>373</v>
      </c>
      <c r="M263" s="201">
        <v>395.0</v>
      </c>
      <c r="N263" s="193" t="s">
        <v>845</v>
      </c>
      <c r="O263" s="185"/>
      <c r="P263" s="190">
        <v>6.156487883E9</v>
      </c>
      <c r="Q263" s="201"/>
      <c r="R263" s="193"/>
      <c r="S263" s="181" t="s">
        <v>259</v>
      </c>
    </row>
    <row r="264" ht="21.0" customHeight="1">
      <c r="A264" s="190">
        <v>263.0</v>
      </c>
      <c r="B264" s="191">
        <v>46311.0</v>
      </c>
      <c r="C264" s="192">
        <v>0.6451388888888889</v>
      </c>
      <c r="D264" s="190">
        <v>6.156487883E9</v>
      </c>
      <c r="E264" s="193" t="s">
        <v>200</v>
      </c>
      <c r="F264" s="194" t="s">
        <v>254</v>
      </c>
      <c r="G264" s="195">
        <v>110000.0</v>
      </c>
      <c r="H264" s="194" t="s">
        <v>255</v>
      </c>
      <c r="I264" s="202"/>
      <c r="J264" s="203"/>
      <c r="K264" s="193" t="s">
        <v>455</v>
      </c>
      <c r="L264" s="193" t="s">
        <v>456</v>
      </c>
      <c r="M264" s="201"/>
      <c r="N264" s="193" t="s">
        <v>871</v>
      </c>
      <c r="O264" s="185"/>
      <c r="P264" s="190">
        <v>6.156487883E9</v>
      </c>
      <c r="Q264" s="201"/>
      <c r="R264" s="193"/>
      <c r="S264" s="181" t="s">
        <v>259</v>
      </c>
    </row>
    <row r="265" ht="21.0" customHeight="1">
      <c r="A265" s="190">
        <v>264.0</v>
      </c>
      <c r="B265" s="191">
        <v>46311.0</v>
      </c>
      <c r="C265" s="192">
        <v>0.6465277777777778</v>
      </c>
      <c r="D265" s="190">
        <v>4.43142649E8</v>
      </c>
      <c r="E265" s="193" t="s">
        <v>260</v>
      </c>
      <c r="F265" s="194" t="s">
        <v>254</v>
      </c>
      <c r="G265" s="195">
        <v>200000.0</v>
      </c>
      <c r="H265" s="194" t="s">
        <v>255</v>
      </c>
      <c r="I265" s="202"/>
      <c r="J265" s="203"/>
      <c r="K265" s="193" t="s">
        <v>664</v>
      </c>
      <c r="L265" s="193" t="s">
        <v>667</v>
      </c>
      <c r="M265" s="201"/>
      <c r="N265" s="193" t="s">
        <v>872</v>
      </c>
      <c r="O265" s="185"/>
      <c r="P265" s="190">
        <v>4.43142649E8</v>
      </c>
      <c r="Q265" s="201"/>
      <c r="R265" s="193"/>
      <c r="S265" s="181" t="s">
        <v>259</v>
      </c>
    </row>
    <row r="266" ht="21.0" customHeight="1">
      <c r="A266" s="190">
        <v>265.0</v>
      </c>
      <c r="B266" s="191">
        <v>46311.0</v>
      </c>
      <c r="C266" s="192">
        <v>0.6701388888888888</v>
      </c>
      <c r="D266" s="190">
        <v>4.43142649E8</v>
      </c>
      <c r="E266" s="193" t="s">
        <v>260</v>
      </c>
      <c r="F266" s="194" t="s">
        <v>270</v>
      </c>
      <c r="G266" s="195">
        <v>6.005825E7</v>
      </c>
      <c r="H266" s="194" t="s">
        <v>263</v>
      </c>
      <c r="I266" s="202">
        <v>5000.0</v>
      </c>
      <c r="J266" s="203">
        <v>12011.65</v>
      </c>
      <c r="K266" s="193" t="s">
        <v>558</v>
      </c>
      <c r="L266" s="193" t="s">
        <v>559</v>
      </c>
      <c r="M266" s="201">
        <v>383.0</v>
      </c>
      <c r="N266" s="193" t="s">
        <v>873</v>
      </c>
      <c r="O266" s="185"/>
      <c r="P266" s="190">
        <v>4.43142649E8</v>
      </c>
      <c r="Q266" s="201"/>
      <c r="R266" s="193"/>
      <c r="S266" s="181" t="s">
        <v>259</v>
      </c>
    </row>
    <row r="267" ht="21.0" customHeight="1">
      <c r="A267" s="190">
        <v>266.0</v>
      </c>
      <c r="B267" s="191">
        <v>46311.0</v>
      </c>
      <c r="C267" s="192">
        <v>0.7493055555555556</v>
      </c>
      <c r="D267" s="190">
        <v>4.43142649E8</v>
      </c>
      <c r="E267" s="193" t="s">
        <v>260</v>
      </c>
      <c r="F267" s="194" t="s">
        <v>270</v>
      </c>
      <c r="G267" s="195">
        <v>6.6064075E7</v>
      </c>
      <c r="H267" s="194" t="s">
        <v>263</v>
      </c>
      <c r="I267" s="202">
        <v>5500.0</v>
      </c>
      <c r="J267" s="203">
        <v>12011.65</v>
      </c>
      <c r="K267" s="193" t="s">
        <v>558</v>
      </c>
      <c r="L267" s="193" t="s">
        <v>559</v>
      </c>
      <c r="M267" s="201">
        <v>401.0</v>
      </c>
      <c r="N267" s="193" t="s">
        <v>874</v>
      </c>
      <c r="O267" s="185"/>
      <c r="P267" s="190">
        <v>4.43142649E8</v>
      </c>
      <c r="Q267" s="201"/>
      <c r="R267" s="193"/>
      <c r="S267" s="181" t="s">
        <v>259</v>
      </c>
    </row>
    <row r="268" ht="21.0" customHeight="1">
      <c r="A268" s="190">
        <v>267.0</v>
      </c>
      <c r="B268" s="191">
        <v>46311.0</v>
      </c>
      <c r="C268" s="192">
        <v>0.7555555555555555</v>
      </c>
      <c r="D268" s="190">
        <v>4.43142649E8</v>
      </c>
      <c r="E268" s="193" t="s">
        <v>260</v>
      </c>
      <c r="F268" s="194" t="s">
        <v>254</v>
      </c>
      <c r="G268" s="195">
        <v>820000.0</v>
      </c>
      <c r="H268" s="194" t="s">
        <v>255</v>
      </c>
      <c r="I268" s="202"/>
      <c r="J268" s="203"/>
      <c r="K268" s="193" t="s">
        <v>368</v>
      </c>
      <c r="L268" s="193" t="s">
        <v>369</v>
      </c>
      <c r="M268" s="201"/>
      <c r="N268" s="193" t="s">
        <v>757</v>
      </c>
      <c r="O268" s="185"/>
      <c r="P268" s="190">
        <v>4.43142649E8</v>
      </c>
      <c r="Q268" s="201"/>
      <c r="R268" s="193"/>
      <c r="S268" s="181" t="s">
        <v>259</v>
      </c>
    </row>
    <row r="269" ht="21.0" customHeight="1">
      <c r="A269" s="190">
        <v>268.0</v>
      </c>
      <c r="B269" s="191">
        <v>46311.0</v>
      </c>
      <c r="C269" s="192">
        <v>0.8715277777777778</v>
      </c>
      <c r="D269" s="190">
        <v>4.43142649E8</v>
      </c>
      <c r="E269" s="193" t="s">
        <v>260</v>
      </c>
      <c r="F269" s="194" t="s">
        <v>254</v>
      </c>
      <c r="G269" s="195">
        <v>2402330.0</v>
      </c>
      <c r="H269" s="194" t="s">
        <v>263</v>
      </c>
      <c r="I269" s="202">
        <v>200.0</v>
      </c>
      <c r="J269" s="203">
        <v>12011.65</v>
      </c>
      <c r="K269" s="193" t="s">
        <v>266</v>
      </c>
      <c r="L269" s="193" t="s">
        <v>267</v>
      </c>
      <c r="M269" s="201"/>
      <c r="N269" s="193" t="s">
        <v>875</v>
      </c>
      <c r="O269" s="185"/>
      <c r="P269" s="190">
        <v>4.43142649E8</v>
      </c>
      <c r="Q269" s="201"/>
      <c r="R269" s="193" t="s">
        <v>112</v>
      </c>
      <c r="S269" s="233" t="s">
        <v>269</v>
      </c>
    </row>
    <row r="270" ht="21.0" customHeight="1">
      <c r="A270" s="190">
        <v>269.0</v>
      </c>
      <c r="B270" s="191">
        <v>46311.0</v>
      </c>
      <c r="C270" s="192">
        <v>0.8729166666666667</v>
      </c>
      <c r="D270" s="190">
        <v>4.43142649E8</v>
      </c>
      <c r="E270" s="193" t="s">
        <v>260</v>
      </c>
      <c r="F270" s="194" t="s">
        <v>254</v>
      </c>
      <c r="G270" s="195">
        <v>1100000.0</v>
      </c>
      <c r="H270" s="194" t="s">
        <v>255</v>
      </c>
      <c r="I270" s="202"/>
      <c r="J270" s="203"/>
      <c r="K270" s="193" t="s">
        <v>719</v>
      </c>
      <c r="L270" s="193" t="s">
        <v>720</v>
      </c>
      <c r="M270" s="201"/>
      <c r="N270" s="193" t="s">
        <v>876</v>
      </c>
      <c r="O270" s="185"/>
      <c r="P270" s="190">
        <v>4.43142649E8</v>
      </c>
      <c r="Q270" s="201"/>
      <c r="R270" s="193"/>
      <c r="S270" s="181" t="s">
        <v>259</v>
      </c>
    </row>
    <row r="271" ht="21.0" customHeight="1">
      <c r="A271" s="190">
        <v>270.0</v>
      </c>
      <c r="B271" s="191">
        <v>46311.0</v>
      </c>
      <c r="C271" s="192">
        <v>0.8736111111111111</v>
      </c>
      <c r="D271" s="190">
        <v>4.43142649E8</v>
      </c>
      <c r="E271" s="193" t="s">
        <v>260</v>
      </c>
      <c r="F271" s="194" t="s">
        <v>254</v>
      </c>
      <c r="G271" s="195">
        <v>400000.0</v>
      </c>
      <c r="H271" s="194" t="s">
        <v>255</v>
      </c>
      <c r="I271" s="202"/>
      <c r="J271" s="203"/>
      <c r="K271" s="193" t="s">
        <v>598</v>
      </c>
      <c r="L271" s="193" t="s">
        <v>599</v>
      </c>
      <c r="M271" s="201"/>
      <c r="N271" s="193" t="s">
        <v>877</v>
      </c>
      <c r="O271" s="185"/>
      <c r="P271" s="190">
        <v>4.43142649E8</v>
      </c>
      <c r="Q271" s="201"/>
      <c r="R271" s="193"/>
      <c r="S271" s="181" t="s">
        <v>259</v>
      </c>
    </row>
    <row r="272" ht="21.0" customHeight="1">
      <c r="A272" s="190">
        <v>271.0</v>
      </c>
      <c r="B272" s="191">
        <v>46311.0</v>
      </c>
      <c r="C272" s="192">
        <v>0.8756944444444444</v>
      </c>
      <c r="D272" s="190">
        <v>4.43142649E8</v>
      </c>
      <c r="E272" s="193" t="s">
        <v>260</v>
      </c>
      <c r="F272" s="194" t="s">
        <v>254</v>
      </c>
      <c r="G272" s="195">
        <v>270.0</v>
      </c>
      <c r="H272" s="194" t="s">
        <v>255</v>
      </c>
      <c r="I272" s="202"/>
      <c r="J272" s="203"/>
      <c r="K272" s="193" t="s">
        <v>719</v>
      </c>
      <c r="L272" s="193" t="s">
        <v>720</v>
      </c>
      <c r="M272" s="201"/>
      <c r="N272" s="193" t="s">
        <v>838</v>
      </c>
      <c r="O272" s="185"/>
      <c r="P272" s="190">
        <v>4.43142649E8</v>
      </c>
      <c r="Q272" s="201"/>
      <c r="R272" s="193"/>
      <c r="S272" s="181" t="s">
        <v>259</v>
      </c>
    </row>
    <row r="273" ht="21.0" customHeight="1">
      <c r="A273" s="190">
        <v>272.0</v>
      </c>
      <c r="B273" s="191">
        <v>46311.0</v>
      </c>
      <c r="C273" s="192">
        <v>0.8791666666666667</v>
      </c>
      <c r="D273" s="190">
        <v>4.43142649E8</v>
      </c>
      <c r="E273" s="193" t="s">
        <v>260</v>
      </c>
      <c r="F273" s="194" t="s">
        <v>270</v>
      </c>
      <c r="G273" s="195">
        <v>8732470.0</v>
      </c>
      <c r="H273" s="194" t="s">
        <v>263</v>
      </c>
      <c r="I273" s="202">
        <v>727.0</v>
      </c>
      <c r="J273" s="203">
        <v>12011.65</v>
      </c>
      <c r="K273" s="193" t="s">
        <v>878</v>
      </c>
      <c r="L273" s="193" t="s">
        <v>879</v>
      </c>
      <c r="M273" s="201"/>
      <c r="N273" s="193" t="s">
        <v>880</v>
      </c>
      <c r="O273" s="185"/>
      <c r="P273" s="190">
        <v>4.43142649E8</v>
      </c>
      <c r="Q273" s="201"/>
      <c r="R273" s="193"/>
      <c r="S273" s="181" t="s">
        <v>259</v>
      </c>
    </row>
    <row r="274" ht="21.0" customHeight="1">
      <c r="A274" s="190">
        <v>273.0</v>
      </c>
      <c r="B274" s="191">
        <v>46311.0</v>
      </c>
      <c r="C274" s="192">
        <v>0.8868055555555555</v>
      </c>
      <c r="D274" s="190">
        <v>2.54366051E8</v>
      </c>
      <c r="E274" s="193" t="s">
        <v>8</v>
      </c>
      <c r="F274" s="194" t="s">
        <v>254</v>
      </c>
      <c r="G274" s="195">
        <v>120000.0</v>
      </c>
      <c r="H274" s="194" t="s">
        <v>255</v>
      </c>
      <c r="I274" s="202"/>
      <c r="J274" s="203"/>
      <c r="K274" s="193" t="s">
        <v>256</v>
      </c>
      <c r="L274" s="193" t="s">
        <v>257</v>
      </c>
      <c r="M274" s="201"/>
      <c r="N274" s="193" t="s">
        <v>881</v>
      </c>
      <c r="O274" s="185"/>
      <c r="P274" s="190">
        <v>2.54366051E8</v>
      </c>
      <c r="Q274" s="201"/>
      <c r="R274" s="193"/>
      <c r="S274" s="181" t="s">
        <v>259</v>
      </c>
    </row>
    <row r="275" ht="21.0" customHeight="1">
      <c r="A275" s="190">
        <v>274.0</v>
      </c>
      <c r="B275" s="191">
        <v>46311.0</v>
      </c>
      <c r="C275" s="192">
        <v>0.8888888888888888</v>
      </c>
      <c r="D275" s="190">
        <v>2.54366051E8</v>
      </c>
      <c r="E275" s="193" t="s">
        <v>8</v>
      </c>
      <c r="F275" s="194" t="s">
        <v>254</v>
      </c>
      <c r="G275" s="195">
        <v>100000.0</v>
      </c>
      <c r="H275" s="194" t="s">
        <v>255</v>
      </c>
      <c r="I275" s="202"/>
      <c r="J275" s="203"/>
      <c r="K275" s="193" t="s">
        <v>266</v>
      </c>
      <c r="L275" s="193" t="s">
        <v>267</v>
      </c>
      <c r="M275" s="201"/>
      <c r="N275" s="193" t="s">
        <v>365</v>
      </c>
      <c r="O275" s="185"/>
      <c r="P275" s="190">
        <v>2.54366051E8</v>
      </c>
      <c r="Q275" s="201"/>
      <c r="R275" s="193" t="s">
        <v>112</v>
      </c>
      <c r="S275" s="181" t="s">
        <v>269</v>
      </c>
    </row>
    <row r="276" ht="21.0" customHeight="1">
      <c r="A276" s="190">
        <v>275.0</v>
      </c>
      <c r="B276" s="191">
        <v>46311.0</v>
      </c>
      <c r="C276" s="192">
        <v>0.8916666666666667</v>
      </c>
      <c r="D276" s="190">
        <v>2.54366051E8</v>
      </c>
      <c r="E276" s="193" t="s">
        <v>8</v>
      </c>
      <c r="F276" s="194" t="s">
        <v>254</v>
      </c>
      <c r="G276" s="195">
        <v>35000.0</v>
      </c>
      <c r="H276" s="194" t="s">
        <v>255</v>
      </c>
      <c r="I276" s="202"/>
      <c r="J276" s="203"/>
      <c r="K276" s="193" t="s">
        <v>256</v>
      </c>
      <c r="L276" s="193" t="s">
        <v>257</v>
      </c>
      <c r="M276" s="201"/>
      <c r="N276" s="193" t="s">
        <v>285</v>
      </c>
      <c r="O276" s="185"/>
      <c r="P276" s="190">
        <v>2.54366051E8</v>
      </c>
      <c r="Q276" s="201"/>
      <c r="R276" s="193"/>
      <c r="S276" s="181" t="s">
        <v>259</v>
      </c>
    </row>
    <row r="277" ht="21.0" customHeight="1">
      <c r="A277" s="190">
        <v>276.0</v>
      </c>
      <c r="B277" s="191">
        <v>46311.0</v>
      </c>
      <c r="C277" s="192">
        <v>0.9027777777777778</v>
      </c>
      <c r="D277" s="190">
        <v>4.43142649E8</v>
      </c>
      <c r="E277" s="193" t="s">
        <v>260</v>
      </c>
      <c r="F277" s="194" t="s">
        <v>254</v>
      </c>
      <c r="G277" s="195">
        <v>180000.0</v>
      </c>
      <c r="H277" s="194" t="s">
        <v>255</v>
      </c>
      <c r="I277" s="202"/>
      <c r="J277" s="203"/>
      <c r="K277" s="193" t="s">
        <v>455</v>
      </c>
      <c r="L277" s="193" t="s">
        <v>456</v>
      </c>
      <c r="M277" s="201"/>
      <c r="N277" s="193" t="s">
        <v>640</v>
      </c>
      <c r="O277" s="185"/>
      <c r="P277" s="190">
        <v>4.43142649E8</v>
      </c>
      <c r="Q277" s="201"/>
      <c r="R277" s="193"/>
      <c r="S277" s="181" t="s">
        <v>259</v>
      </c>
    </row>
    <row r="278" ht="21.0" customHeight="1">
      <c r="A278" s="190">
        <v>277.0</v>
      </c>
      <c r="B278" s="191">
        <v>46311.0</v>
      </c>
      <c r="C278" s="192">
        <v>0.91875</v>
      </c>
      <c r="D278" s="190">
        <v>4.43142649E8</v>
      </c>
      <c r="E278" s="193" t="s">
        <v>260</v>
      </c>
      <c r="F278" s="194" t="s">
        <v>254</v>
      </c>
      <c r="G278" s="195">
        <v>400000.0</v>
      </c>
      <c r="H278" s="194" t="s">
        <v>255</v>
      </c>
      <c r="I278" s="202"/>
      <c r="J278" s="203"/>
      <c r="K278" s="193" t="s">
        <v>266</v>
      </c>
      <c r="L278" s="193" t="s">
        <v>267</v>
      </c>
      <c r="M278" s="201"/>
      <c r="N278" s="193" t="s">
        <v>882</v>
      </c>
      <c r="O278" s="185"/>
      <c r="P278" s="190">
        <v>4.43142649E8</v>
      </c>
      <c r="Q278" s="201"/>
      <c r="R278" s="193" t="s">
        <v>120</v>
      </c>
      <c r="S278" s="233" t="s">
        <v>269</v>
      </c>
    </row>
    <row r="279" ht="21.0" customHeight="1">
      <c r="A279" s="190">
        <v>278.0</v>
      </c>
      <c r="B279" s="191">
        <v>46311.0</v>
      </c>
      <c r="C279" s="192">
        <v>0.9270833333333334</v>
      </c>
      <c r="D279" s="190">
        <v>4.43142649E8</v>
      </c>
      <c r="E279" s="193" t="s">
        <v>260</v>
      </c>
      <c r="F279" s="194" t="s">
        <v>254</v>
      </c>
      <c r="G279" s="195">
        <v>40000.0</v>
      </c>
      <c r="H279" s="194" t="s">
        <v>255</v>
      </c>
      <c r="I279" s="202"/>
      <c r="J279" s="203"/>
      <c r="K279" s="193" t="s">
        <v>664</v>
      </c>
      <c r="L279" s="193" t="s">
        <v>667</v>
      </c>
      <c r="M279" s="201"/>
      <c r="N279" s="193" t="s">
        <v>811</v>
      </c>
      <c r="O279" s="185"/>
      <c r="P279" s="190">
        <v>4.43142649E8</v>
      </c>
      <c r="Q279" s="201"/>
      <c r="R279" s="193"/>
      <c r="S279" s="181" t="s">
        <v>259</v>
      </c>
    </row>
    <row r="280" ht="21.0" customHeight="1">
      <c r="A280" s="190">
        <v>279.0</v>
      </c>
      <c r="B280" s="191">
        <v>46311.0</v>
      </c>
      <c r="C280" s="192">
        <v>0.9673611111111111</v>
      </c>
      <c r="D280" s="190">
        <v>4.43142649E8</v>
      </c>
      <c r="E280" s="193" t="s">
        <v>260</v>
      </c>
      <c r="F280" s="194" t="s">
        <v>270</v>
      </c>
      <c r="G280" s="195">
        <v>3603495.0</v>
      </c>
      <c r="H280" s="194" t="s">
        <v>263</v>
      </c>
      <c r="I280" s="202">
        <v>300.0</v>
      </c>
      <c r="J280" s="203">
        <v>12011.65</v>
      </c>
      <c r="K280" s="193" t="s">
        <v>558</v>
      </c>
      <c r="L280" s="193" t="s">
        <v>559</v>
      </c>
      <c r="M280" s="201">
        <v>407.0</v>
      </c>
      <c r="N280" s="193" t="s">
        <v>883</v>
      </c>
      <c r="O280" s="185"/>
      <c r="P280" s="190">
        <v>4.43142649E8</v>
      </c>
      <c r="Q280" s="201"/>
      <c r="R280" s="193"/>
      <c r="S280" s="181" t="s">
        <v>259</v>
      </c>
    </row>
    <row r="281" ht="21.0" customHeight="1">
      <c r="A281" s="190">
        <v>280.0</v>
      </c>
      <c r="B281" s="191">
        <v>46311.0</v>
      </c>
      <c r="C281" s="192">
        <v>0.9805555555555555</v>
      </c>
      <c r="D281" s="190">
        <v>4.43142649E8</v>
      </c>
      <c r="E281" s="193" t="s">
        <v>260</v>
      </c>
      <c r="F281" s="194" t="s">
        <v>254</v>
      </c>
      <c r="G281" s="195">
        <v>200000.0</v>
      </c>
      <c r="H281" s="194" t="s">
        <v>255</v>
      </c>
      <c r="I281" s="202"/>
      <c r="J281" s="203"/>
      <c r="K281" s="193" t="s">
        <v>664</v>
      </c>
      <c r="L281" s="193" t="s">
        <v>667</v>
      </c>
      <c r="M281" s="201"/>
      <c r="N281" s="193" t="s">
        <v>884</v>
      </c>
      <c r="O281" s="185"/>
      <c r="P281" s="190">
        <v>4.43142649E8</v>
      </c>
      <c r="Q281" s="201"/>
      <c r="R281" s="193"/>
      <c r="S281" s="181" t="s">
        <v>259</v>
      </c>
    </row>
    <row r="282" ht="21.0" customHeight="1">
      <c r="A282" s="190">
        <v>281.0</v>
      </c>
      <c r="B282" s="191">
        <v>46311.0</v>
      </c>
      <c r="C282" s="192">
        <v>0.9888888888888889</v>
      </c>
      <c r="D282" s="190">
        <v>6.156487883E9</v>
      </c>
      <c r="E282" s="193" t="s">
        <v>200</v>
      </c>
      <c r="F282" s="194" t="s">
        <v>254</v>
      </c>
      <c r="G282" s="195">
        <v>55000.0</v>
      </c>
      <c r="H282" s="194" t="s">
        <v>255</v>
      </c>
      <c r="I282" s="202"/>
      <c r="J282" s="203"/>
      <c r="K282" s="193" t="s">
        <v>455</v>
      </c>
      <c r="L282" s="193" t="s">
        <v>456</v>
      </c>
      <c r="M282" s="201"/>
      <c r="N282" s="193" t="s">
        <v>885</v>
      </c>
      <c r="O282" s="185"/>
      <c r="P282" s="190">
        <v>6.156487883E9</v>
      </c>
      <c r="Q282" s="201"/>
      <c r="R282" s="193"/>
      <c r="S282" s="181" t="s">
        <v>259</v>
      </c>
    </row>
    <row r="283" ht="21.0" customHeight="1">
      <c r="A283" s="190">
        <v>282.0</v>
      </c>
      <c r="B283" s="191">
        <v>46311.0</v>
      </c>
      <c r="C283" s="192">
        <v>0.9895833333333334</v>
      </c>
      <c r="D283" s="190">
        <v>6.156487883E9</v>
      </c>
      <c r="E283" s="193" t="s">
        <v>200</v>
      </c>
      <c r="F283" s="194" t="s">
        <v>254</v>
      </c>
      <c r="G283" s="195">
        <v>88000.0</v>
      </c>
      <c r="H283" s="194" t="s">
        <v>255</v>
      </c>
      <c r="I283" s="202"/>
      <c r="J283" s="203"/>
      <c r="K283" s="193" t="s">
        <v>455</v>
      </c>
      <c r="L283" s="193" t="s">
        <v>456</v>
      </c>
      <c r="M283" s="201"/>
      <c r="N283" s="193" t="s">
        <v>886</v>
      </c>
      <c r="O283" s="185"/>
      <c r="P283" s="190">
        <v>6.156487883E9</v>
      </c>
      <c r="Q283" s="201"/>
      <c r="R283" s="193"/>
      <c r="S283" s="181" t="s">
        <v>259</v>
      </c>
    </row>
    <row r="284" ht="21.0" customHeight="1">
      <c r="A284" s="190">
        <v>283.0</v>
      </c>
      <c r="B284" s="191">
        <v>46312.0</v>
      </c>
      <c r="C284" s="192">
        <v>0.5145833333333333</v>
      </c>
      <c r="D284" s="190">
        <v>4.43142649E8</v>
      </c>
      <c r="E284" s="193" t="s">
        <v>260</v>
      </c>
      <c r="F284" s="194" t="s">
        <v>254</v>
      </c>
      <c r="G284" s="195">
        <v>280000.0</v>
      </c>
      <c r="H284" s="194" t="s">
        <v>255</v>
      </c>
      <c r="I284" s="202"/>
      <c r="J284" s="203"/>
      <c r="K284" s="193" t="s">
        <v>664</v>
      </c>
      <c r="L284" s="193" t="s">
        <v>667</v>
      </c>
      <c r="M284" s="201"/>
      <c r="N284" s="193" t="s">
        <v>747</v>
      </c>
      <c r="O284" s="185"/>
      <c r="P284" s="190">
        <v>4.43142649E8</v>
      </c>
      <c r="Q284" s="201"/>
      <c r="R284" s="193"/>
      <c r="S284" s="181" t="s">
        <v>259</v>
      </c>
    </row>
    <row r="285" ht="21.0" customHeight="1">
      <c r="A285" s="190">
        <v>284.0</v>
      </c>
      <c r="B285" s="191">
        <v>46312.0</v>
      </c>
      <c r="C285" s="192">
        <v>0.56875</v>
      </c>
      <c r="D285" s="190">
        <v>6.156487883E9</v>
      </c>
      <c r="E285" s="193" t="s">
        <v>200</v>
      </c>
      <c r="F285" s="194" t="s">
        <v>254</v>
      </c>
      <c r="G285" s="195">
        <v>80000.0</v>
      </c>
      <c r="H285" s="194" t="s">
        <v>255</v>
      </c>
      <c r="I285" s="202"/>
      <c r="J285" s="203"/>
      <c r="K285" s="193" t="s">
        <v>256</v>
      </c>
      <c r="L285" s="193" t="s">
        <v>257</v>
      </c>
      <c r="M285" s="201">
        <v>388.0</v>
      </c>
      <c r="N285" s="193" t="s">
        <v>869</v>
      </c>
      <c r="O285" s="185"/>
      <c r="P285" s="190">
        <v>6.156487883E9</v>
      </c>
      <c r="Q285" s="201"/>
      <c r="R285" s="193"/>
      <c r="S285" s="181" t="s">
        <v>259</v>
      </c>
    </row>
    <row r="286" ht="21.0" customHeight="1">
      <c r="A286" s="190">
        <v>285.0</v>
      </c>
      <c r="B286" s="191">
        <v>46312.0</v>
      </c>
      <c r="C286" s="192">
        <v>0.5694444444444444</v>
      </c>
      <c r="D286" s="190">
        <v>6.156487883E9</v>
      </c>
      <c r="E286" s="193" t="s">
        <v>200</v>
      </c>
      <c r="F286" s="194" t="s">
        <v>254</v>
      </c>
      <c r="G286" s="195">
        <v>80000.0</v>
      </c>
      <c r="H286" s="194" t="s">
        <v>255</v>
      </c>
      <c r="I286" s="202"/>
      <c r="J286" s="203"/>
      <c r="K286" s="193" t="s">
        <v>256</v>
      </c>
      <c r="L286" s="193" t="s">
        <v>257</v>
      </c>
      <c r="M286" s="201">
        <v>403.0</v>
      </c>
      <c r="N286" s="193" t="s">
        <v>855</v>
      </c>
      <c r="O286" s="185"/>
      <c r="P286" s="190">
        <v>6.156487883E9</v>
      </c>
      <c r="Q286" s="201"/>
      <c r="R286" s="193"/>
      <c r="S286" s="181" t="s">
        <v>259</v>
      </c>
    </row>
    <row r="287" ht="21.0" customHeight="1">
      <c r="A287" s="190">
        <v>286.0</v>
      </c>
      <c r="B287" s="191">
        <v>46312.0</v>
      </c>
      <c r="C287" s="192">
        <v>0.5701388888888889</v>
      </c>
      <c r="D287" s="190">
        <v>6.156487883E9</v>
      </c>
      <c r="E287" s="193" t="s">
        <v>200</v>
      </c>
      <c r="F287" s="194" t="s">
        <v>254</v>
      </c>
      <c r="G287" s="195">
        <v>24000.0</v>
      </c>
      <c r="H287" s="194" t="s">
        <v>255</v>
      </c>
      <c r="I287" s="202"/>
      <c r="J287" s="203"/>
      <c r="K287" s="193" t="s">
        <v>368</v>
      </c>
      <c r="L287" s="193" t="s">
        <v>369</v>
      </c>
      <c r="M287" s="201"/>
      <c r="N287" s="193" t="s">
        <v>887</v>
      </c>
      <c r="O287" s="185"/>
      <c r="P287" s="190">
        <v>6.156487883E9</v>
      </c>
      <c r="Q287" s="201"/>
      <c r="R287" s="193"/>
      <c r="S287" s="181" t="s">
        <v>259</v>
      </c>
    </row>
    <row r="288" ht="21.0" customHeight="1">
      <c r="A288" s="190">
        <v>287.0</v>
      </c>
      <c r="B288" s="191">
        <v>46312.0</v>
      </c>
      <c r="C288" s="192">
        <v>0.6416666666666667</v>
      </c>
      <c r="D288" s="190">
        <v>2.54366051E8</v>
      </c>
      <c r="E288" s="193" t="s">
        <v>8</v>
      </c>
      <c r="F288" s="194" t="s">
        <v>254</v>
      </c>
      <c r="G288" s="195">
        <v>65000.0</v>
      </c>
      <c r="H288" s="194" t="s">
        <v>255</v>
      </c>
      <c r="I288" s="202"/>
      <c r="J288" s="203"/>
      <c r="K288" s="193" t="s">
        <v>323</v>
      </c>
      <c r="L288" s="193" t="s">
        <v>324</v>
      </c>
      <c r="M288" s="201">
        <v>403.0</v>
      </c>
      <c r="N288" s="193" t="s">
        <v>888</v>
      </c>
      <c r="O288" s="185"/>
      <c r="P288" s="190">
        <v>2.54366051E8</v>
      </c>
      <c r="Q288" s="201"/>
      <c r="R288" s="193"/>
      <c r="S288" s="181" t="s">
        <v>259</v>
      </c>
    </row>
    <row r="289" ht="21.0" customHeight="1">
      <c r="A289" s="190">
        <v>288.0</v>
      </c>
      <c r="B289" s="191">
        <v>46312.0</v>
      </c>
      <c r="C289" s="192">
        <v>0.6958333333333333</v>
      </c>
      <c r="D289" s="190">
        <v>4.43142649E8</v>
      </c>
      <c r="E289" s="193" t="s">
        <v>260</v>
      </c>
      <c r="F289" s="194" t="s">
        <v>254</v>
      </c>
      <c r="G289" s="195">
        <v>744000.0</v>
      </c>
      <c r="H289" s="194" t="s">
        <v>255</v>
      </c>
      <c r="I289" s="202"/>
      <c r="J289" s="203"/>
      <c r="K289" s="193" t="s">
        <v>323</v>
      </c>
      <c r="L289" s="193" t="s">
        <v>324</v>
      </c>
      <c r="M289" s="201">
        <v>395.0</v>
      </c>
      <c r="N289" s="193" t="s">
        <v>889</v>
      </c>
      <c r="O289" s="185"/>
      <c r="P289" s="190">
        <v>4.43142649E8</v>
      </c>
      <c r="Q289" s="201"/>
      <c r="R289" s="193"/>
      <c r="S289" s="181" t="s">
        <v>259</v>
      </c>
    </row>
    <row r="290" ht="21.0" customHeight="1">
      <c r="A290" s="190">
        <v>289.0</v>
      </c>
      <c r="B290" s="191">
        <v>46312.0</v>
      </c>
      <c r="C290" s="192">
        <v>0.6972222222222222</v>
      </c>
      <c r="D290" s="190">
        <v>6.156487883E9</v>
      </c>
      <c r="E290" s="193" t="s">
        <v>200</v>
      </c>
      <c r="F290" s="194" t="s">
        <v>270</v>
      </c>
      <c r="G290" s="195">
        <v>1256000.0</v>
      </c>
      <c r="H290" s="194" t="s">
        <v>255</v>
      </c>
      <c r="I290" s="202"/>
      <c r="J290" s="203"/>
      <c r="K290" s="193" t="s">
        <v>271</v>
      </c>
      <c r="L290" s="193" t="s">
        <v>272</v>
      </c>
      <c r="M290" s="201"/>
      <c r="N290" s="193" t="s">
        <v>890</v>
      </c>
      <c r="O290" s="185"/>
      <c r="P290" s="190">
        <v>4.43142649E8</v>
      </c>
      <c r="Q290" s="201"/>
      <c r="R290" s="193"/>
      <c r="S290" s="181" t="s">
        <v>259</v>
      </c>
    </row>
    <row r="291" ht="21.0" customHeight="1">
      <c r="A291" s="190">
        <v>290.0</v>
      </c>
      <c r="B291" s="191">
        <v>46312.0</v>
      </c>
      <c r="C291" s="192">
        <v>0.7125</v>
      </c>
      <c r="D291" s="190">
        <v>4.43142649E8</v>
      </c>
      <c r="E291" s="193" t="s">
        <v>260</v>
      </c>
      <c r="F291" s="194" t="s">
        <v>254</v>
      </c>
      <c r="G291" s="195">
        <v>350000.0</v>
      </c>
      <c r="H291" s="194" t="s">
        <v>255</v>
      </c>
      <c r="I291" s="202"/>
      <c r="J291" s="203"/>
      <c r="K291" s="193" t="s">
        <v>368</v>
      </c>
      <c r="L291" s="193" t="s">
        <v>369</v>
      </c>
      <c r="M291" s="201"/>
      <c r="N291" s="193" t="s">
        <v>891</v>
      </c>
      <c r="O291" s="185"/>
      <c r="P291" s="190">
        <v>4.43142649E8</v>
      </c>
      <c r="Q291" s="201"/>
      <c r="R291" s="193"/>
      <c r="S291" s="181" t="s">
        <v>259</v>
      </c>
    </row>
    <row r="292" ht="21.0" customHeight="1">
      <c r="A292" s="190">
        <v>291.0</v>
      </c>
      <c r="B292" s="191">
        <v>46312.0</v>
      </c>
      <c r="C292" s="192">
        <v>0.7534722222222222</v>
      </c>
      <c r="D292" s="190">
        <v>4.43142649E8</v>
      </c>
      <c r="E292" s="193" t="s">
        <v>260</v>
      </c>
      <c r="F292" s="194" t="s">
        <v>254</v>
      </c>
      <c r="G292" s="195">
        <v>9644720.0</v>
      </c>
      <c r="H292" s="194" t="s">
        <v>263</v>
      </c>
      <c r="I292" s="202">
        <v>800.0</v>
      </c>
      <c r="J292" s="203">
        <v>12055.9</v>
      </c>
      <c r="K292" s="193" t="s">
        <v>266</v>
      </c>
      <c r="L292" s="193" t="s">
        <v>267</v>
      </c>
      <c r="M292" s="201"/>
      <c r="N292" s="193" t="s">
        <v>892</v>
      </c>
      <c r="O292" s="185"/>
      <c r="P292" s="190">
        <v>4.43142649E8</v>
      </c>
      <c r="Q292" s="201"/>
      <c r="R292" s="193" t="s">
        <v>129</v>
      </c>
      <c r="S292" s="181" t="s">
        <v>564</v>
      </c>
    </row>
    <row r="293" ht="21.0" customHeight="1">
      <c r="A293" s="190">
        <v>292.0</v>
      </c>
      <c r="B293" s="191">
        <v>46312.0</v>
      </c>
      <c r="C293" s="192">
        <v>0.7631944444444444</v>
      </c>
      <c r="D293" s="190">
        <v>4.43142649E8</v>
      </c>
      <c r="E293" s="193" t="s">
        <v>260</v>
      </c>
      <c r="F293" s="194" t="s">
        <v>254</v>
      </c>
      <c r="G293" s="195">
        <v>1.928944E7</v>
      </c>
      <c r="H293" s="194" t="s">
        <v>263</v>
      </c>
      <c r="I293" s="202">
        <v>1600.0</v>
      </c>
      <c r="J293" s="203">
        <v>12055.9</v>
      </c>
      <c r="K293" s="193" t="s">
        <v>290</v>
      </c>
      <c r="L293" s="193" t="s">
        <v>291</v>
      </c>
      <c r="M293" s="201">
        <v>389.0</v>
      </c>
      <c r="N293" s="193" t="s">
        <v>893</v>
      </c>
      <c r="O293" s="185"/>
      <c r="P293" s="190">
        <v>4.43142649E8</v>
      </c>
      <c r="Q293" s="201"/>
      <c r="R293" s="193"/>
      <c r="S293" s="181" t="s">
        <v>259</v>
      </c>
    </row>
    <row r="294" ht="21.0" customHeight="1">
      <c r="A294" s="190">
        <v>293.0</v>
      </c>
      <c r="B294" s="191">
        <v>46312.0</v>
      </c>
      <c r="C294" s="192">
        <v>0.7652777777777777</v>
      </c>
      <c r="D294" s="190">
        <v>2.54366051E8</v>
      </c>
      <c r="E294" s="193" t="s">
        <v>8</v>
      </c>
      <c r="F294" s="194" t="s">
        <v>254</v>
      </c>
      <c r="G294" s="195">
        <v>272000.0</v>
      </c>
      <c r="H294" s="194" t="s">
        <v>255</v>
      </c>
      <c r="I294" s="202"/>
      <c r="J294" s="203"/>
      <c r="K294" s="193" t="s">
        <v>323</v>
      </c>
      <c r="L294" s="193" t="s">
        <v>324</v>
      </c>
      <c r="M294" s="201">
        <v>391.0</v>
      </c>
      <c r="N294" s="193" t="s">
        <v>854</v>
      </c>
      <c r="O294" s="185"/>
      <c r="P294" s="190">
        <v>2.54366051E8</v>
      </c>
      <c r="Q294" s="201"/>
      <c r="R294" s="193"/>
      <c r="S294" s="181" t="s">
        <v>259</v>
      </c>
    </row>
    <row r="295" ht="21.0" customHeight="1">
      <c r="A295" s="190">
        <v>294.0</v>
      </c>
      <c r="B295" s="191">
        <v>46312.0</v>
      </c>
      <c r="C295" s="192">
        <v>0.7659722222222223</v>
      </c>
      <c r="D295" s="190">
        <v>2.54366051E8</v>
      </c>
      <c r="E295" s="193" t="s">
        <v>8</v>
      </c>
      <c r="F295" s="194" t="s">
        <v>254</v>
      </c>
      <c r="G295" s="195">
        <v>20000.0</v>
      </c>
      <c r="H295" s="194" t="s">
        <v>255</v>
      </c>
      <c r="I295" s="202"/>
      <c r="J295" s="203"/>
      <c r="K295" s="193" t="s">
        <v>256</v>
      </c>
      <c r="L295" s="193" t="s">
        <v>257</v>
      </c>
      <c r="M295" s="201">
        <v>388.0</v>
      </c>
      <c r="N295" s="193" t="s">
        <v>894</v>
      </c>
      <c r="O295" s="185"/>
      <c r="P295" s="190">
        <v>2.54366051E8</v>
      </c>
      <c r="Q295" s="201"/>
      <c r="R295" s="193"/>
      <c r="S295" s="181" t="s">
        <v>259</v>
      </c>
    </row>
    <row r="296" ht="21.0" customHeight="1">
      <c r="A296" s="190">
        <v>295.0</v>
      </c>
      <c r="B296" s="191">
        <v>46312.0</v>
      </c>
      <c r="C296" s="192">
        <v>0.7666666666666667</v>
      </c>
      <c r="D296" s="190">
        <v>2.54366051E8</v>
      </c>
      <c r="E296" s="193" t="s">
        <v>8</v>
      </c>
      <c r="F296" s="194" t="s">
        <v>254</v>
      </c>
      <c r="G296" s="195">
        <v>35000.0</v>
      </c>
      <c r="H296" s="194" t="s">
        <v>255</v>
      </c>
      <c r="I296" s="202"/>
      <c r="J296" s="203"/>
      <c r="K296" s="193" t="s">
        <v>256</v>
      </c>
      <c r="L296" s="193" t="s">
        <v>257</v>
      </c>
      <c r="M296" s="201"/>
      <c r="N296" s="193" t="s">
        <v>285</v>
      </c>
      <c r="O296" s="185"/>
      <c r="P296" s="190">
        <v>2.54366051E8</v>
      </c>
      <c r="Q296" s="201"/>
      <c r="R296" s="193"/>
      <c r="S296" s="181" t="s">
        <v>259</v>
      </c>
    </row>
    <row r="297" ht="21.0" customHeight="1">
      <c r="A297" s="190">
        <v>296.0</v>
      </c>
      <c r="B297" s="191">
        <v>46312.0</v>
      </c>
      <c r="C297" s="192">
        <v>0.7916666666666666</v>
      </c>
      <c r="D297" s="190">
        <v>6.156487883E9</v>
      </c>
      <c r="E297" s="193" t="s">
        <v>200</v>
      </c>
      <c r="F297" s="194" t="s">
        <v>254</v>
      </c>
      <c r="G297" s="195">
        <v>50000.0</v>
      </c>
      <c r="H297" s="194" t="s">
        <v>255</v>
      </c>
      <c r="I297" s="202"/>
      <c r="J297" s="203"/>
      <c r="K297" s="193" t="s">
        <v>266</v>
      </c>
      <c r="L297" s="193" t="s">
        <v>267</v>
      </c>
      <c r="M297" s="201"/>
      <c r="N297" s="193" t="s">
        <v>895</v>
      </c>
      <c r="O297" s="185"/>
      <c r="P297" s="190">
        <v>6.156487883E9</v>
      </c>
      <c r="Q297" s="201"/>
      <c r="R297" s="193" t="s">
        <v>175</v>
      </c>
      <c r="S297" s="181" t="s">
        <v>269</v>
      </c>
    </row>
    <row r="298" ht="21.0" customHeight="1">
      <c r="A298" s="190">
        <v>297.0</v>
      </c>
      <c r="B298" s="191">
        <v>46312.0</v>
      </c>
      <c r="C298" s="192">
        <v>0.8152777777777778</v>
      </c>
      <c r="D298" s="190">
        <v>6.156487883E9</v>
      </c>
      <c r="E298" s="193" t="s">
        <v>200</v>
      </c>
      <c r="F298" s="194" t="s">
        <v>254</v>
      </c>
      <c r="G298" s="195">
        <v>120000.0</v>
      </c>
      <c r="H298" s="194" t="s">
        <v>255</v>
      </c>
      <c r="I298" s="202"/>
      <c r="J298" s="203"/>
      <c r="K298" s="193" t="s">
        <v>455</v>
      </c>
      <c r="L298" s="193" t="s">
        <v>456</v>
      </c>
      <c r="M298" s="201"/>
      <c r="N298" s="193" t="s">
        <v>896</v>
      </c>
      <c r="O298" s="185"/>
      <c r="P298" s="190">
        <v>6.156487883E9</v>
      </c>
      <c r="Q298" s="201"/>
      <c r="R298" s="193"/>
      <c r="S298" s="181" t="s">
        <v>259</v>
      </c>
    </row>
    <row r="299" ht="21.0" customHeight="1">
      <c r="A299" s="190">
        <v>298.0</v>
      </c>
      <c r="B299" s="191">
        <v>46312.0</v>
      </c>
      <c r="C299" s="192">
        <v>0.8159722222222222</v>
      </c>
      <c r="D299" s="190">
        <v>6.156487883E9</v>
      </c>
      <c r="E299" s="193" t="s">
        <v>200</v>
      </c>
      <c r="F299" s="194" t="s">
        <v>254</v>
      </c>
      <c r="G299" s="195">
        <v>200000.0</v>
      </c>
      <c r="H299" s="194" t="s">
        <v>255</v>
      </c>
      <c r="I299" s="202"/>
      <c r="J299" s="203"/>
      <c r="K299" s="193" t="s">
        <v>256</v>
      </c>
      <c r="L299" s="193" t="s">
        <v>257</v>
      </c>
      <c r="M299" s="201">
        <v>403.0</v>
      </c>
      <c r="N299" s="193" t="s">
        <v>847</v>
      </c>
      <c r="O299" s="185"/>
      <c r="P299" s="190">
        <v>6.156487883E9</v>
      </c>
      <c r="Q299" s="201"/>
      <c r="R299" s="193"/>
      <c r="S299" s="181" t="s">
        <v>259</v>
      </c>
    </row>
    <row r="300" ht="21.0" customHeight="1">
      <c r="A300" s="190">
        <v>299.0</v>
      </c>
      <c r="B300" s="191">
        <v>46312.0</v>
      </c>
      <c r="C300" s="192">
        <v>0.8173611111111111</v>
      </c>
      <c r="D300" s="190">
        <v>6.156487883E9</v>
      </c>
      <c r="E300" s="193" t="s">
        <v>200</v>
      </c>
      <c r="F300" s="194" t="s">
        <v>254</v>
      </c>
      <c r="G300" s="195">
        <v>105000.0</v>
      </c>
      <c r="H300" s="194" t="s">
        <v>255</v>
      </c>
      <c r="I300" s="202"/>
      <c r="J300" s="203"/>
      <c r="K300" s="193" t="s">
        <v>368</v>
      </c>
      <c r="L300" s="193" t="s">
        <v>369</v>
      </c>
      <c r="M300" s="201"/>
      <c r="N300" s="193" t="s">
        <v>897</v>
      </c>
      <c r="O300" s="185"/>
      <c r="P300" s="190">
        <v>6.156487883E9</v>
      </c>
      <c r="Q300" s="201"/>
      <c r="R300" s="193"/>
      <c r="S300" s="181" t="s">
        <v>259</v>
      </c>
    </row>
    <row r="301" ht="21.0" customHeight="1">
      <c r="A301" s="190">
        <v>300.0</v>
      </c>
      <c r="B301" s="191">
        <v>46312.0</v>
      </c>
      <c r="C301" s="192">
        <v>0.8909722222222223</v>
      </c>
      <c r="D301" s="190">
        <v>6.156487883E9</v>
      </c>
      <c r="E301" s="193" t="s">
        <v>200</v>
      </c>
      <c r="F301" s="194" t="s">
        <v>254</v>
      </c>
      <c r="G301" s="195">
        <v>100000.0</v>
      </c>
      <c r="H301" s="194" t="s">
        <v>255</v>
      </c>
      <c r="I301" s="202"/>
      <c r="J301" s="203"/>
      <c r="K301" s="193" t="s">
        <v>256</v>
      </c>
      <c r="L301" s="193" t="s">
        <v>257</v>
      </c>
      <c r="M301" s="201">
        <v>395.0</v>
      </c>
      <c r="N301" s="193" t="s">
        <v>898</v>
      </c>
      <c r="O301" s="185"/>
      <c r="P301" s="190">
        <v>6.156487883E9</v>
      </c>
      <c r="Q301" s="201"/>
      <c r="R301" s="193"/>
      <c r="S301" s="181" t="s">
        <v>259</v>
      </c>
    </row>
    <row r="302" ht="21.0" customHeight="1">
      <c r="A302" s="190">
        <v>301.0</v>
      </c>
      <c r="B302" s="191">
        <v>46313.0</v>
      </c>
      <c r="C302" s="192">
        <v>0.03958333333333333</v>
      </c>
      <c r="D302" s="190">
        <v>2.54366051E8</v>
      </c>
      <c r="E302" s="193" t="s">
        <v>8</v>
      </c>
      <c r="F302" s="194" t="s">
        <v>270</v>
      </c>
      <c r="G302" s="195">
        <v>1205590.0</v>
      </c>
      <c r="H302" s="194" t="s">
        <v>263</v>
      </c>
      <c r="I302" s="202">
        <v>100.0</v>
      </c>
      <c r="J302" s="203">
        <v>12055.9</v>
      </c>
      <c r="K302" s="193" t="s">
        <v>271</v>
      </c>
      <c r="L302" s="193" t="s">
        <v>272</v>
      </c>
      <c r="M302" s="201"/>
      <c r="N302" s="193" t="s">
        <v>273</v>
      </c>
      <c r="O302" s="185"/>
      <c r="P302" s="190">
        <v>4.43142649E8</v>
      </c>
      <c r="Q302" s="201" t="s">
        <v>258</v>
      </c>
      <c r="R302" s="193"/>
      <c r="S302" s="181" t="s">
        <v>259</v>
      </c>
    </row>
    <row r="303" ht="21.0" customHeight="1">
      <c r="A303" s="190">
        <v>302.0</v>
      </c>
      <c r="B303" s="191">
        <v>46313.0</v>
      </c>
      <c r="C303" s="192">
        <v>0.04027777777777778</v>
      </c>
      <c r="D303" s="190">
        <v>4.43142649E8</v>
      </c>
      <c r="E303" s="193" t="s">
        <v>260</v>
      </c>
      <c r="F303" s="194" t="s">
        <v>254</v>
      </c>
      <c r="G303" s="195">
        <v>200000.0</v>
      </c>
      <c r="H303" s="194" t="s">
        <v>255</v>
      </c>
      <c r="I303" s="202"/>
      <c r="J303" s="203"/>
      <c r="K303" s="193" t="s">
        <v>455</v>
      </c>
      <c r="L303" s="193" t="s">
        <v>456</v>
      </c>
      <c r="M303" s="201"/>
      <c r="N303" s="193" t="s">
        <v>840</v>
      </c>
      <c r="O303" s="185"/>
      <c r="P303" s="190">
        <v>4.43142649E8</v>
      </c>
      <c r="Q303" s="201"/>
      <c r="R303" s="193"/>
      <c r="S303" s="181" t="s">
        <v>259</v>
      </c>
    </row>
    <row r="304" ht="21.0" customHeight="1">
      <c r="A304" s="190">
        <v>303.0</v>
      </c>
      <c r="B304" s="191">
        <v>46313.0</v>
      </c>
      <c r="C304" s="192">
        <v>0.04097222222222222</v>
      </c>
      <c r="D304" s="190">
        <v>4.43142649E8</v>
      </c>
      <c r="E304" s="193" t="s">
        <v>260</v>
      </c>
      <c r="F304" s="194" t="s">
        <v>254</v>
      </c>
      <c r="G304" s="195">
        <v>200000.0</v>
      </c>
      <c r="H304" s="194" t="s">
        <v>255</v>
      </c>
      <c r="I304" s="202"/>
      <c r="J304" s="203"/>
      <c r="K304" s="193" t="s">
        <v>266</v>
      </c>
      <c r="L304" s="193" t="s">
        <v>267</v>
      </c>
      <c r="M304" s="201"/>
      <c r="N304" s="193" t="s">
        <v>899</v>
      </c>
      <c r="O304" s="185"/>
      <c r="P304" s="190">
        <v>4.43142649E8</v>
      </c>
      <c r="Q304" s="201"/>
      <c r="R304" s="193" t="s">
        <v>126</v>
      </c>
      <c r="S304" s="233" t="s">
        <v>269</v>
      </c>
    </row>
    <row r="305" ht="21.0" customHeight="1">
      <c r="A305" s="190">
        <v>304.0</v>
      </c>
      <c r="B305" s="191">
        <v>46313.0</v>
      </c>
      <c r="C305" s="192">
        <v>0.059027777777777776</v>
      </c>
      <c r="D305" s="190">
        <v>2.54366051E8</v>
      </c>
      <c r="E305" s="193" t="s">
        <v>8</v>
      </c>
      <c r="F305" s="194" t="s">
        <v>254</v>
      </c>
      <c r="G305" s="195">
        <v>170000.0</v>
      </c>
      <c r="H305" s="194" t="s">
        <v>255</v>
      </c>
      <c r="I305" s="202"/>
      <c r="J305" s="203"/>
      <c r="K305" s="193" t="s">
        <v>266</v>
      </c>
      <c r="L305" s="193" t="s">
        <v>267</v>
      </c>
      <c r="M305" s="201"/>
      <c r="N305" s="193" t="s">
        <v>365</v>
      </c>
      <c r="O305" s="185"/>
      <c r="P305" s="190">
        <v>2.54366051E8</v>
      </c>
      <c r="Q305" s="201"/>
      <c r="R305" s="193" t="s">
        <v>126</v>
      </c>
      <c r="S305" s="181" t="s">
        <v>269</v>
      </c>
    </row>
    <row r="306" ht="21.0" customHeight="1">
      <c r="A306" s="190">
        <v>305.0</v>
      </c>
      <c r="B306" s="191">
        <v>46313.0</v>
      </c>
      <c r="C306" s="192">
        <v>0.06736111111111111</v>
      </c>
      <c r="D306" s="190">
        <v>2.54366051E8</v>
      </c>
      <c r="E306" s="193" t="s">
        <v>8</v>
      </c>
      <c r="F306" s="194" t="s">
        <v>270</v>
      </c>
      <c r="G306" s="195">
        <v>1196000.0</v>
      </c>
      <c r="H306" s="194" t="s">
        <v>263</v>
      </c>
      <c r="I306" s="202">
        <v>100.0</v>
      </c>
      <c r="J306" s="203">
        <v>11960.0</v>
      </c>
      <c r="K306" s="193" t="s">
        <v>271</v>
      </c>
      <c r="L306" s="193" t="s">
        <v>272</v>
      </c>
      <c r="M306" s="201"/>
      <c r="N306" s="193" t="s">
        <v>273</v>
      </c>
      <c r="O306" s="185"/>
      <c r="P306" s="190">
        <v>4.43142649E8</v>
      </c>
      <c r="Q306" s="201"/>
      <c r="R306" s="193"/>
      <c r="S306" s="181" t="s">
        <v>259</v>
      </c>
    </row>
    <row r="307" ht="21.0" customHeight="1">
      <c r="A307" s="190">
        <v>306.0</v>
      </c>
      <c r="B307" s="191">
        <v>46313.0</v>
      </c>
      <c r="C307" s="192">
        <v>0.5305555555555556</v>
      </c>
      <c r="D307" s="190">
        <v>2.54366051E8</v>
      </c>
      <c r="E307" s="193" t="s">
        <v>8</v>
      </c>
      <c r="F307" s="194" t="s">
        <v>254</v>
      </c>
      <c r="G307" s="195">
        <v>453000.0</v>
      </c>
      <c r="H307" s="194" t="s">
        <v>255</v>
      </c>
      <c r="I307" s="202"/>
      <c r="J307" s="203"/>
      <c r="K307" s="193" t="s">
        <v>296</v>
      </c>
      <c r="L307" s="193" t="s">
        <v>297</v>
      </c>
      <c r="M307" s="201"/>
      <c r="N307" s="193" t="s">
        <v>557</v>
      </c>
      <c r="O307" s="185"/>
      <c r="P307" s="190">
        <v>2.54366051E8</v>
      </c>
      <c r="Q307" s="201"/>
      <c r="R307" s="193" t="s">
        <v>507</v>
      </c>
      <c r="S307" s="181" t="s">
        <v>259</v>
      </c>
    </row>
    <row r="308" ht="21.0" customHeight="1">
      <c r="A308" s="190">
        <v>307.0</v>
      </c>
      <c r="B308" s="191">
        <v>46313.0</v>
      </c>
      <c r="C308" s="192">
        <v>0.5777777777777777</v>
      </c>
      <c r="D308" s="190">
        <v>2.54366051E8</v>
      </c>
      <c r="E308" s="193" t="s">
        <v>8</v>
      </c>
      <c r="F308" s="194" t="s">
        <v>254</v>
      </c>
      <c r="G308" s="195">
        <v>21000.0</v>
      </c>
      <c r="H308" s="194" t="s">
        <v>255</v>
      </c>
      <c r="I308" s="202"/>
      <c r="J308" s="203"/>
      <c r="K308" s="193" t="s">
        <v>323</v>
      </c>
      <c r="L308" s="193" t="s">
        <v>324</v>
      </c>
      <c r="M308" s="201">
        <v>392.0</v>
      </c>
      <c r="N308" s="193" t="s">
        <v>900</v>
      </c>
      <c r="O308" s="185"/>
      <c r="P308" s="190">
        <v>2.54366051E8</v>
      </c>
      <c r="Q308" s="201"/>
      <c r="R308" s="193"/>
      <c r="S308" s="181" t="s">
        <v>259</v>
      </c>
    </row>
    <row r="309" ht="21.0" customHeight="1">
      <c r="A309" s="190">
        <v>308.0</v>
      </c>
      <c r="B309" s="191">
        <v>46313.0</v>
      </c>
      <c r="C309" s="192">
        <v>0.6368055555555555</v>
      </c>
      <c r="D309" s="190">
        <v>6.156487883E9</v>
      </c>
      <c r="E309" s="193" t="s">
        <v>200</v>
      </c>
      <c r="F309" s="194" t="s">
        <v>254</v>
      </c>
      <c r="G309" s="195">
        <v>80000.0</v>
      </c>
      <c r="H309" s="194" t="s">
        <v>255</v>
      </c>
      <c r="I309" s="202"/>
      <c r="J309" s="203"/>
      <c r="K309" s="193" t="s">
        <v>256</v>
      </c>
      <c r="L309" s="193" t="s">
        <v>257</v>
      </c>
      <c r="M309" s="201">
        <v>397.0</v>
      </c>
      <c r="N309" s="193" t="s">
        <v>869</v>
      </c>
      <c r="O309" s="185"/>
      <c r="P309" s="190">
        <v>6.156487883E9</v>
      </c>
      <c r="Q309" s="201"/>
      <c r="R309" s="193"/>
      <c r="S309" s="181" t="s">
        <v>259</v>
      </c>
    </row>
    <row r="310" ht="21.0" customHeight="1">
      <c r="A310" s="190">
        <v>309.0</v>
      </c>
      <c r="B310" s="191">
        <v>46313.0</v>
      </c>
      <c r="C310" s="192">
        <v>0.6375</v>
      </c>
      <c r="D310" s="190">
        <v>4.43142649E8</v>
      </c>
      <c r="E310" s="193" t="s">
        <v>260</v>
      </c>
      <c r="F310" s="194" t="s">
        <v>254</v>
      </c>
      <c r="G310" s="195">
        <v>1.446708E7</v>
      </c>
      <c r="H310" s="194" t="s">
        <v>263</v>
      </c>
      <c r="I310" s="202">
        <v>1200.0</v>
      </c>
      <c r="J310" s="203">
        <v>12055.9</v>
      </c>
      <c r="K310" s="193" t="s">
        <v>455</v>
      </c>
      <c r="L310" s="193" t="s">
        <v>456</v>
      </c>
      <c r="M310" s="201"/>
      <c r="N310" s="193" t="s">
        <v>901</v>
      </c>
      <c r="O310" s="185"/>
      <c r="P310" s="190">
        <v>4.43142649E8</v>
      </c>
      <c r="Q310" s="201"/>
      <c r="R310" s="193"/>
      <c r="S310" s="181" t="s">
        <v>259</v>
      </c>
    </row>
    <row r="311" ht="21.0" customHeight="1">
      <c r="A311" s="190">
        <v>310.0</v>
      </c>
      <c r="B311" s="191">
        <v>46313.0</v>
      </c>
      <c r="C311" s="192">
        <v>0.6381944444444444</v>
      </c>
      <c r="D311" s="190">
        <v>6.156487883E9</v>
      </c>
      <c r="E311" s="193" t="s">
        <v>200</v>
      </c>
      <c r="F311" s="194" t="s">
        <v>254</v>
      </c>
      <c r="G311" s="195">
        <v>160000.0</v>
      </c>
      <c r="H311" s="194" t="s">
        <v>255</v>
      </c>
      <c r="I311" s="202"/>
      <c r="J311" s="203"/>
      <c r="K311" s="193" t="s">
        <v>256</v>
      </c>
      <c r="L311" s="193" t="s">
        <v>257</v>
      </c>
      <c r="M311" s="201">
        <v>392.0</v>
      </c>
      <c r="N311" s="193" t="s">
        <v>902</v>
      </c>
      <c r="O311" s="185"/>
      <c r="P311" s="190">
        <v>6.156487883E9</v>
      </c>
      <c r="Q311" s="201"/>
      <c r="R311" s="193"/>
      <c r="S311" s="181" t="s">
        <v>259</v>
      </c>
    </row>
    <row r="312" ht="21.0" customHeight="1">
      <c r="A312" s="190">
        <v>311.0</v>
      </c>
      <c r="B312" s="191">
        <v>46313.0</v>
      </c>
      <c r="C312" s="192">
        <v>0.6388888888888888</v>
      </c>
      <c r="D312" s="190">
        <v>4.43142649E8</v>
      </c>
      <c r="E312" s="193" t="s">
        <v>260</v>
      </c>
      <c r="F312" s="194" t="s">
        <v>254</v>
      </c>
      <c r="G312" s="195">
        <v>280000.0</v>
      </c>
      <c r="H312" s="194" t="s">
        <v>255</v>
      </c>
      <c r="I312" s="202"/>
      <c r="J312" s="203"/>
      <c r="K312" s="193" t="s">
        <v>664</v>
      </c>
      <c r="L312" s="193" t="s">
        <v>667</v>
      </c>
      <c r="M312" s="201"/>
      <c r="N312" s="193" t="s">
        <v>903</v>
      </c>
      <c r="O312" s="185"/>
      <c r="P312" s="190">
        <v>4.43142649E8</v>
      </c>
      <c r="Q312" s="201"/>
      <c r="R312" s="193"/>
      <c r="S312" s="181" t="s">
        <v>259</v>
      </c>
    </row>
    <row r="313" ht="21.0" customHeight="1">
      <c r="A313" s="190">
        <v>312.0</v>
      </c>
      <c r="B313" s="191">
        <v>46313.0</v>
      </c>
      <c r="C313" s="192">
        <v>0.8090277777777778</v>
      </c>
      <c r="D313" s="190">
        <v>4.43142649E8</v>
      </c>
      <c r="E313" s="193" t="s">
        <v>260</v>
      </c>
      <c r="F313" s="194" t="s">
        <v>254</v>
      </c>
      <c r="G313" s="195">
        <v>400000.0</v>
      </c>
      <c r="H313" s="194" t="s">
        <v>255</v>
      </c>
      <c r="I313" s="202"/>
      <c r="J313" s="203"/>
      <c r="K313" s="193" t="s">
        <v>560</v>
      </c>
      <c r="L313" s="193" t="s">
        <v>561</v>
      </c>
      <c r="M313" s="201"/>
      <c r="N313" s="193" t="s">
        <v>904</v>
      </c>
      <c r="O313" s="185"/>
      <c r="P313" s="190">
        <v>4.43142649E8</v>
      </c>
      <c r="Q313" s="201"/>
      <c r="R313" s="193"/>
      <c r="S313" s="181" t="s">
        <v>259</v>
      </c>
    </row>
    <row r="314" ht="21.0" customHeight="1">
      <c r="A314" s="190">
        <v>313.0</v>
      </c>
      <c r="B314" s="191">
        <v>46313.0</v>
      </c>
      <c r="C314" s="192">
        <v>0.8305555555555556</v>
      </c>
      <c r="D314" s="190">
        <v>6.156487883E9</v>
      </c>
      <c r="E314" s="193" t="s">
        <v>200</v>
      </c>
      <c r="F314" s="194" t="s">
        <v>254</v>
      </c>
      <c r="G314" s="195">
        <v>160000.0</v>
      </c>
      <c r="H314" s="194" t="s">
        <v>255</v>
      </c>
      <c r="I314" s="202"/>
      <c r="J314" s="203"/>
      <c r="K314" s="193" t="s">
        <v>256</v>
      </c>
      <c r="L314" s="193" t="s">
        <v>257</v>
      </c>
      <c r="M314" s="201">
        <v>392.0</v>
      </c>
      <c r="N314" s="193" t="s">
        <v>905</v>
      </c>
      <c r="O314" s="185"/>
      <c r="P314" s="190">
        <v>6.156487883E9</v>
      </c>
      <c r="Q314" s="201"/>
      <c r="R314" s="193"/>
      <c r="S314" s="181" t="s">
        <v>259</v>
      </c>
    </row>
    <row r="315" ht="21.0" customHeight="1">
      <c r="A315" s="190">
        <v>314.0</v>
      </c>
      <c r="B315" s="191">
        <v>46313.0</v>
      </c>
      <c r="C315" s="192">
        <v>0.8305555555555556</v>
      </c>
      <c r="D315" s="190">
        <v>6.156487883E9</v>
      </c>
      <c r="E315" s="193" t="s">
        <v>200</v>
      </c>
      <c r="F315" s="194" t="s">
        <v>254</v>
      </c>
      <c r="G315" s="195">
        <v>40000.0</v>
      </c>
      <c r="H315" s="194" t="s">
        <v>255</v>
      </c>
      <c r="I315" s="202"/>
      <c r="J315" s="203"/>
      <c r="K315" s="193" t="s">
        <v>256</v>
      </c>
      <c r="L315" s="193" t="s">
        <v>257</v>
      </c>
      <c r="M315" s="201"/>
      <c r="N315" s="193" t="s">
        <v>906</v>
      </c>
      <c r="O315" s="185"/>
      <c r="P315" s="190">
        <v>6.156487883E9</v>
      </c>
      <c r="Q315" s="201"/>
      <c r="R315" s="193"/>
      <c r="S315" s="181" t="s">
        <v>259</v>
      </c>
    </row>
    <row r="316" ht="21.0" customHeight="1">
      <c r="A316" s="190">
        <v>315.0</v>
      </c>
      <c r="B316" s="191">
        <v>46313.0</v>
      </c>
      <c r="C316" s="192">
        <v>0.9423611111111111</v>
      </c>
      <c r="D316" s="190">
        <v>4.43142649E8</v>
      </c>
      <c r="E316" s="193" t="s">
        <v>260</v>
      </c>
      <c r="F316" s="194" t="s">
        <v>254</v>
      </c>
      <c r="G316" s="195">
        <v>50000.0</v>
      </c>
      <c r="H316" s="194" t="s">
        <v>255</v>
      </c>
      <c r="I316" s="202"/>
      <c r="J316" s="203"/>
      <c r="K316" s="193" t="s">
        <v>455</v>
      </c>
      <c r="L316" s="193" t="s">
        <v>456</v>
      </c>
      <c r="M316" s="201"/>
      <c r="N316" s="193" t="s">
        <v>907</v>
      </c>
      <c r="O316" s="185"/>
      <c r="P316" s="190">
        <v>4.43142649E8</v>
      </c>
      <c r="Q316" s="201"/>
      <c r="R316" s="193"/>
      <c r="S316" s="181" t="s">
        <v>259</v>
      </c>
    </row>
    <row r="317" ht="21.0" customHeight="1">
      <c r="A317" s="190">
        <v>316.0</v>
      </c>
      <c r="B317" s="191">
        <v>46314.0</v>
      </c>
      <c r="C317" s="192">
        <v>0.4326388888888889</v>
      </c>
      <c r="D317" s="190">
        <v>2.54366051E8</v>
      </c>
      <c r="E317" s="193" t="s">
        <v>8</v>
      </c>
      <c r="F317" s="194" t="s">
        <v>254</v>
      </c>
      <c r="G317" s="195">
        <v>50000.0</v>
      </c>
      <c r="H317" s="194" t="s">
        <v>255</v>
      </c>
      <c r="I317" s="202"/>
      <c r="J317" s="203"/>
      <c r="K317" s="193" t="s">
        <v>361</v>
      </c>
      <c r="L317" s="193" t="s">
        <v>362</v>
      </c>
      <c r="M317" s="201"/>
      <c r="N317" s="193" t="s">
        <v>864</v>
      </c>
      <c r="O317" s="185"/>
      <c r="P317" s="190">
        <v>2.54366051E8</v>
      </c>
      <c r="Q317" s="201"/>
      <c r="R317" s="193"/>
      <c r="S317" s="181" t="s">
        <v>259</v>
      </c>
    </row>
    <row r="318" ht="21.0" customHeight="1">
      <c r="A318" s="190">
        <v>317.0</v>
      </c>
      <c r="B318" s="191">
        <v>46314.0</v>
      </c>
      <c r="C318" s="192">
        <v>0.43472222222222223</v>
      </c>
      <c r="D318" s="190">
        <v>2.54366051E8</v>
      </c>
      <c r="E318" s="193" t="s">
        <v>8</v>
      </c>
      <c r="F318" s="194" t="s">
        <v>254</v>
      </c>
      <c r="G318" s="195">
        <v>100000.0</v>
      </c>
      <c r="H318" s="194" t="s">
        <v>255</v>
      </c>
      <c r="I318" s="202"/>
      <c r="J318" s="203"/>
      <c r="K318" s="193" t="s">
        <v>266</v>
      </c>
      <c r="L318" s="193" t="s">
        <v>267</v>
      </c>
      <c r="M318" s="201"/>
      <c r="N318" s="193" t="s">
        <v>365</v>
      </c>
      <c r="O318" s="185"/>
      <c r="P318" s="190">
        <v>2.54366051E8</v>
      </c>
      <c r="Q318" s="201"/>
      <c r="R318" s="193" t="s">
        <v>126</v>
      </c>
      <c r="S318" s="181" t="s">
        <v>269</v>
      </c>
    </row>
    <row r="319" ht="21.0" customHeight="1">
      <c r="A319" s="190">
        <v>318.0</v>
      </c>
      <c r="B319" s="191">
        <v>46314.0</v>
      </c>
      <c r="C319" s="192">
        <v>0.4354166666666667</v>
      </c>
      <c r="D319" s="190">
        <v>2.54366051E8</v>
      </c>
      <c r="E319" s="193" t="s">
        <v>8</v>
      </c>
      <c r="F319" s="194" t="s">
        <v>254</v>
      </c>
      <c r="G319" s="195">
        <v>170000.0</v>
      </c>
      <c r="H319" s="194" t="s">
        <v>255</v>
      </c>
      <c r="I319" s="202"/>
      <c r="J319" s="203"/>
      <c r="K319" s="193" t="s">
        <v>296</v>
      </c>
      <c r="L319" s="193" t="s">
        <v>297</v>
      </c>
      <c r="M319" s="201"/>
      <c r="N319" s="193" t="s">
        <v>908</v>
      </c>
      <c r="O319" s="185"/>
      <c r="P319" s="190">
        <v>2.54366051E8</v>
      </c>
      <c r="Q319" s="201"/>
      <c r="R319" s="193" t="s">
        <v>126</v>
      </c>
      <c r="S319" s="181" t="s">
        <v>259</v>
      </c>
    </row>
    <row r="320" ht="21.0" customHeight="1">
      <c r="A320" s="190">
        <v>319.0</v>
      </c>
      <c r="B320" s="191">
        <v>46314.0</v>
      </c>
      <c r="C320" s="192">
        <v>0.5625</v>
      </c>
      <c r="D320" s="190">
        <v>2.54366051E8</v>
      </c>
      <c r="E320" s="193" t="s">
        <v>8</v>
      </c>
      <c r="F320" s="194" t="s">
        <v>254</v>
      </c>
      <c r="G320" s="195">
        <v>130000.0</v>
      </c>
      <c r="H320" s="194" t="s">
        <v>255</v>
      </c>
      <c r="I320" s="202"/>
      <c r="J320" s="203"/>
      <c r="K320" s="193" t="s">
        <v>296</v>
      </c>
      <c r="L320" s="193" t="s">
        <v>297</v>
      </c>
      <c r="M320" s="201"/>
      <c r="N320" s="193" t="s">
        <v>557</v>
      </c>
      <c r="O320" s="185"/>
      <c r="P320" s="190">
        <v>2.54366051E8</v>
      </c>
      <c r="Q320" s="201"/>
      <c r="R320" s="193" t="s">
        <v>473</v>
      </c>
      <c r="S320" s="181" t="s">
        <v>259</v>
      </c>
    </row>
    <row r="321" ht="21.0" customHeight="1">
      <c r="A321" s="190">
        <v>320.0</v>
      </c>
      <c r="B321" s="191">
        <v>46314.0</v>
      </c>
      <c r="C321" s="192">
        <v>0.60625</v>
      </c>
      <c r="D321" s="190">
        <v>4.43142649E8</v>
      </c>
      <c r="E321" s="193" t="s">
        <v>260</v>
      </c>
      <c r="F321" s="194" t="s">
        <v>270</v>
      </c>
      <c r="G321" s="195">
        <v>4.5209625E7</v>
      </c>
      <c r="H321" s="194" t="s">
        <v>263</v>
      </c>
      <c r="I321" s="202">
        <v>3750.0</v>
      </c>
      <c r="J321" s="203">
        <v>12055.9</v>
      </c>
      <c r="K321" s="193" t="s">
        <v>848</v>
      </c>
      <c r="L321" s="193" t="s">
        <v>849</v>
      </c>
      <c r="M321" s="201">
        <v>388.0</v>
      </c>
      <c r="N321" s="193" t="s">
        <v>909</v>
      </c>
      <c r="O321" s="185"/>
      <c r="P321" s="190">
        <v>4.43142649E8</v>
      </c>
      <c r="Q321" s="201"/>
      <c r="R321" s="193"/>
      <c r="S321" s="181" t="s">
        <v>259</v>
      </c>
    </row>
    <row r="322" ht="21.0" customHeight="1">
      <c r="A322" s="190">
        <v>321.0</v>
      </c>
      <c r="B322" s="191">
        <v>46314.0</v>
      </c>
      <c r="C322" s="192">
        <v>0.6083333333333333</v>
      </c>
      <c r="D322" s="190">
        <v>6.156487883E9</v>
      </c>
      <c r="E322" s="193" t="s">
        <v>200</v>
      </c>
      <c r="F322" s="194" t="s">
        <v>270</v>
      </c>
      <c r="G322" s="195">
        <v>1201000.0</v>
      </c>
      <c r="H322" s="194" t="s">
        <v>263</v>
      </c>
      <c r="I322" s="202">
        <v>100.0</v>
      </c>
      <c r="J322" s="203">
        <v>12010.0</v>
      </c>
      <c r="K322" s="193" t="s">
        <v>271</v>
      </c>
      <c r="L322" s="193" t="s">
        <v>272</v>
      </c>
      <c r="M322" s="201"/>
      <c r="N322" s="193" t="s">
        <v>890</v>
      </c>
      <c r="O322" s="185"/>
      <c r="P322" s="190">
        <v>4.43142649E8</v>
      </c>
      <c r="Q322" s="201"/>
      <c r="R322" s="193"/>
      <c r="S322" s="181" t="s">
        <v>259</v>
      </c>
    </row>
    <row r="323" ht="21.0" customHeight="1">
      <c r="A323" s="190">
        <v>322.0</v>
      </c>
      <c r="B323" s="191">
        <v>46314.0</v>
      </c>
      <c r="C323" s="192">
        <v>0.6090277777777777</v>
      </c>
      <c r="D323" s="190">
        <v>2.54366051E8</v>
      </c>
      <c r="E323" s="193" t="s">
        <v>8</v>
      </c>
      <c r="F323" s="194" t="s">
        <v>254</v>
      </c>
      <c r="G323" s="195">
        <v>35000.0</v>
      </c>
      <c r="H323" s="194" t="s">
        <v>255</v>
      </c>
      <c r="I323" s="202"/>
      <c r="J323" s="203"/>
      <c r="K323" s="193" t="s">
        <v>256</v>
      </c>
      <c r="L323" s="193" t="s">
        <v>257</v>
      </c>
      <c r="M323" s="201"/>
      <c r="N323" s="193" t="s">
        <v>285</v>
      </c>
      <c r="O323" s="185"/>
      <c r="P323" s="190">
        <v>2.54366051E8</v>
      </c>
      <c r="Q323" s="201"/>
      <c r="R323" s="193"/>
      <c r="S323" s="181" t="s">
        <v>259</v>
      </c>
    </row>
    <row r="324" ht="21.0" customHeight="1">
      <c r="A324" s="190">
        <v>323.0</v>
      </c>
      <c r="B324" s="191">
        <v>46314.0</v>
      </c>
      <c r="C324" s="192">
        <v>0.6097222222222223</v>
      </c>
      <c r="D324" s="190">
        <v>4.43142649E8</v>
      </c>
      <c r="E324" s="193" t="s">
        <v>260</v>
      </c>
      <c r="F324" s="194" t="s">
        <v>254</v>
      </c>
      <c r="G324" s="195">
        <v>900000.0</v>
      </c>
      <c r="H324" s="194" t="s">
        <v>255</v>
      </c>
      <c r="I324" s="202"/>
      <c r="J324" s="203"/>
      <c r="K324" s="193" t="s">
        <v>290</v>
      </c>
      <c r="L324" s="193" t="s">
        <v>291</v>
      </c>
      <c r="M324" s="201">
        <v>383.0</v>
      </c>
      <c r="N324" s="193" t="s">
        <v>910</v>
      </c>
      <c r="O324" s="185"/>
      <c r="P324" s="190">
        <v>4.43142649E8</v>
      </c>
      <c r="Q324" s="201"/>
      <c r="R324" s="193"/>
      <c r="S324" s="181" t="s">
        <v>259</v>
      </c>
    </row>
    <row r="325" ht="21.0" customHeight="1">
      <c r="A325" s="190">
        <v>324.0</v>
      </c>
      <c r="B325" s="191">
        <v>46314.0</v>
      </c>
      <c r="C325" s="192">
        <v>0.6138888888888889</v>
      </c>
      <c r="D325" s="190">
        <v>4.43142649E8</v>
      </c>
      <c r="E325" s="193" t="s">
        <v>260</v>
      </c>
      <c r="F325" s="194" t="s">
        <v>254</v>
      </c>
      <c r="G325" s="195">
        <v>800000.0</v>
      </c>
      <c r="H325" s="194" t="s">
        <v>255</v>
      </c>
      <c r="I325" s="202"/>
      <c r="J325" s="203"/>
      <c r="K325" s="193" t="s">
        <v>368</v>
      </c>
      <c r="L325" s="193" t="s">
        <v>369</v>
      </c>
      <c r="M325" s="201"/>
      <c r="N325" s="193" t="s">
        <v>911</v>
      </c>
      <c r="O325" s="185"/>
      <c r="P325" s="190">
        <v>4.43142649E8</v>
      </c>
      <c r="Q325" s="201"/>
      <c r="R325" s="193"/>
      <c r="S325" s="181" t="s">
        <v>259</v>
      </c>
    </row>
    <row r="326" ht="21.0" customHeight="1">
      <c r="A326" s="190">
        <v>325.0</v>
      </c>
      <c r="B326" s="191">
        <v>46314.0</v>
      </c>
      <c r="C326" s="192">
        <v>0.6229166666666667</v>
      </c>
      <c r="D326" s="190">
        <v>2.54366051E8</v>
      </c>
      <c r="E326" s="193" t="s">
        <v>8</v>
      </c>
      <c r="F326" s="194" t="s">
        <v>270</v>
      </c>
      <c r="G326" s="195">
        <v>1205590.0</v>
      </c>
      <c r="H326" s="194" t="s">
        <v>263</v>
      </c>
      <c r="I326" s="202">
        <v>100.0</v>
      </c>
      <c r="J326" s="203">
        <v>12055.9</v>
      </c>
      <c r="K326" s="193" t="s">
        <v>271</v>
      </c>
      <c r="L326" s="193" t="s">
        <v>272</v>
      </c>
      <c r="M326" s="201"/>
      <c r="N326" s="193" t="s">
        <v>912</v>
      </c>
      <c r="O326" s="185"/>
      <c r="P326" s="190">
        <v>4.43142649E8</v>
      </c>
      <c r="Q326" s="201"/>
      <c r="R326" s="193"/>
      <c r="S326" s="181" t="s">
        <v>259</v>
      </c>
    </row>
    <row r="327" ht="21.0" customHeight="1">
      <c r="A327" s="190">
        <v>326.0</v>
      </c>
      <c r="B327" s="191">
        <v>46314.0</v>
      </c>
      <c r="C327" s="192">
        <v>0.6243055555555556</v>
      </c>
      <c r="D327" s="190">
        <v>6.156487883E9</v>
      </c>
      <c r="E327" s="193" t="s">
        <v>200</v>
      </c>
      <c r="F327" s="194" t="s">
        <v>254</v>
      </c>
      <c r="G327" s="195">
        <v>200000.0</v>
      </c>
      <c r="H327" s="194" t="s">
        <v>255</v>
      </c>
      <c r="I327" s="202"/>
      <c r="J327" s="203"/>
      <c r="K327" s="193" t="s">
        <v>256</v>
      </c>
      <c r="L327" s="193" t="s">
        <v>257</v>
      </c>
      <c r="M327" s="201">
        <v>383.0</v>
      </c>
      <c r="N327" s="193" t="s">
        <v>847</v>
      </c>
      <c r="O327" s="185"/>
      <c r="P327" s="190">
        <v>6.156487883E9</v>
      </c>
      <c r="Q327" s="201"/>
      <c r="R327" s="193"/>
      <c r="S327" s="181" t="s">
        <v>259</v>
      </c>
    </row>
    <row r="328" ht="21.0" customHeight="1">
      <c r="A328" s="190">
        <v>327.0</v>
      </c>
      <c r="B328" s="191">
        <v>46314.0</v>
      </c>
      <c r="C328" s="192">
        <v>0.6243055555555556</v>
      </c>
      <c r="D328" s="190">
        <v>6.156487883E9</v>
      </c>
      <c r="E328" s="193" t="s">
        <v>200</v>
      </c>
      <c r="F328" s="194" t="s">
        <v>254</v>
      </c>
      <c r="G328" s="195">
        <v>40000.0</v>
      </c>
      <c r="H328" s="194" t="s">
        <v>255</v>
      </c>
      <c r="I328" s="202"/>
      <c r="J328" s="203"/>
      <c r="K328" s="193" t="s">
        <v>372</v>
      </c>
      <c r="L328" s="193" t="s">
        <v>373</v>
      </c>
      <c r="M328" s="201">
        <v>383.0</v>
      </c>
      <c r="N328" s="193" t="s">
        <v>913</v>
      </c>
      <c r="O328" s="185"/>
      <c r="P328" s="190">
        <v>6.156487883E9</v>
      </c>
      <c r="Q328" s="201"/>
      <c r="R328" s="193"/>
      <c r="S328" s="181" t="s">
        <v>259</v>
      </c>
    </row>
    <row r="329" ht="21.0" customHeight="1">
      <c r="A329" s="190">
        <v>328.0</v>
      </c>
      <c r="B329" s="191">
        <v>46314.0</v>
      </c>
      <c r="C329" s="192">
        <v>0.6284722222222222</v>
      </c>
      <c r="D329" s="190">
        <v>4.43142649E8</v>
      </c>
      <c r="E329" s="193" t="s">
        <v>260</v>
      </c>
      <c r="F329" s="194" t="s">
        <v>254</v>
      </c>
      <c r="G329" s="195">
        <v>200000.0</v>
      </c>
      <c r="H329" s="194" t="s">
        <v>255</v>
      </c>
      <c r="I329" s="202"/>
      <c r="J329" s="203"/>
      <c r="K329" s="193" t="s">
        <v>664</v>
      </c>
      <c r="L329" s="193" t="s">
        <v>667</v>
      </c>
      <c r="M329" s="201"/>
      <c r="N329" s="193" t="s">
        <v>914</v>
      </c>
      <c r="O329" s="185"/>
      <c r="P329" s="190">
        <v>4.43142649E8</v>
      </c>
      <c r="Q329" s="201"/>
      <c r="R329" s="193"/>
      <c r="S329" s="181" t="s">
        <v>259</v>
      </c>
    </row>
    <row r="330" ht="21.0" customHeight="1">
      <c r="A330" s="190">
        <v>329.0</v>
      </c>
      <c r="B330" s="191">
        <v>46314.0</v>
      </c>
      <c r="C330" s="192">
        <v>0.6395833333333333</v>
      </c>
      <c r="D330" s="190">
        <v>6.156487883E9</v>
      </c>
      <c r="E330" s="193" t="s">
        <v>200</v>
      </c>
      <c r="F330" s="194" t="s">
        <v>254</v>
      </c>
      <c r="G330" s="195">
        <v>440000.0</v>
      </c>
      <c r="H330" s="194" t="s">
        <v>255</v>
      </c>
      <c r="I330" s="202"/>
      <c r="J330" s="203"/>
      <c r="K330" s="193" t="s">
        <v>560</v>
      </c>
      <c r="L330" s="193" t="s">
        <v>561</v>
      </c>
      <c r="M330" s="201"/>
      <c r="N330" s="193" t="s">
        <v>915</v>
      </c>
      <c r="O330" s="185"/>
      <c r="P330" s="190">
        <v>6.156487883E9</v>
      </c>
      <c r="Q330" s="201"/>
      <c r="R330" s="193"/>
      <c r="S330" s="181" t="s">
        <v>259</v>
      </c>
    </row>
    <row r="331" ht="21.0" customHeight="1">
      <c r="A331" s="190">
        <v>330.0</v>
      </c>
      <c r="B331" s="191">
        <v>46314.0</v>
      </c>
      <c r="C331" s="192">
        <v>0.6444444444444445</v>
      </c>
      <c r="D331" s="190">
        <v>6.156487883E9</v>
      </c>
      <c r="E331" s="193" t="s">
        <v>200</v>
      </c>
      <c r="F331" s="194" t="s">
        <v>254</v>
      </c>
      <c r="G331" s="195">
        <v>40000.0</v>
      </c>
      <c r="H331" s="194" t="s">
        <v>255</v>
      </c>
      <c r="I331" s="202"/>
      <c r="J331" s="203"/>
      <c r="K331" s="193" t="s">
        <v>256</v>
      </c>
      <c r="L331" s="193" t="s">
        <v>257</v>
      </c>
      <c r="M331" s="201">
        <v>383.0</v>
      </c>
      <c r="N331" s="193" t="s">
        <v>916</v>
      </c>
      <c r="O331" s="185"/>
      <c r="P331" s="190">
        <v>6.156487883E9</v>
      </c>
      <c r="Q331" s="201"/>
      <c r="R331" s="193"/>
      <c r="S331" s="181" t="s">
        <v>259</v>
      </c>
    </row>
    <row r="332" ht="21.0" customHeight="1">
      <c r="A332" s="190">
        <v>331.0</v>
      </c>
      <c r="B332" s="191">
        <v>46314.0</v>
      </c>
      <c r="C332" s="192">
        <v>0.6770833333333334</v>
      </c>
      <c r="D332" s="190">
        <v>2.54366051E8</v>
      </c>
      <c r="E332" s="193" t="s">
        <v>8</v>
      </c>
      <c r="F332" s="194" t="s">
        <v>270</v>
      </c>
      <c r="G332" s="195">
        <v>6.75E7</v>
      </c>
      <c r="H332" s="194" t="s">
        <v>263</v>
      </c>
      <c r="I332" s="202">
        <v>5625.0</v>
      </c>
      <c r="J332" s="203">
        <v>12000.0</v>
      </c>
      <c r="K332" s="193" t="s">
        <v>271</v>
      </c>
      <c r="L332" s="193" t="s">
        <v>272</v>
      </c>
      <c r="M332" s="201"/>
      <c r="N332" s="193" t="s">
        <v>917</v>
      </c>
      <c r="O332" s="185"/>
      <c r="P332" s="190">
        <v>4.43142649E8</v>
      </c>
      <c r="Q332" s="201"/>
      <c r="R332" s="193"/>
      <c r="S332" s="181" t="s">
        <v>259</v>
      </c>
    </row>
    <row r="333" ht="21.0" customHeight="1">
      <c r="A333" s="190">
        <v>332.0</v>
      </c>
      <c r="B333" s="191">
        <v>46314.0</v>
      </c>
      <c r="C333" s="192">
        <v>0.68125</v>
      </c>
      <c r="D333" s="190">
        <v>2.54366051E8</v>
      </c>
      <c r="E333" s="193" t="s">
        <v>8</v>
      </c>
      <c r="F333" s="194" t="s">
        <v>254</v>
      </c>
      <c r="G333" s="195">
        <v>1493880.0</v>
      </c>
      <c r="H333" s="194" t="s">
        <v>263</v>
      </c>
      <c r="I333" s="202">
        <v>124.49</v>
      </c>
      <c r="J333" s="203">
        <v>12000.0</v>
      </c>
      <c r="K333" s="193" t="s">
        <v>342</v>
      </c>
      <c r="L333" s="193" t="s">
        <v>343</v>
      </c>
      <c r="M333" s="201">
        <v>375.0</v>
      </c>
      <c r="N333" s="193" t="s">
        <v>819</v>
      </c>
      <c r="O333" s="185"/>
      <c r="P333" s="190">
        <v>2.54366051E8</v>
      </c>
      <c r="Q333" s="201"/>
      <c r="R333" s="193"/>
      <c r="S333" s="181" t="s">
        <v>259</v>
      </c>
    </row>
    <row r="334" ht="21.0" customHeight="1">
      <c r="A334" s="190">
        <v>333.0</v>
      </c>
      <c r="B334" s="191">
        <v>46314.0</v>
      </c>
      <c r="C334" s="192">
        <v>0.7194444444444444</v>
      </c>
      <c r="D334" s="190">
        <v>4.43142649E8</v>
      </c>
      <c r="E334" s="193" t="s">
        <v>260</v>
      </c>
      <c r="F334" s="194" t="s">
        <v>254</v>
      </c>
      <c r="G334" s="195">
        <v>3000000.0</v>
      </c>
      <c r="H334" s="194" t="s">
        <v>255</v>
      </c>
      <c r="I334" s="202"/>
      <c r="J334" s="203"/>
      <c r="K334" s="193" t="s">
        <v>266</v>
      </c>
      <c r="L334" s="193" t="s">
        <v>267</v>
      </c>
      <c r="M334" s="201"/>
      <c r="N334" s="193" t="s">
        <v>918</v>
      </c>
      <c r="O334" s="185"/>
      <c r="P334" s="190">
        <v>4.43142649E8</v>
      </c>
      <c r="Q334" s="201"/>
      <c r="R334" s="193" t="s">
        <v>10</v>
      </c>
      <c r="S334" s="233" t="s">
        <v>269</v>
      </c>
    </row>
    <row r="335" ht="21.0" customHeight="1">
      <c r="A335" s="190">
        <v>334.0</v>
      </c>
      <c r="B335" s="191">
        <v>46314.0</v>
      </c>
      <c r="C335" s="192">
        <v>0.7215277777777778</v>
      </c>
      <c r="D335" s="190">
        <v>2.54366051E8</v>
      </c>
      <c r="E335" s="193" t="s">
        <v>8</v>
      </c>
      <c r="F335" s="194" t="s">
        <v>254</v>
      </c>
      <c r="G335" s="195">
        <v>30000.0</v>
      </c>
      <c r="H335" s="194" t="s">
        <v>255</v>
      </c>
      <c r="I335" s="202"/>
      <c r="J335" s="203"/>
      <c r="K335" s="193" t="s">
        <v>380</v>
      </c>
      <c r="L335" s="193" t="s">
        <v>381</v>
      </c>
      <c r="M335" s="201"/>
      <c r="N335" s="193" t="s">
        <v>919</v>
      </c>
      <c r="O335" s="185"/>
      <c r="P335" s="190">
        <v>2.54366051E8</v>
      </c>
      <c r="Q335" s="201"/>
      <c r="R335" s="193"/>
      <c r="S335" s="181" t="s">
        <v>259</v>
      </c>
    </row>
    <row r="336" ht="21.0" customHeight="1">
      <c r="A336" s="190">
        <v>335.0</v>
      </c>
      <c r="B336" s="191">
        <v>46314.0</v>
      </c>
      <c r="C336" s="192">
        <v>0.7222222222222222</v>
      </c>
      <c r="D336" s="190">
        <v>2.54366051E8</v>
      </c>
      <c r="E336" s="193" t="s">
        <v>8</v>
      </c>
      <c r="F336" s="194" t="s">
        <v>254</v>
      </c>
      <c r="G336" s="195">
        <v>20000.0</v>
      </c>
      <c r="H336" s="194" t="s">
        <v>255</v>
      </c>
      <c r="I336" s="202"/>
      <c r="J336" s="203"/>
      <c r="K336" s="193" t="s">
        <v>342</v>
      </c>
      <c r="L336" s="193" t="s">
        <v>343</v>
      </c>
      <c r="M336" s="201">
        <v>391.0</v>
      </c>
      <c r="N336" s="193" t="s">
        <v>920</v>
      </c>
      <c r="O336" s="185"/>
      <c r="P336" s="190">
        <v>2.54366051E8</v>
      </c>
      <c r="Q336" s="201"/>
      <c r="R336" s="193"/>
      <c r="S336" s="181" t="s">
        <v>259</v>
      </c>
    </row>
    <row r="337" ht="21.0" customHeight="1">
      <c r="A337" s="190">
        <v>336.0</v>
      </c>
      <c r="B337" s="191">
        <v>46314.0</v>
      </c>
      <c r="C337" s="192">
        <v>0.7229166666666667</v>
      </c>
      <c r="D337" s="190">
        <v>2.54366051E8</v>
      </c>
      <c r="E337" s="193" t="s">
        <v>8</v>
      </c>
      <c r="F337" s="194" t="s">
        <v>254</v>
      </c>
      <c r="G337" s="195">
        <v>25000.0</v>
      </c>
      <c r="H337" s="194" t="s">
        <v>255</v>
      </c>
      <c r="I337" s="202"/>
      <c r="J337" s="203"/>
      <c r="K337" s="193" t="s">
        <v>342</v>
      </c>
      <c r="L337" s="193" t="s">
        <v>343</v>
      </c>
      <c r="M337" s="201">
        <v>383.0</v>
      </c>
      <c r="N337" s="193" t="s">
        <v>921</v>
      </c>
      <c r="O337" s="185"/>
      <c r="P337" s="190">
        <v>2.54366051E8</v>
      </c>
      <c r="Q337" s="201"/>
      <c r="R337" s="193"/>
      <c r="S337" s="181" t="s">
        <v>259</v>
      </c>
    </row>
    <row r="338" ht="21.0" customHeight="1">
      <c r="A338" s="190">
        <v>337.0</v>
      </c>
      <c r="B338" s="191">
        <v>46314.0</v>
      </c>
      <c r="C338" s="192">
        <v>0.73125</v>
      </c>
      <c r="D338" s="190">
        <v>4.43142649E8</v>
      </c>
      <c r="E338" s="193" t="s">
        <v>260</v>
      </c>
      <c r="F338" s="194" t="s">
        <v>254</v>
      </c>
      <c r="G338" s="195">
        <v>600000.0</v>
      </c>
      <c r="H338" s="194" t="s">
        <v>255</v>
      </c>
      <c r="I338" s="202"/>
      <c r="J338" s="203"/>
      <c r="K338" s="193" t="s">
        <v>664</v>
      </c>
      <c r="L338" s="193" t="s">
        <v>667</v>
      </c>
      <c r="M338" s="201"/>
      <c r="N338" s="193" t="s">
        <v>672</v>
      </c>
      <c r="O338" s="185"/>
      <c r="P338" s="190">
        <v>4.43142649E8</v>
      </c>
      <c r="Q338" s="201"/>
      <c r="R338" s="193"/>
      <c r="S338" s="181" t="s">
        <v>259</v>
      </c>
    </row>
    <row r="339" ht="21.0" customHeight="1">
      <c r="A339" s="190">
        <v>338.0</v>
      </c>
      <c r="B339" s="191">
        <v>46314.0</v>
      </c>
      <c r="C339" s="192">
        <v>0.7645833333333333</v>
      </c>
      <c r="D339" s="190">
        <v>2.54366051E8</v>
      </c>
      <c r="E339" s="193" t="s">
        <v>8</v>
      </c>
      <c r="F339" s="194" t="s">
        <v>254</v>
      </c>
      <c r="G339" s="195">
        <v>50000.0</v>
      </c>
      <c r="H339" s="194" t="s">
        <v>255</v>
      </c>
      <c r="I339" s="202"/>
      <c r="J339" s="203"/>
      <c r="K339" s="193" t="s">
        <v>814</v>
      </c>
      <c r="L339" s="193" t="s">
        <v>815</v>
      </c>
      <c r="M339" s="201"/>
      <c r="N339" s="193" t="s">
        <v>922</v>
      </c>
      <c r="O339" s="185"/>
      <c r="P339" s="190">
        <v>2.54366051E8</v>
      </c>
      <c r="Q339" s="201"/>
      <c r="R339" s="193"/>
      <c r="S339" s="181" t="s">
        <v>259</v>
      </c>
    </row>
    <row r="340" ht="21.0" customHeight="1">
      <c r="A340" s="190">
        <v>339.0</v>
      </c>
      <c r="B340" s="191">
        <v>46314.0</v>
      </c>
      <c r="C340" s="192">
        <v>0.7659722222222223</v>
      </c>
      <c r="D340" s="190">
        <v>2.54366051E8</v>
      </c>
      <c r="E340" s="193" t="s">
        <v>8</v>
      </c>
      <c r="F340" s="194" t="s">
        <v>254</v>
      </c>
      <c r="G340" s="195">
        <v>1.056288E7</v>
      </c>
      <c r="H340" s="194" t="s">
        <v>263</v>
      </c>
      <c r="I340" s="202">
        <v>880.24</v>
      </c>
      <c r="J340" s="203">
        <v>12000.0</v>
      </c>
      <c r="K340" s="193" t="s">
        <v>342</v>
      </c>
      <c r="L340" s="193" t="s">
        <v>343</v>
      </c>
      <c r="M340" s="201">
        <v>378.0</v>
      </c>
      <c r="N340" s="193" t="s">
        <v>819</v>
      </c>
      <c r="O340" s="185"/>
      <c r="P340" s="190">
        <v>2.54366051E8</v>
      </c>
      <c r="Q340" s="201"/>
      <c r="R340" s="193"/>
      <c r="S340" s="181" t="s">
        <v>259</v>
      </c>
    </row>
    <row r="341" ht="21.0" customHeight="1">
      <c r="A341" s="190">
        <v>340.0</v>
      </c>
      <c r="B341" s="191">
        <v>46314.0</v>
      </c>
      <c r="C341" s="192">
        <v>0.7673611111111112</v>
      </c>
      <c r="D341" s="190">
        <v>2.54366051E8</v>
      </c>
      <c r="E341" s="193" t="s">
        <v>8</v>
      </c>
      <c r="F341" s="194" t="s">
        <v>254</v>
      </c>
      <c r="G341" s="195">
        <v>840000.0</v>
      </c>
      <c r="H341" s="194" t="s">
        <v>263</v>
      </c>
      <c r="I341" s="202">
        <v>70.0</v>
      </c>
      <c r="J341" s="203">
        <v>12000.0</v>
      </c>
      <c r="K341" s="193" t="s">
        <v>342</v>
      </c>
      <c r="L341" s="193" t="s">
        <v>343</v>
      </c>
      <c r="M341" s="201">
        <v>383.0</v>
      </c>
      <c r="N341" s="193" t="s">
        <v>819</v>
      </c>
      <c r="O341" s="185"/>
      <c r="P341" s="190">
        <v>2.54366051E8</v>
      </c>
      <c r="Q341" s="201"/>
      <c r="R341" s="193"/>
      <c r="S341" s="181" t="s">
        <v>259</v>
      </c>
    </row>
    <row r="342" ht="21.0" customHeight="1">
      <c r="A342" s="190">
        <v>341.0</v>
      </c>
      <c r="B342" s="191">
        <v>46314.0</v>
      </c>
      <c r="C342" s="192">
        <v>0.7798611111111111</v>
      </c>
      <c r="D342" s="190">
        <v>2.54366051E8</v>
      </c>
      <c r="E342" s="193" t="s">
        <v>8</v>
      </c>
      <c r="F342" s="194" t="s">
        <v>254</v>
      </c>
      <c r="G342" s="195">
        <v>1620000.0</v>
      </c>
      <c r="H342" s="194" t="s">
        <v>263</v>
      </c>
      <c r="I342" s="202">
        <v>135.0</v>
      </c>
      <c r="J342" s="203">
        <v>12000.0</v>
      </c>
      <c r="K342" s="193" t="s">
        <v>323</v>
      </c>
      <c r="L342" s="193" t="s">
        <v>324</v>
      </c>
      <c r="M342" s="201">
        <v>386.0</v>
      </c>
      <c r="N342" s="193" t="s">
        <v>923</v>
      </c>
      <c r="O342" s="185"/>
      <c r="P342" s="190">
        <v>2.54366051E8</v>
      </c>
      <c r="Q342" s="201"/>
      <c r="R342" s="193"/>
      <c r="S342" s="181" t="s">
        <v>259</v>
      </c>
    </row>
    <row r="343" ht="21.0" customHeight="1">
      <c r="A343" s="190">
        <v>342.0</v>
      </c>
      <c r="B343" s="191">
        <v>46314.0</v>
      </c>
      <c r="C343" s="192">
        <v>0.78125</v>
      </c>
      <c r="D343" s="190">
        <v>2.54366051E8</v>
      </c>
      <c r="E343" s="193" t="s">
        <v>8</v>
      </c>
      <c r="F343" s="194" t="s">
        <v>254</v>
      </c>
      <c r="G343" s="195">
        <v>720000.0</v>
      </c>
      <c r="H343" s="194" t="s">
        <v>263</v>
      </c>
      <c r="I343" s="202">
        <v>60.0</v>
      </c>
      <c r="J343" s="203">
        <v>12000.0</v>
      </c>
      <c r="K343" s="193" t="s">
        <v>323</v>
      </c>
      <c r="L343" s="193" t="s">
        <v>324</v>
      </c>
      <c r="M343" s="201"/>
      <c r="N343" s="193" t="s">
        <v>924</v>
      </c>
      <c r="O343" s="185"/>
      <c r="P343" s="190">
        <v>2.54366051E8</v>
      </c>
      <c r="Q343" s="201"/>
      <c r="R343" s="193"/>
      <c r="S343" s="181" t="s">
        <v>259</v>
      </c>
    </row>
    <row r="344" ht="21.0" customHeight="1">
      <c r="A344" s="190">
        <v>343.0</v>
      </c>
      <c r="B344" s="191">
        <v>46314.0</v>
      </c>
      <c r="C344" s="192">
        <v>0.7819444444444444</v>
      </c>
      <c r="D344" s="190">
        <v>2.54366051E8</v>
      </c>
      <c r="E344" s="193" t="s">
        <v>8</v>
      </c>
      <c r="F344" s="194" t="s">
        <v>254</v>
      </c>
      <c r="G344" s="195">
        <v>5520000.0</v>
      </c>
      <c r="H344" s="194" t="s">
        <v>263</v>
      </c>
      <c r="I344" s="202">
        <v>460.0</v>
      </c>
      <c r="J344" s="203">
        <v>12000.0</v>
      </c>
      <c r="K344" s="193" t="s">
        <v>323</v>
      </c>
      <c r="L344" s="193" t="s">
        <v>324</v>
      </c>
      <c r="M344" s="201">
        <v>378.0</v>
      </c>
      <c r="N344" s="193" t="s">
        <v>923</v>
      </c>
      <c r="O344" s="185"/>
      <c r="P344" s="190">
        <v>2.54366051E8</v>
      </c>
      <c r="Q344" s="201"/>
      <c r="R344" s="193"/>
      <c r="S344" s="181" t="s">
        <v>259</v>
      </c>
    </row>
    <row r="345" ht="21.0" customHeight="1">
      <c r="A345" s="190">
        <v>344.0</v>
      </c>
      <c r="B345" s="191">
        <v>46314.0</v>
      </c>
      <c r="C345" s="192">
        <v>0.7833333333333333</v>
      </c>
      <c r="D345" s="190">
        <v>2.54366051E8</v>
      </c>
      <c r="E345" s="193" t="s">
        <v>8</v>
      </c>
      <c r="F345" s="194" t="s">
        <v>254</v>
      </c>
      <c r="G345" s="195">
        <v>3.96E7</v>
      </c>
      <c r="H345" s="194" t="s">
        <v>263</v>
      </c>
      <c r="I345" s="202">
        <v>3300.0</v>
      </c>
      <c r="J345" s="203">
        <v>12000.0</v>
      </c>
      <c r="K345" s="193" t="s">
        <v>290</v>
      </c>
      <c r="L345" s="193" t="s">
        <v>291</v>
      </c>
      <c r="M345" s="201">
        <v>378.0</v>
      </c>
      <c r="N345" s="193" t="s">
        <v>925</v>
      </c>
      <c r="O345" s="185"/>
      <c r="P345" s="190">
        <v>2.54366051E8</v>
      </c>
      <c r="Q345" s="201"/>
      <c r="R345" s="193"/>
      <c r="S345" s="181" t="s">
        <v>259</v>
      </c>
    </row>
    <row r="346" ht="21.0" customHeight="1">
      <c r="A346" s="190">
        <v>345.0</v>
      </c>
      <c r="B346" s="191">
        <v>46314.0</v>
      </c>
      <c r="C346" s="192">
        <v>0.7847222222222222</v>
      </c>
      <c r="D346" s="190">
        <v>2.54366051E8</v>
      </c>
      <c r="E346" s="193" t="s">
        <v>8</v>
      </c>
      <c r="F346" s="194" t="s">
        <v>254</v>
      </c>
      <c r="G346" s="195">
        <v>886000.0</v>
      </c>
      <c r="H346" s="194" t="s">
        <v>255</v>
      </c>
      <c r="I346" s="202"/>
      <c r="J346" s="203"/>
      <c r="K346" s="193" t="s">
        <v>323</v>
      </c>
      <c r="L346" s="193" t="s">
        <v>324</v>
      </c>
      <c r="M346" s="201">
        <v>395.0</v>
      </c>
      <c r="N346" s="193" t="s">
        <v>926</v>
      </c>
      <c r="O346" s="185"/>
      <c r="P346" s="190">
        <v>2.54366051E8</v>
      </c>
      <c r="Q346" s="201"/>
      <c r="R346" s="193"/>
      <c r="S346" s="181" t="s">
        <v>259</v>
      </c>
    </row>
    <row r="347" ht="21.0" customHeight="1">
      <c r="A347" s="190">
        <v>346.0</v>
      </c>
      <c r="B347" s="191">
        <v>46314.0</v>
      </c>
      <c r="C347" s="192">
        <v>0.7868055555555555</v>
      </c>
      <c r="D347" s="190">
        <v>2.54366051E8</v>
      </c>
      <c r="E347" s="193" t="s">
        <v>8</v>
      </c>
      <c r="F347" s="194" t="s">
        <v>254</v>
      </c>
      <c r="G347" s="195">
        <v>470000.0</v>
      </c>
      <c r="H347" s="194" t="s">
        <v>255</v>
      </c>
      <c r="I347" s="202"/>
      <c r="J347" s="203"/>
      <c r="K347" s="193" t="s">
        <v>323</v>
      </c>
      <c r="L347" s="193" t="s">
        <v>324</v>
      </c>
      <c r="M347" s="201">
        <v>388.0</v>
      </c>
      <c r="N347" s="193" t="s">
        <v>926</v>
      </c>
      <c r="O347" s="185"/>
      <c r="P347" s="190">
        <v>2.54366051E8</v>
      </c>
      <c r="Q347" s="201"/>
      <c r="R347" s="193"/>
      <c r="S347" s="181" t="s">
        <v>259</v>
      </c>
    </row>
    <row r="348" ht="21.0" customHeight="1">
      <c r="A348" s="190">
        <v>347.0</v>
      </c>
      <c r="B348" s="191">
        <v>46314.0</v>
      </c>
      <c r="C348" s="192">
        <v>0.7881944444444444</v>
      </c>
      <c r="D348" s="190">
        <v>2.54366051E8</v>
      </c>
      <c r="E348" s="193" t="s">
        <v>8</v>
      </c>
      <c r="F348" s="194" t="s">
        <v>254</v>
      </c>
      <c r="G348" s="195">
        <v>4171341.0</v>
      </c>
      <c r="H348" s="194" t="s">
        <v>263</v>
      </c>
      <c r="I348" s="202">
        <v>346.0</v>
      </c>
      <c r="J348" s="203">
        <v>12055.9</v>
      </c>
      <c r="K348" s="193" t="s">
        <v>323</v>
      </c>
      <c r="L348" s="193" t="s">
        <v>324</v>
      </c>
      <c r="M348" s="201">
        <v>397.0</v>
      </c>
      <c r="N348" s="193" t="s">
        <v>927</v>
      </c>
      <c r="O348" s="185"/>
      <c r="P348" s="190">
        <v>2.54366051E8</v>
      </c>
      <c r="Q348" s="201" t="s">
        <v>258</v>
      </c>
      <c r="R348" s="193"/>
      <c r="S348" s="181" t="s">
        <v>259</v>
      </c>
    </row>
    <row r="349" ht="21.0" customHeight="1">
      <c r="A349" s="190">
        <v>348.0</v>
      </c>
      <c r="B349" s="191">
        <v>46314.0</v>
      </c>
      <c r="C349" s="192">
        <v>0.7923611111111111</v>
      </c>
      <c r="D349" s="190">
        <v>2.54366051E8</v>
      </c>
      <c r="E349" s="193" t="s">
        <v>8</v>
      </c>
      <c r="F349" s="194" t="s">
        <v>254</v>
      </c>
      <c r="G349" s="195">
        <v>4152000.0</v>
      </c>
      <c r="H349" s="194" t="s">
        <v>263</v>
      </c>
      <c r="I349" s="202">
        <v>346.0</v>
      </c>
      <c r="J349" s="203">
        <v>12000.0</v>
      </c>
      <c r="K349" s="193" t="s">
        <v>323</v>
      </c>
      <c r="L349" s="193" t="s">
        <v>324</v>
      </c>
      <c r="M349" s="201">
        <v>397.0</v>
      </c>
      <c r="N349" s="193" t="s">
        <v>927</v>
      </c>
      <c r="O349" s="185"/>
      <c r="P349" s="190">
        <v>2.54366051E8</v>
      </c>
      <c r="Q349" s="201"/>
      <c r="R349" s="193"/>
      <c r="S349" s="181" t="s">
        <v>259</v>
      </c>
    </row>
    <row r="350" ht="21.0" customHeight="1">
      <c r="A350" s="190">
        <v>349.0</v>
      </c>
      <c r="B350" s="191">
        <v>46314.0</v>
      </c>
      <c r="C350" s="192">
        <v>0.79375</v>
      </c>
      <c r="D350" s="190">
        <v>2.54366051E8</v>
      </c>
      <c r="E350" s="193" t="s">
        <v>8</v>
      </c>
      <c r="F350" s="194" t="s">
        <v>254</v>
      </c>
      <c r="G350" s="195">
        <v>1639602.0</v>
      </c>
      <c r="H350" s="194" t="s">
        <v>263</v>
      </c>
      <c r="I350" s="202">
        <v>136.0</v>
      </c>
      <c r="J350" s="203">
        <v>12055.9</v>
      </c>
      <c r="K350" s="193" t="s">
        <v>323</v>
      </c>
      <c r="L350" s="193" t="s">
        <v>324</v>
      </c>
      <c r="M350" s="201">
        <v>399.0</v>
      </c>
      <c r="N350" s="193" t="s">
        <v>927</v>
      </c>
      <c r="O350" s="185"/>
      <c r="P350" s="190">
        <v>2.54366051E8</v>
      </c>
      <c r="Q350" s="201" t="s">
        <v>258</v>
      </c>
      <c r="R350" s="193"/>
      <c r="S350" s="181" t="s">
        <v>259</v>
      </c>
    </row>
    <row r="351" ht="21.0" customHeight="1">
      <c r="A351" s="190">
        <v>350.0</v>
      </c>
      <c r="B351" s="191">
        <v>46314.0</v>
      </c>
      <c r="C351" s="192">
        <v>0.7944444444444444</v>
      </c>
      <c r="D351" s="190">
        <v>2.54366051E8</v>
      </c>
      <c r="E351" s="193" t="s">
        <v>8</v>
      </c>
      <c r="F351" s="194" t="s">
        <v>254</v>
      </c>
      <c r="G351" s="195">
        <v>1632000.0</v>
      </c>
      <c r="H351" s="194" t="s">
        <v>263</v>
      </c>
      <c r="I351" s="202">
        <v>136.0</v>
      </c>
      <c r="J351" s="203">
        <v>12000.0</v>
      </c>
      <c r="K351" s="193" t="s">
        <v>323</v>
      </c>
      <c r="L351" s="193" t="s">
        <v>324</v>
      </c>
      <c r="M351" s="201">
        <v>399.0</v>
      </c>
      <c r="N351" s="193" t="s">
        <v>927</v>
      </c>
      <c r="O351" s="185"/>
      <c r="P351" s="190">
        <v>2.54366051E8</v>
      </c>
      <c r="Q351" s="201"/>
      <c r="R351" s="193"/>
      <c r="S351" s="181" t="s">
        <v>259</v>
      </c>
    </row>
    <row r="352" ht="21.0" customHeight="1">
      <c r="A352" s="190">
        <v>351.0</v>
      </c>
      <c r="B352" s="191">
        <v>46314.0</v>
      </c>
      <c r="C352" s="192">
        <v>0.7965277777777777</v>
      </c>
      <c r="D352" s="190">
        <v>2.54366051E8</v>
      </c>
      <c r="E352" s="193" t="s">
        <v>8</v>
      </c>
      <c r="F352" s="194" t="s">
        <v>254</v>
      </c>
      <c r="G352" s="195">
        <v>150000.0</v>
      </c>
      <c r="H352" s="194" t="s">
        <v>255</v>
      </c>
      <c r="I352" s="202"/>
      <c r="J352" s="203"/>
      <c r="K352" s="193" t="s">
        <v>266</v>
      </c>
      <c r="L352" s="193" t="s">
        <v>267</v>
      </c>
      <c r="M352" s="201"/>
      <c r="N352" s="193" t="s">
        <v>365</v>
      </c>
      <c r="O352" s="185"/>
      <c r="P352" s="190">
        <v>2.54366051E8</v>
      </c>
      <c r="Q352" s="201"/>
      <c r="R352" s="193" t="s">
        <v>126</v>
      </c>
      <c r="S352" s="181" t="s">
        <v>269</v>
      </c>
    </row>
    <row r="353" ht="21.0" customHeight="1">
      <c r="A353" s="190">
        <v>352.0</v>
      </c>
      <c r="B353" s="191">
        <v>46314.0</v>
      </c>
      <c r="C353" s="192">
        <v>0.8333333333333334</v>
      </c>
      <c r="D353" s="190">
        <v>6.156487883E9</v>
      </c>
      <c r="E353" s="193" t="s">
        <v>200</v>
      </c>
      <c r="F353" s="194" t="s">
        <v>254</v>
      </c>
      <c r="G353" s="195">
        <v>150000.0</v>
      </c>
      <c r="H353" s="194" t="s">
        <v>255</v>
      </c>
      <c r="I353" s="202"/>
      <c r="J353" s="203"/>
      <c r="K353" s="193" t="s">
        <v>380</v>
      </c>
      <c r="L353" s="193" t="s">
        <v>381</v>
      </c>
      <c r="M353" s="201"/>
      <c r="N353" s="193" t="s">
        <v>928</v>
      </c>
      <c r="O353" s="185"/>
      <c r="P353" s="190">
        <v>6.156487883E9</v>
      </c>
      <c r="Q353" s="201"/>
      <c r="R353" s="193"/>
      <c r="S353" s="181" t="s">
        <v>259</v>
      </c>
    </row>
    <row r="354" ht="21.0" customHeight="1">
      <c r="A354" s="190">
        <v>353.0</v>
      </c>
      <c r="B354" s="191">
        <v>46314.0</v>
      </c>
      <c r="C354" s="192">
        <v>0.8541666666666666</v>
      </c>
      <c r="D354" s="190">
        <v>6.156487883E9</v>
      </c>
      <c r="E354" s="193" t="s">
        <v>200</v>
      </c>
      <c r="F354" s="194" t="s">
        <v>254</v>
      </c>
      <c r="G354" s="195">
        <v>50000.0</v>
      </c>
      <c r="H354" s="194" t="s">
        <v>255</v>
      </c>
      <c r="I354" s="202"/>
      <c r="J354" s="203"/>
      <c r="K354" s="193" t="s">
        <v>372</v>
      </c>
      <c r="L354" s="193" t="s">
        <v>373</v>
      </c>
      <c r="M354" s="201"/>
      <c r="N354" s="193" t="s">
        <v>929</v>
      </c>
      <c r="O354" s="185"/>
      <c r="P354" s="190">
        <v>6.156487883E9</v>
      </c>
      <c r="Q354" s="201"/>
      <c r="R354" s="193"/>
      <c r="S354" s="181" t="s">
        <v>259</v>
      </c>
    </row>
    <row r="355" ht="21.0" customHeight="1">
      <c r="A355" s="190">
        <v>354.0</v>
      </c>
      <c r="B355" s="191">
        <v>46314.0</v>
      </c>
      <c r="C355" s="192">
        <v>0.9076388888888889</v>
      </c>
      <c r="D355" s="190">
        <v>2.54366051E8</v>
      </c>
      <c r="E355" s="193" t="s">
        <v>8</v>
      </c>
      <c r="F355" s="194" t="s">
        <v>254</v>
      </c>
      <c r="G355" s="195">
        <v>212000.0</v>
      </c>
      <c r="H355" s="194" t="s">
        <v>255</v>
      </c>
      <c r="I355" s="202"/>
      <c r="J355" s="203"/>
      <c r="K355" s="193" t="s">
        <v>342</v>
      </c>
      <c r="L355" s="193" t="s">
        <v>343</v>
      </c>
      <c r="M355" s="201">
        <v>395.0</v>
      </c>
      <c r="N355" s="193" t="s">
        <v>930</v>
      </c>
      <c r="O355" s="185"/>
      <c r="P355" s="190">
        <v>2.54366051E8</v>
      </c>
      <c r="Q355" s="201"/>
      <c r="R355" s="193"/>
      <c r="S355" s="181" t="s">
        <v>259</v>
      </c>
    </row>
    <row r="356" ht="21.0" customHeight="1">
      <c r="A356" s="190">
        <v>355.0</v>
      </c>
      <c r="B356" s="191">
        <v>46314.0</v>
      </c>
      <c r="C356" s="192">
        <v>0.9145833333333333</v>
      </c>
      <c r="D356" s="190">
        <v>4.43142649E8</v>
      </c>
      <c r="E356" s="193" t="s">
        <v>260</v>
      </c>
      <c r="F356" s="194" t="s">
        <v>254</v>
      </c>
      <c r="G356" s="195">
        <v>340000.0</v>
      </c>
      <c r="H356" s="194" t="s">
        <v>255</v>
      </c>
      <c r="I356" s="202"/>
      <c r="J356" s="203"/>
      <c r="K356" s="193" t="s">
        <v>455</v>
      </c>
      <c r="L356" s="193" t="s">
        <v>456</v>
      </c>
      <c r="M356" s="201"/>
      <c r="N356" s="193" t="s">
        <v>931</v>
      </c>
      <c r="O356" s="185"/>
      <c r="P356" s="190">
        <v>4.43142649E8</v>
      </c>
      <c r="Q356" s="201"/>
      <c r="R356" s="193"/>
      <c r="S356" s="181" t="s">
        <v>259</v>
      </c>
    </row>
    <row r="357" ht="21.0" customHeight="1">
      <c r="A357" s="190">
        <v>356.0</v>
      </c>
      <c r="B357" s="191">
        <v>46315.0</v>
      </c>
      <c r="C357" s="192">
        <v>0.39861111111111114</v>
      </c>
      <c r="D357" s="190">
        <v>4.43142649E8</v>
      </c>
      <c r="E357" s="193" t="s">
        <v>260</v>
      </c>
      <c r="F357" s="194" t="s">
        <v>254</v>
      </c>
      <c r="G357" s="195">
        <v>550000.0</v>
      </c>
      <c r="H357" s="194" t="s">
        <v>255</v>
      </c>
      <c r="I357" s="202"/>
      <c r="J357" s="203"/>
      <c r="K357" s="193" t="s">
        <v>664</v>
      </c>
      <c r="L357" s="193" t="s">
        <v>667</v>
      </c>
      <c r="M357" s="201"/>
      <c r="N357" s="193" t="s">
        <v>747</v>
      </c>
      <c r="O357" s="185"/>
      <c r="P357" s="190">
        <v>4.43142649E8</v>
      </c>
      <c r="Q357" s="201"/>
      <c r="R357" s="193"/>
      <c r="S357" s="181" t="s">
        <v>259</v>
      </c>
    </row>
    <row r="358" ht="21.0" customHeight="1">
      <c r="A358" s="190">
        <v>357.0</v>
      </c>
      <c r="B358" s="191">
        <v>46315.0</v>
      </c>
      <c r="C358" s="192">
        <v>0.5909722222222222</v>
      </c>
      <c r="D358" s="190">
        <v>2.54366051E8</v>
      </c>
      <c r="E358" s="193" t="s">
        <v>8</v>
      </c>
      <c r="F358" s="194" t="s">
        <v>254</v>
      </c>
      <c r="G358" s="195">
        <v>35000.0</v>
      </c>
      <c r="H358" s="194" t="s">
        <v>255</v>
      </c>
      <c r="I358" s="202"/>
      <c r="J358" s="203"/>
      <c r="K358" s="193" t="s">
        <v>342</v>
      </c>
      <c r="L358" s="193" t="s">
        <v>343</v>
      </c>
      <c r="M358" s="201">
        <v>391.0</v>
      </c>
      <c r="N358" s="193" t="s">
        <v>932</v>
      </c>
      <c r="O358" s="185"/>
      <c r="P358" s="190">
        <v>2.54366051E8</v>
      </c>
      <c r="Q358" s="201"/>
      <c r="R358" s="193"/>
      <c r="S358" s="181" t="s">
        <v>259</v>
      </c>
    </row>
    <row r="359" ht="21.0" customHeight="1">
      <c r="A359" s="190">
        <v>358.0</v>
      </c>
      <c r="B359" s="191">
        <v>46315.0</v>
      </c>
      <c r="C359" s="192">
        <v>0.5916666666666667</v>
      </c>
      <c r="D359" s="190">
        <v>2.54366051E8</v>
      </c>
      <c r="E359" s="193" t="s">
        <v>8</v>
      </c>
      <c r="F359" s="194" t="s">
        <v>254</v>
      </c>
      <c r="G359" s="195">
        <v>30000.0</v>
      </c>
      <c r="H359" s="194" t="s">
        <v>255</v>
      </c>
      <c r="I359" s="202"/>
      <c r="J359" s="203"/>
      <c r="K359" s="193" t="s">
        <v>323</v>
      </c>
      <c r="L359" s="193" t="s">
        <v>324</v>
      </c>
      <c r="M359" s="201">
        <v>388.0</v>
      </c>
      <c r="N359" s="193" t="s">
        <v>933</v>
      </c>
      <c r="O359" s="185"/>
      <c r="P359" s="190">
        <v>2.54366051E8</v>
      </c>
      <c r="Q359" s="201"/>
      <c r="R359" s="193"/>
      <c r="S359" s="181" t="s">
        <v>259</v>
      </c>
    </row>
    <row r="360" ht="21.0" customHeight="1">
      <c r="A360" s="190">
        <v>359.0</v>
      </c>
      <c r="B360" s="191">
        <v>46315.0</v>
      </c>
      <c r="C360" s="192">
        <v>0.5916666666666667</v>
      </c>
      <c r="D360" s="190">
        <v>6.156487883E9</v>
      </c>
      <c r="E360" s="193" t="s">
        <v>200</v>
      </c>
      <c r="F360" s="194" t="s">
        <v>254</v>
      </c>
      <c r="G360" s="195">
        <v>40000.0</v>
      </c>
      <c r="H360" s="194" t="s">
        <v>255</v>
      </c>
      <c r="I360" s="202"/>
      <c r="J360" s="203"/>
      <c r="K360" s="193" t="s">
        <v>256</v>
      </c>
      <c r="L360" s="193" t="s">
        <v>257</v>
      </c>
      <c r="M360" s="201"/>
      <c r="N360" s="193" t="s">
        <v>934</v>
      </c>
      <c r="O360" s="185"/>
      <c r="P360" s="190">
        <v>6.156487883E9</v>
      </c>
      <c r="Q360" s="201"/>
      <c r="R360" s="193"/>
      <c r="S360" s="181" t="s">
        <v>259</v>
      </c>
    </row>
    <row r="361" ht="21.0" customHeight="1">
      <c r="A361" s="190">
        <v>360.0</v>
      </c>
      <c r="B361" s="191">
        <v>46315.0</v>
      </c>
      <c r="C361" s="192">
        <v>0.6069444444444444</v>
      </c>
      <c r="D361" s="190">
        <v>2.54366051E8</v>
      </c>
      <c r="E361" s="193" t="s">
        <v>8</v>
      </c>
      <c r="F361" s="194" t="s">
        <v>254</v>
      </c>
      <c r="G361" s="195">
        <v>200000.0</v>
      </c>
      <c r="H361" s="194" t="s">
        <v>255</v>
      </c>
      <c r="I361" s="202"/>
      <c r="J361" s="203"/>
      <c r="K361" s="193" t="s">
        <v>296</v>
      </c>
      <c r="L361" s="193" t="s">
        <v>297</v>
      </c>
      <c r="M361" s="201"/>
      <c r="N361" s="193" t="s">
        <v>557</v>
      </c>
      <c r="O361" s="185"/>
      <c r="P361" s="190">
        <v>2.54366051E8</v>
      </c>
      <c r="Q361" s="201"/>
      <c r="R361" s="193" t="s">
        <v>473</v>
      </c>
      <c r="S361" s="181" t="s">
        <v>259</v>
      </c>
    </row>
    <row r="362" ht="21.0" customHeight="1">
      <c r="A362" s="190">
        <v>361.0</v>
      </c>
      <c r="B362" s="191">
        <v>46315.0</v>
      </c>
      <c r="C362" s="192">
        <v>0.6993055555555555</v>
      </c>
      <c r="D362" s="190">
        <v>2.54366051E8</v>
      </c>
      <c r="E362" s="193" t="s">
        <v>8</v>
      </c>
      <c r="F362" s="194" t="s">
        <v>254</v>
      </c>
      <c r="G362" s="195">
        <v>40000.0</v>
      </c>
      <c r="H362" s="194" t="s">
        <v>255</v>
      </c>
      <c r="I362" s="202"/>
      <c r="J362" s="203"/>
      <c r="K362" s="193" t="s">
        <v>342</v>
      </c>
      <c r="L362" s="193" t="s">
        <v>343</v>
      </c>
      <c r="M362" s="201">
        <v>391.0</v>
      </c>
      <c r="N362" s="193" t="s">
        <v>935</v>
      </c>
      <c r="O362" s="185"/>
      <c r="P362" s="190">
        <v>2.54366051E8</v>
      </c>
      <c r="Q362" s="201"/>
      <c r="R362" s="193"/>
      <c r="S362" s="181" t="s">
        <v>259</v>
      </c>
    </row>
    <row r="363" ht="21.0" customHeight="1">
      <c r="A363" s="190">
        <v>362.0</v>
      </c>
      <c r="B363" s="191">
        <v>46315.0</v>
      </c>
      <c r="C363" s="192">
        <v>0.6993055555555555</v>
      </c>
      <c r="D363" s="190">
        <v>2.54366051E8</v>
      </c>
      <c r="E363" s="193" t="s">
        <v>8</v>
      </c>
      <c r="F363" s="194" t="s">
        <v>254</v>
      </c>
      <c r="G363" s="195">
        <v>35000.0</v>
      </c>
      <c r="H363" s="194" t="s">
        <v>255</v>
      </c>
      <c r="I363" s="202"/>
      <c r="J363" s="203"/>
      <c r="K363" s="193" t="s">
        <v>256</v>
      </c>
      <c r="L363" s="193" t="s">
        <v>257</v>
      </c>
      <c r="M363" s="201"/>
      <c r="N363" s="193" t="s">
        <v>285</v>
      </c>
      <c r="O363" s="185"/>
      <c r="P363" s="190">
        <v>2.54366051E8</v>
      </c>
      <c r="Q363" s="201"/>
      <c r="R363" s="193"/>
      <c r="S363" s="181" t="s">
        <v>259</v>
      </c>
    </row>
    <row r="364" ht="21.0" customHeight="1">
      <c r="A364" s="190">
        <v>363.0</v>
      </c>
      <c r="B364" s="191">
        <v>46315.0</v>
      </c>
      <c r="C364" s="192">
        <v>0.7770833333333333</v>
      </c>
      <c r="D364" s="190">
        <v>4.43142649E8</v>
      </c>
      <c r="E364" s="193" t="s">
        <v>260</v>
      </c>
      <c r="F364" s="194" t="s">
        <v>254</v>
      </c>
      <c r="G364" s="195">
        <v>3613416.0</v>
      </c>
      <c r="H364" s="194" t="s">
        <v>263</v>
      </c>
      <c r="I364" s="202">
        <v>300.0</v>
      </c>
      <c r="J364" s="203">
        <v>12044.72</v>
      </c>
      <c r="K364" s="193" t="s">
        <v>266</v>
      </c>
      <c r="L364" s="193" t="s">
        <v>267</v>
      </c>
      <c r="M364" s="201"/>
      <c r="N364" s="193" t="s">
        <v>936</v>
      </c>
      <c r="O364" s="185"/>
      <c r="P364" s="190">
        <v>4.43142649E8</v>
      </c>
      <c r="Q364" s="201"/>
      <c r="R364" s="193" t="s">
        <v>10</v>
      </c>
      <c r="S364" s="233" t="s">
        <v>269</v>
      </c>
    </row>
    <row r="365" ht="21.0" customHeight="1">
      <c r="A365" s="190">
        <v>364.0</v>
      </c>
      <c r="B365" s="191">
        <v>46315.0</v>
      </c>
      <c r="C365" s="192">
        <v>0.8701388888888889</v>
      </c>
      <c r="D365" s="190">
        <v>4.43142649E8</v>
      </c>
      <c r="E365" s="193" t="s">
        <v>260</v>
      </c>
      <c r="F365" s="194" t="s">
        <v>270</v>
      </c>
      <c r="G365" s="195">
        <v>3.1737837E7</v>
      </c>
      <c r="H365" s="194" t="s">
        <v>263</v>
      </c>
      <c r="I365" s="202">
        <v>2635.0</v>
      </c>
      <c r="J365" s="203">
        <v>12044.72</v>
      </c>
      <c r="K365" s="193" t="s">
        <v>848</v>
      </c>
      <c r="L365" s="193" t="s">
        <v>849</v>
      </c>
      <c r="M365" s="201">
        <v>383.0</v>
      </c>
      <c r="N365" s="193" t="s">
        <v>937</v>
      </c>
      <c r="O365" s="185"/>
      <c r="P365" s="190">
        <v>4.43142649E8</v>
      </c>
      <c r="Q365" s="201"/>
      <c r="R365" s="193"/>
      <c r="S365" s="181" t="s">
        <v>259</v>
      </c>
    </row>
    <row r="366" ht="21.0" customHeight="1">
      <c r="A366" s="190">
        <v>365.0</v>
      </c>
      <c r="B366" s="191">
        <v>46315.0</v>
      </c>
      <c r="C366" s="192">
        <v>0.8708333333333333</v>
      </c>
      <c r="D366" s="190">
        <v>4.43142649E8</v>
      </c>
      <c r="E366" s="193" t="s">
        <v>260</v>
      </c>
      <c r="F366" s="194" t="s">
        <v>270</v>
      </c>
      <c r="G366" s="195">
        <v>1.204472E7</v>
      </c>
      <c r="H366" s="194" t="s">
        <v>263</v>
      </c>
      <c r="I366" s="202">
        <v>1000.0</v>
      </c>
      <c r="J366" s="203">
        <v>12044.72</v>
      </c>
      <c r="K366" s="193" t="s">
        <v>848</v>
      </c>
      <c r="L366" s="193" t="s">
        <v>849</v>
      </c>
      <c r="M366" s="201">
        <v>391.0</v>
      </c>
      <c r="N366" s="193" t="s">
        <v>938</v>
      </c>
      <c r="O366" s="185"/>
      <c r="P366" s="190">
        <v>4.43142649E8</v>
      </c>
      <c r="Q366" s="201"/>
      <c r="R366" s="193"/>
      <c r="S366" s="181" t="s">
        <v>259</v>
      </c>
    </row>
    <row r="367" ht="21.0" customHeight="1">
      <c r="A367" s="190">
        <v>366.0</v>
      </c>
      <c r="B367" s="191">
        <v>46316.0</v>
      </c>
      <c r="C367" s="192">
        <v>0.058333333333333334</v>
      </c>
      <c r="D367" s="190">
        <v>4.43142649E8</v>
      </c>
      <c r="E367" s="193" t="s">
        <v>260</v>
      </c>
      <c r="F367" s="194" t="s">
        <v>254</v>
      </c>
      <c r="G367" s="195">
        <v>390.0</v>
      </c>
      <c r="H367" s="194" t="s">
        <v>255</v>
      </c>
      <c r="I367" s="202"/>
      <c r="J367" s="203"/>
      <c r="K367" s="193" t="s">
        <v>455</v>
      </c>
      <c r="L367" s="193" t="s">
        <v>456</v>
      </c>
      <c r="M367" s="201"/>
      <c r="N367" s="193" t="s">
        <v>939</v>
      </c>
      <c r="O367" s="185"/>
      <c r="P367" s="190">
        <v>4.43142649E8</v>
      </c>
      <c r="Q367" s="201"/>
      <c r="R367" s="193"/>
      <c r="S367" s="181" t="s">
        <v>259</v>
      </c>
    </row>
    <row r="368" ht="21.0" customHeight="1">
      <c r="A368" s="190">
        <v>367.0</v>
      </c>
      <c r="B368" s="191">
        <v>46316.0</v>
      </c>
      <c r="C368" s="192">
        <v>0.37430555555555556</v>
      </c>
      <c r="D368" s="190">
        <v>6.156487883E9</v>
      </c>
      <c r="E368" s="193" t="s">
        <v>200</v>
      </c>
      <c r="F368" s="194" t="s">
        <v>270</v>
      </c>
      <c r="G368" s="195">
        <v>8.5587638E7</v>
      </c>
      <c r="H368" s="194" t="s">
        <v>263</v>
      </c>
      <c r="I368" s="202">
        <v>7125.0</v>
      </c>
      <c r="J368" s="203">
        <v>12012.3</v>
      </c>
      <c r="K368" s="193" t="s">
        <v>848</v>
      </c>
      <c r="L368" s="193" t="s">
        <v>849</v>
      </c>
      <c r="M368" s="201">
        <v>383.0</v>
      </c>
      <c r="N368" s="193" t="s">
        <v>940</v>
      </c>
      <c r="O368" s="185"/>
      <c r="P368" s="190">
        <v>6.156487883E9</v>
      </c>
      <c r="Q368" s="201" t="s">
        <v>258</v>
      </c>
      <c r="R368" s="193"/>
      <c r="S368" s="181" t="s">
        <v>259</v>
      </c>
    </row>
    <row r="369" ht="21.0" customHeight="1">
      <c r="A369" s="190">
        <v>368.0</v>
      </c>
      <c r="B369" s="191">
        <v>46316.0</v>
      </c>
      <c r="C369" s="192">
        <v>0.4041666666666667</v>
      </c>
      <c r="D369" s="190">
        <v>2.54366051E8</v>
      </c>
      <c r="E369" s="193" t="s">
        <v>8</v>
      </c>
      <c r="F369" s="194" t="s">
        <v>254</v>
      </c>
      <c r="G369" s="195">
        <v>50000.0</v>
      </c>
      <c r="H369" s="194" t="s">
        <v>255</v>
      </c>
      <c r="I369" s="202"/>
      <c r="J369" s="203"/>
      <c r="K369" s="193" t="s">
        <v>361</v>
      </c>
      <c r="L369" s="193" t="s">
        <v>362</v>
      </c>
      <c r="M369" s="201"/>
      <c r="N369" s="193" t="s">
        <v>864</v>
      </c>
      <c r="O369" s="185"/>
      <c r="P369" s="190">
        <v>2.54366051E8</v>
      </c>
      <c r="Q369" s="201"/>
      <c r="R369" s="193"/>
      <c r="S369" s="181" t="s">
        <v>259</v>
      </c>
    </row>
    <row r="370" ht="21.0" customHeight="1">
      <c r="A370" s="190">
        <v>369.0</v>
      </c>
      <c r="B370" s="191">
        <v>46316.0</v>
      </c>
      <c r="C370" s="192">
        <v>0.48819444444444443</v>
      </c>
      <c r="D370" s="190">
        <v>4.43142649E8</v>
      </c>
      <c r="E370" s="193" t="s">
        <v>260</v>
      </c>
      <c r="F370" s="194" t="s">
        <v>254</v>
      </c>
      <c r="G370" s="195">
        <v>250000.0</v>
      </c>
      <c r="H370" s="194" t="s">
        <v>255</v>
      </c>
      <c r="I370" s="202"/>
      <c r="J370" s="203"/>
      <c r="K370" s="193" t="s">
        <v>664</v>
      </c>
      <c r="L370" s="193" t="s">
        <v>667</v>
      </c>
      <c r="M370" s="201"/>
      <c r="N370" s="193" t="s">
        <v>747</v>
      </c>
      <c r="O370" s="185"/>
      <c r="P370" s="190">
        <v>4.43142649E8</v>
      </c>
      <c r="Q370" s="201"/>
      <c r="R370" s="193"/>
      <c r="S370" s="181" t="s">
        <v>259</v>
      </c>
    </row>
    <row r="371" ht="21.0" customHeight="1">
      <c r="A371" s="190">
        <v>370.0</v>
      </c>
      <c r="B371" s="191">
        <v>46316.0</v>
      </c>
      <c r="C371" s="192">
        <v>0.6041666666666666</v>
      </c>
      <c r="D371" s="190">
        <v>4.43142649E8</v>
      </c>
      <c r="E371" s="193" t="s">
        <v>260</v>
      </c>
      <c r="F371" s="194" t="s">
        <v>254</v>
      </c>
      <c r="G371" s="195">
        <v>125000.0</v>
      </c>
      <c r="H371" s="194" t="s">
        <v>255</v>
      </c>
      <c r="I371" s="202"/>
      <c r="J371" s="203"/>
      <c r="K371" s="193" t="s">
        <v>664</v>
      </c>
      <c r="L371" s="193" t="s">
        <v>667</v>
      </c>
      <c r="M371" s="201"/>
      <c r="N371" s="193" t="s">
        <v>747</v>
      </c>
      <c r="O371" s="185"/>
      <c r="P371" s="190">
        <v>4.43142649E8</v>
      </c>
      <c r="Q371" s="201"/>
      <c r="R371" s="193"/>
      <c r="S371" s="181" t="s">
        <v>259</v>
      </c>
    </row>
    <row r="372" ht="21.0" customHeight="1">
      <c r="A372" s="190">
        <v>371.0</v>
      </c>
      <c r="B372" s="191">
        <v>46316.0</v>
      </c>
      <c r="C372" s="192">
        <v>0.6569444444444444</v>
      </c>
      <c r="D372" s="190">
        <v>2.54366051E8</v>
      </c>
      <c r="E372" s="193" t="s">
        <v>8</v>
      </c>
      <c r="F372" s="194" t="s">
        <v>254</v>
      </c>
      <c r="G372" s="195">
        <v>35000.0</v>
      </c>
      <c r="H372" s="194" t="s">
        <v>255</v>
      </c>
      <c r="I372" s="202"/>
      <c r="J372" s="203"/>
      <c r="K372" s="193" t="s">
        <v>256</v>
      </c>
      <c r="L372" s="193" t="s">
        <v>257</v>
      </c>
      <c r="M372" s="201"/>
      <c r="N372" s="193" t="s">
        <v>285</v>
      </c>
      <c r="O372" s="185"/>
      <c r="P372" s="190">
        <v>2.54366051E8</v>
      </c>
      <c r="Q372" s="201"/>
      <c r="R372" s="193"/>
      <c r="S372" s="181" t="s">
        <v>259</v>
      </c>
    </row>
    <row r="373" ht="21.0" customHeight="1">
      <c r="A373" s="190">
        <v>372.0</v>
      </c>
      <c r="B373" s="191">
        <v>46316.0</v>
      </c>
      <c r="C373" s="192">
        <v>0.7270833333333333</v>
      </c>
      <c r="D373" s="190">
        <v>6.156487883E9</v>
      </c>
      <c r="E373" s="193" t="s">
        <v>200</v>
      </c>
      <c r="F373" s="194" t="s">
        <v>254</v>
      </c>
      <c r="G373" s="195">
        <v>120000.0</v>
      </c>
      <c r="H373" s="194" t="s">
        <v>255</v>
      </c>
      <c r="I373" s="202"/>
      <c r="J373" s="203"/>
      <c r="K373" s="193" t="s">
        <v>256</v>
      </c>
      <c r="L373" s="193" t="s">
        <v>257</v>
      </c>
      <c r="M373" s="201">
        <v>403.0</v>
      </c>
      <c r="N373" s="193" t="s">
        <v>941</v>
      </c>
      <c r="O373" s="185"/>
      <c r="P373" s="190">
        <v>6.156487883E9</v>
      </c>
      <c r="Q373" s="201"/>
      <c r="R373" s="193"/>
      <c r="S373" s="181" t="s">
        <v>259</v>
      </c>
    </row>
    <row r="374" ht="21.0" customHeight="1">
      <c r="A374" s="190">
        <v>373.0</v>
      </c>
      <c r="B374" s="191">
        <v>46316.0</v>
      </c>
      <c r="C374" s="192">
        <v>0.7326388888888888</v>
      </c>
      <c r="D374" s="190">
        <v>4.43142649E8</v>
      </c>
      <c r="E374" s="193" t="s">
        <v>260</v>
      </c>
      <c r="F374" s="194" t="s">
        <v>254</v>
      </c>
      <c r="G374" s="195">
        <v>2.5790408E7</v>
      </c>
      <c r="H374" s="194" t="s">
        <v>263</v>
      </c>
      <c r="I374" s="202">
        <v>2147.0</v>
      </c>
      <c r="J374" s="203">
        <v>12012.3</v>
      </c>
      <c r="K374" s="193" t="s">
        <v>290</v>
      </c>
      <c r="L374" s="193" t="s">
        <v>291</v>
      </c>
      <c r="M374" s="201">
        <v>389.0</v>
      </c>
      <c r="N374" s="193" t="s">
        <v>942</v>
      </c>
      <c r="O374" s="185"/>
      <c r="P374" s="190">
        <v>4.43142649E8</v>
      </c>
      <c r="Q374" s="201"/>
      <c r="R374" s="193"/>
      <c r="S374" s="181" t="s">
        <v>259</v>
      </c>
    </row>
    <row r="375" ht="21.0" customHeight="1">
      <c r="A375" s="190">
        <v>374.0</v>
      </c>
      <c r="B375" s="191">
        <v>46316.0</v>
      </c>
      <c r="C375" s="192">
        <v>0.7381944444444445</v>
      </c>
      <c r="D375" s="190">
        <v>4.43142649E8</v>
      </c>
      <c r="E375" s="193" t="s">
        <v>260</v>
      </c>
      <c r="F375" s="194" t="s">
        <v>254</v>
      </c>
      <c r="G375" s="195">
        <v>2.8661348E7</v>
      </c>
      <c r="H375" s="194" t="s">
        <v>263</v>
      </c>
      <c r="I375" s="202">
        <v>2386.0</v>
      </c>
      <c r="J375" s="203">
        <v>12012.3</v>
      </c>
      <c r="K375" s="193" t="s">
        <v>290</v>
      </c>
      <c r="L375" s="193" t="s">
        <v>291</v>
      </c>
      <c r="M375" s="201">
        <v>394.0</v>
      </c>
      <c r="N375" s="193" t="s">
        <v>943</v>
      </c>
      <c r="O375" s="185"/>
      <c r="P375" s="190">
        <v>4.43142649E8</v>
      </c>
      <c r="Q375" s="201"/>
      <c r="R375" s="193"/>
      <c r="S375" s="181" t="s">
        <v>259</v>
      </c>
    </row>
    <row r="376" ht="21.0" customHeight="1">
      <c r="A376" s="190">
        <v>375.0</v>
      </c>
      <c r="B376" s="191">
        <v>46316.0</v>
      </c>
      <c r="C376" s="192">
        <v>0.7388888888888889</v>
      </c>
      <c r="D376" s="190">
        <v>4.43142649E8</v>
      </c>
      <c r="E376" s="193" t="s">
        <v>260</v>
      </c>
      <c r="F376" s="194" t="s">
        <v>254</v>
      </c>
      <c r="G376" s="195">
        <v>5609744.0</v>
      </c>
      <c r="H376" s="194" t="s">
        <v>263</v>
      </c>
      <c r="I376" s="202">
        <v>467.0</v>
      </c>
      <c r="J376" s="203">
        <v>12012.3</v>
      </c>
      <c r="K376" s="193" t="s">
        <v>290</v>
      </c>
      <c r="L376" s="193" t="s">
        <v>291</v>
      </c>
      <c r="M376" s="201">
        <v>406.0</v>
      </c>
      <c r="N376" s="193" t="s">
        <v>944</v>
      </c>
      <c r="O376" s="185"/>
      <c r="P376" s="190">
        <v>4.43142649E8</v>
      </c>
      <c r="Q376" s="201"/>
      <c r="R376" s="193"/>
      <c r="S376" s="181" t="s">
        <v>259</v>
      </c>
    </row>
    <row r="377" ht="21.0" customHeight="1">
      <c r="A377" s="190">
        <v>376.0</v>
      </c>
      <c r="B377" s="191">
        <v>46316.0</v>
      </c>
      <c r="C377" s="192">
        <v>0.7465277777777778</v>
      </c>
      <c r="D377" s="190">
        <v>2.54366051E8</v>
      </c>
      <c r="E377" s="193" t="s">
        <v>8</v>
      </c>
      <c r="F377" s="194" t="s">
        <v>254</v>
      </c>
      <c r="G377" s="195">
        <v>100000.0</v>
      </c>
      <c r="H377" s="194" t="s">
        <v>255</v>
      </c>
      <c r="I377" s="202"/>
      <c r="J377" s="203"/>
      <c r="K377" s="193" t="s">
        <v>296</v>
      </c>
      <c r="L377" s="193" t="s">
        <v>297</v>
      </c>
      <c r="M377" s="201"/>
      <c r="N377" s="193" t="s">
        <v>945</v>
      </c>
      <c r="O377" s="185"/>
      <c r="P377" s="190">
        <v>2.54366051E8</v>
      </c>
      <c r="Q377" s="201"/>
      <c r="R377" s="193" t="s">
        <v>507</v>
      </c>
      <c r="S377" s="181" t="s">
        <v>259</v>
      </c>
    </row>
    <row r="378" ht="21.0" customHeight="1">
      <c r="A378" s="190">
        <v>377.0</v>
      </c>
      <c r="B378" s="191">
        <v>46316.0</v>
      </c>
      <c r="C378" s="192">
        <v>0.7597222222222222</v>
      </c>
      <c r="D378" s="190">
        <v>2.54366051E8</v>
      </c>
      <c r="E378" s="193" t="s">
        <v>8</v>
      </c>
      <c r="F378" s="194" t="s">
        <v>254</v>
      </c>
      <c r="G378" s="195">
        <v>35000.0</v>
      </c>
      <c r="H378" s="194" t="s">
        <v>255</v>
      </c>
      <c r="I378" s="202"/>
      <c r="J378" s="203"/>
      <c r="K378" s="193" t="s">
        <v>455</v>
      </c>
      <c r="L378" s="193" t="s">
        <v>456</v>
      </c>
      <c r="M378" s="201"/>
      <c r="N378" s="193" t="s">
        <v>946</v>
      </c>
      <c r="O378" s="185"/>
      <c r="P378" s="190">
        <v>2.54366051E8</v>
      </c>
      <c r="Q378" s="201"/>
      <c r="R378" s="193"/>
      <c r="S378" s="181" t="s">
        <v>259</v>
      </c>
    </row>
    <row r="379" ht="21.0" customHeight="1">
      <c r="A379" s="190">
        <v>378.0</v>
      </c>
      <c r="B379" s="191">
        <v>46316.0</v>
      </c>
      <c r="C379" s="192">
        <v>0.78125</v>
      </c>
      <c r="D379" s="190">
        <v>4.43142649E8</v>
      </c>
      <c r="E379" s="193" t="s">
        <v>260</v>
      </c>
      <c r="F379" s="194" t="s">
        <v>270</v>
      </c>
      <c r="G379" s="195">
        <v>3.003075E7</v>
      </c>
      <c r="H379" s="194" t="s">
        <v>263</v>
      </c>
      <c r="I379" s="202">
        <v>2500.0</v>
      </c>
      <c r="J379" s="203">
        <v>12012.3</v>
      </c>
      <c r="K379" s="193" t="s">
        <v>558</v>
      </c>
      <c r="L379" s="193" t="s">
        <v>559</v>
      </c>
      <c r="M379" s="201">
        <v>408.0</v>
      </c>
      <c r="N379" s="193" t="s">
        <v>947</v>
      </c>
      <c r="O379" s="185"/>
      <c r="P379" s="190">
        <v>4.43142649E8</v>
      </c>
      <c r="Q379" s="201"/>
      <c r="R379" s="193"/>
      <c r="S379" s="181" t="s">
        <v>259</v>
      </c>
    </row>
    <row r="380" ht="21.0" customHeight="1">
      <c r="A380" s="190">
        <v>379.0</v>
      </c>
      <c r="B380" s="191">
        <v>46316.0</v>
      </c>
      <c r="C380" s="192">
        <v>0.7833333333333333</v>
      </c>
      <c r="D380" s="190">
        <v>4.43142649E8</v>
      </c>
      <c r="E380" s="193" t="s">
        <v>260</v>
      </c>
      <c r="F380" s="194" t="s">
        <v>270</v>
      </c>
      <c r="G380" s="195">
        <v>1201230.0</v>
      </c>
      <c r="H380" s="194" t="s">
        <v>263</v>
      </c>
      <c r="I380" s="202">
        <v>100.0</v>
      </c>
      <c r="J380" s="203">
        <v>12012.3</v>
      </c>
      <c r="K380" s="193" t="s">
        <v>558</v>
      </c>
      <c r="L380" s="193" t="s">
        <v>559</v>
      </c>
      <c r="M380" s="201">
        <v>409.0</v>
      </c>
      <c r="N380" s="193" t="s">
        <v>948</v>
      </c>
      <c r="O380" s="185"/>
      <c r="P380" s="190">
        <v>4.43142649E8</v>
      </c>
      <c r="Q380" s="201"/>
      <c r="R380" s="193"/>
      <c r="S380" s="181" t="s">
        <v>259</v>
      </c>
    </row>
    <row r="381" ht="21.0" customHeight="1">
      <c r="A381" s="190">
        <v>380.0</v>
      </c>
      <c r="B381" s="191">
        <v>46316.0</v>
      </c>
      <c r="C381" s="192">
        <v>0.825</v>
      </c>
      <c r="D381" s="190">
        <v>4.43142649E8</v>
      </c>
      <c r="E381" s="193" t="s">
        <v>260</v>
      </c>
      <c r="F381" s="194" t="s">
        <v>254</v>
      </c>
      <c r="G381" s="195">
        <v>7900000.0</v>
      </c>
      <c r="H381" s="194" t="s">
        <v>255</v>
      </c>
      <c r="I381" s="202"/>
      <c r="J381" s="203"/>
      <c r="K381" s="193" t="s">
        <v>266</v>
      </c>
      <c r="L381" s="193" t="s">
        <v>267</v>
      </c>
      <c r="M381" s="201"/>
      <c r="N381" s="193" t="s">
        <v>949</v>
      </c>
      <c r="O381" s="185"/>
      <c r="P381" s="190">
        <v>4.43142649E8</v>
      </c>
      <c r="Q381" s="201"/>
      <c r="R381" s="193" t="s">
        <v>175</v>
      </c>
      <c r="S381" s="181" t="s">
        <v>564</v>
      </c>
    </row>
    <row r="382" ht="21.0" customHeight="1">
      <c r="A382" s="190">
        <v>381.0</v>
      </c>
      <c r="B382" s="191">
        <v>46316.0</v>
      </c>
      <c r="C382" s="192">
        <v>0.9208333333333333</v>
      </c>
      <c r="D382" s="190">
        <v>4.43142649E8</v>
      </c>
      <c r="E382" s="193" t="s">
        <v>260</v>
      </c>
      <c r="F382" s="194" t="s">
        <v>254</v>
      </c>
      <c r="G382" s="195">
        <v>140000.0</v>
      </c>
      <c r="H382" s="194" t="s">
        <v>255</v>
      </c>
      <c r="I382" s="202"/>
      <c r="J382" s="203"/>
      <c r="K382" s="193" t="s">
        <v>664</v>
      </c>
      <c r="L382" s="193" t="s">
        <v>667</v>
      </c>
      <c r="M382" s="201"/>
      <c r="N382" s="193" t="s">
        <v>747</v>
      </c>
      <c r="O382" s="185"/>
      <c r="P382" s="190">
        <v>4.43142649E8</v>
      </c>
      <c r="Q382" s="201"/>
      <c r="R382" s="193"/>
      <c r="S382" s="181" t="s">
        <v>259</v>
      </c>
    </row>
    <row r="383" ht="21.0" customHeight="1">
      <c r="A383" s="190">
        <v>382.0</v>
      </c>
      <c r="B383" s="191">
        <v>46317.0</v>
      </c>
      <c r="C383" s="192">
        <v>0.6618055555555555</v>
      </c>
      <c r="D383" s="190">
        <v>2.54366051E8</v>
      </c>
      <c r="E383" s="193" t="s">
        <v>8</v>
      </c>
      <c r="F383" s="194" t="s">
        <v>254</v>
      </c>
      <c r="G383" s="195">
        <v>35000.0</v>
      </c>
      <c r="H383" s="194" t="s">
        <v>255</v>
      </c>
      <c r="I383" s="202"/>
      <c r="J383" s="203"/>
      <c r="K383" s="193" t="s">
        <v>256</v>
      </c>
      <c r="L383" s="193" t="s">
        <v>257</v>
      </c>
      <c r="M383" s="201"/>
      <c r="N383" s="193" t="s">
        <v>285</v>
      </c>
      <c r="O383" s="185"/>
      <c r="P383" s="190">
        <v>2.54366051E8</v>
      </c>
      <c r="Q383" s="201"/>
      <c r="R383" s="193"/>
      <c r="S383" s="181" t="s">
        <v>259</v>
      </c>
    </row>
    <row r="384" ht="21.0" customHeight="1">
      <c r="A384" s="190">
        <v>383.0</v>
      </c>
      <c r="B384" s="191">
        <v>46317.0</v>
      </c>
      <c r="C384" s="192">
        <v>0.6625</v>
      </c>
      <c r="D384" s="190">
        <v>4.43142649E8</v>
      </c>
      <c r="E384" s="193" t="s">
        <v>260</v>
      </c>
      <c r="F384" s="194" t="s">
        <v>254</v>
      </c>
      <c r="G384" s="195">
        <v>2393102.0</v>
      </c>
      <c r="H384" s="194" t="s">
        <v>263</v>
      </c>
      <c r="I384" s="202">
        <v>200.0</v>
      </c>
      <c r="J384" s="203">
        <v>11965.51</v>
      </c>
      <c r="K384" s="193" t="s">
        <v>560</v>
      </c>
      <c r="L384" s="193" t="s">
        <v>561</v>
      </c>
      <c r="M384" s="201"/>
      <c r="N384" s="193" t="s">
        <v>950</v>
      </c>
      <c r="O384" s="185"/>
      <c r="P384" s="190">
        <v>4.43142649E8</v>
      </c>
      <c r="Q384" s="201"/>
      <c r="R384" s="193"/>
      <c r="S384" s="181" t="s">
        <v>259</v>
      </c>
    </row>
    <row r="385" ht="21.0" customHeight="1">
      <c r="A385" s="190">
        <v>384.0</v>
      </c>
      <c r="B385" s="191">
        <v>46317.0</v>
      </c>
      <c r="C385" s="192">
        <v>0.6652777777777777</v>
      </c>
      <c r="D385" s="190">
        <v>2.54366051E8</v>
      </c>
      <c r="E385" s="193" t="s">
        <v>8</v>
      </c>
      <c r="F385" s="194" t="s">
        <v>254</v>
      </c>
      <c r="G385" s="195">
        <v>200000.0</v>
      </c>
      <c r="H385" s="194" t="s">
        <v>255</v>
      </c>
      <c r="I385" s="202"/>
      <c r="J385" s="203"/>
      <c r="K385" s="193" t="s">
        <v>296</v>
      </c>
      <c r="L385" s="193" t="s">
        <v>297</v>
      </c>
      <c r="M385" s="201"/>
      <c r="N385" s="193" t="s">
        <v>329</v>
      </c>
      <c r="O385" s="185"/>
      <c r="P385" s="190">
        <v>2.54366051E8</v>
      </c>
      <c r="Q385" s="201"/>
      <c r="R385" s="193" t="s">
        <v>507</v>
      </c>
      <c r="S385" s="181" t="s">
        <v>259</v>
      </c>
    </row>
    <row r="386" ht="21.0" customHeight="1">
      <c r="A386" s="190">
        <v>385.0</v>
      </c>
      <c r="B386" s="191">
        <v>46317.0</v>
      </c>
      <c r="C386" s="192">
        <v>0.7347222222222223</v>
      </c>
      <c r="D386" s="190">
        <v>6.156487883E9</v>
      </c>
      <c r="E386" s="193" t="s">
        <v>200</v>
      </c>
      <c r="F386" s="194" t="s">
        <v>254</v>
      </c>
      <c r="G386" s="195">
        <v>80000.0</v>
      </c>
      <c r="H386" s="194" t="s">
        <v>255</v>
      </c>
      <c r="I386" s="202"/>
      <c r="J386" s="203"/>
      <c r="K386" s="193" t="s">
        <v>256</v>
      </c>
      <c r="L386" s="193" t="s">
        <v>257</v>
      </c>
      <c r="M386" s="201">
        <v>391.0</v>
      </c>
      <c r="N386" s="193" t="s">
        <v>951</v>
      </c>
      <c r="O386" s="185"/>
      <c r="P386" s="190">
        <v>6.156487883E9</v>
      </c>
      <c r="Q386" s="201"/>
      <c r="R386" s="193"/>
      <c r="S386" s="181" t="s">
        <v>259</v>
      </c>
    </row>
    <row r="387" ht="21.0" customHeight="1">
      <c r="A387" s="190">
        <v>386.0</v>
      </c>
      <c r="B387" s="191">
        <v>46317.0</v>
      </c>
      <c r="C387" s="192">
        <v>0.7347222222222223</v>
      </c>
      <c r="D387" s="190">
        <v>6.156487883E9</v>
      </c>
      <c r="E387" s="193" t="s">
        <v>200</v>
      </c>
      <c r="F387" s="194" t="s">
        <v>254</v>
      </c>
      <c r="G387" s="195">
        <v>80000.0</v>
      </c>
      <c r="H387" s="194" t="s">
        <v>255</v>
      </c>
      <c r="I387" s="202"/>
      <c r="J387" s="203"/>
      <c r="K387" s="193" t="s">
        <v>256</v>
      </c>
      <c r="L387" s="193" t="s">
        <v>257</v>
      </c>
      <c r="M387" s="201">
        <v>403.0</v>
      </c>
      <c r="N387" s="193" t="s">
        <v>860</v>
      </c>
      <c r="O387" s="185"/>
      <c r="P387" s="190">
        <v>6.156487883E9</v>
      </c>
      <c r="Q387" s="201"/>
      <c r="R387" s="193"/>
      <c r="S387" s="181" t="s">
        <v>259</v>
      </c>
    </row>
    <row r="388" ht="21.0" customHeight="1">
      <c r="A388" s="190">
        <v>387.0</v>
      </c>
      <c r="B388" s="191">
        <v>46317.0</v>
      </c>
      <c r="C388" s="192">
        <v>0.7354166666666667</v>
      </c>
      <c r="D388" s="190">
        <v>6.156487883E9</v>
      </c>
      <c r="E388" s="193" t="s">
        <v>200</v>
      </c>
      <c r="F388" s="194" t="s">
        <v>254</v>
      </c>
      <c r="G388" s="195">
        <v>80000.0</v>
      </c>
      <c r="H388" s="194" t="s">
        <v>255</v>
      </c>
      <c r="I388" s="202"/>
      <c r="J388" s="203"/>
      <c r="K388" s="193" t="s">
        <v>256</v>
      </c>
      <c r="L388" s="193" t="s">
        <v>257</v>
      </c>
      <c r="M388" s="201"/>
      <c r="N388" s="193" t="s">
        <v>952</v>
      </c>
      <c r="O388" s="185"/>
      <c r="P388" s="190">
        <v>6.156487883E9</v>
      </c>
      <c r="Q388" s="201"/>
      <c r="R388" s="193"/>
      <c r="S388" s="181" t="s">
        <v>259</v>
      </c>
    </row>
    <row r="389" ht="21.0" customHeight="1">
      <c r="A389" s="190">
        <v>388.0</v>
      </c>
      <c r="B389" s="191">
        <v>46317.0</v>
      </c>
      <c r="C389" s="192">
        <v>0.7361111111111112</v>
      </c>
      <c r="D389" s="190">
        <v>6.156487883E9</v>
      </c>
      <c r="E389" s="193" t="s">
        <v>200</v>
      </c>
      <c r="F389" s="194" t="s">
        <v>254</v>
      </c>
      <c r="G389" s="195">
        <v>40000.0</v>
      </c>
      <c r="H389" s="194" t="s">
        <v>255</v>
      </c>
      <c r="I389" s="202"/>
      <c r="J389" s="203"/>
      <c r="K389" s="193" t="s">
        <v>256</v>
      </c>
      <c r="L389" s="193" t="s">
        <v>257</v>
      </c>
      <c r="M389" s="201"/>
      <c r="N389" s="193" t="s">
        <v>916</v>
      </c>
      <c r="O389" s="185"/>
      <c r="P389" s="190">
        <v>6.156487883E9</v>
      </c>
      <c r="Q389" s="201"/>
      <c r="R389" s="193"/>
      <c r="S389" s="181" t="s">
        <v>259</v>
      </c>
    </row>
    <row r="390" ht="21.0" customHeight="1">
      <c r="A390" s="190">
        <v>389.0</v>
      </c>
      <c r="B390" s="191">
        <v>46317.0</v>
      </c>
      <c r="C390" s="192">
        <v>0.7409722222222223</v>
      </c>
      <c r="D390" s="190">
        <v>4.43142649E8</v>
      </c>
      <c r="E390" s="193" t="s">
        <v>260</v>
      </c>
      <c r="F390" s="194" t="s">
        <v>254</v>
      </c>
      <c r="G390" s="195">
        <v>70000.0</v>
      </c>
      <c r="H390" s="194" t="s">
        <v>255</v>
      </c>
      <c r="I390" s="202"/>
      <c r="J390" s="203"/>
      <c r="K390" s="193" t="s">
        <v>455</v>
      </c>
      <c r="L390" s="193" t="s">
        <v>456</v>
      </c>
      <c r="M390" s="201"/>
      <c r="N390" s="193" t="s">
        <v>817</v>
      </c>
      <c r="O390" s="185"/>
      <c r="P390" s="190">
        <v>4.43142649E8</v>
      </c>
      <c r="Q390" s="201"/>
      <c r="R390" s="193"/>
      <c r="S390" s="181" t="s">
        <v>259</v>
      </c>
    </row>
    <row r="391" ht="21.0" customHeight="1">
      <c r="A391" s="190">
        <v>390.0</v>
      </c>
      <c r="B391" s="191">
        <v>46317.0</v>
      </c>
      <c r="C391" s="192">
        <v>0.7430555555555556</v>
      </c>
      <c r="D391" s="190">
        <v>4.43142649E8</v>
      </c>
      <c r="E391" s="193" t="s">
        <v>260</v>
      </c>
      <c r="F391" s="194" t="s">
        <v>254</v>
      </c>
      <c r="G391" s="195">
        <v>93000.0</v>
      </c>
      <c r="H391" s="194" t="s">
        <v>255</v>
      </c>
      <c r="I391" s="202"/>
      <c r="J391" s="203"/>
      <c r="K391" s="193" t="s">
        <v>342</v>
      </c>
      <c r="L391" s="193" t="s">
        <v>343</v>
      </c>
      <c r="M391" s="201">
        <v>389.0</v>
      </c>
      <c r="N391" s="193" t="s">
        <v>953</v>
      </c>
      <c r="O391" s="185"/>
      <c r="P391" s="190">
        <v>4.43142649E8</v>
      </c>
      <c r="Q391" s="201"/>
      <c r="R391" s="193"/>
      <c r="S391" s="181" t="s">
        <v>259</v>
      </c>
    </row>
    <row r="392" ht="21.0" customHeight="1">
      <c r="A392" s="190">
        <v>391.0</v>
      </c>
      <c r="B392" s="191">
        <v>46317.0</v>
      </c>
      <c r="C392" s="192">
        <v>0.8493055555555555</v>
      </c>
      <c r="D392" s="190">
        <v>4.43142649E8</v>
      </c>
      <c r="E392" s="193" t="s">
        <v>260</v>
      </c>
      <c r="F392" s="194" t="s">
        <v>254</v>
      </c>
      <c r="G392" s="195">
        <v>380000.0</v>
      </c>
      <c r="H392" s="194" t="s">
        <v>255</v>
      </c>
      <c r="I392" s="202"/>
      <c r="J392" s="203"/>
      <c r="K392" s="193" t="s">
        <v>664</v>
      </c>
      <c r="L392" s="193" t="s">
        <v>667</v>
      </c>
      <c r="M392" s="201"/>
      <c r="N392" s="193" t="s">
        <v>954</v>
      </c>
      <c r="O392" s="185"/>
      <c r="P392" s="190">
        <v>4.43142649E8</v>
      </c>
      <c r="Q392" s="201"/>
      <c r="R392" s="193"/>
      <c r="S392" s="181" t="s">
        <v>259</v>
      </c>
    </row>
    <row r="393" ht="21.0" customHeight="1">
      <c r="A393" s="190">
        <v>392.0</v>
      </c>
      <c r="B393" s="191">
        <v>46318.0</v>
      </c>
      <c r="C393" s="192">
        <v>0.37083333333333335</v>
      </c>
      <c r="D393" s="190">
        <v>2.54366051E8</v>
      </c>
      <c r="E393" s="193" t="s">
        <v>8</v>
      </c>
      <c r="F393" s="194" t="s">
        <v>254</v>
      </c>
      <c r="G393" s="195">
        <v>81000.0</v>
      </c>
      <c r="H393" s="194" t="s">
        <v>255</v>
      </c>
      <c r="I393" s="202"/>
      <c r="J393" s="203"/>
      <c r="K393" s="193" t="s">
        <v>342</v>
      </c>
      <c r="L393" s="193" t="s">
        <v>343</v>
      </c>
      <c r="M393" s="201"/>
      <c r="N393" s="193" t="s">
        <v>955</v>
      </c>
      <c r="O393" s="185"/>
      <c r="P393" s="190">
        <v>2.54366051E8</v>
      </c>
      <c r="Q393" s="201"/>
      <c r="R393" s="193"/>
      <c r="S393" s="181" t="s">
        <v>259</v>
      </c>
    </row>
    <row r="394" ht="21.0" customHeight="1">
      <c r="A394" s="190">
        <v>393.0</v>
      </c>
      <c r="B394" s="191">
        <v>46318.0</v>
      </c>
      <c r="C394" s="192">
        <v>0.48333333333333334</v>
      </c>
      <c r="D394" s="190">
        <v>4.43142649E8</v>
      </c>
      <c r="E394" s="193" t="s">
        <v>260</v>
      </c>
      <c r="F394" s="194" t="s">
        <v>254</v>
      </c>
      <c r="G394" s="195">
        <v>400000.0</v>
      </c>
      <c r="H394" s="194" t="s">
        <v>255</v>
      </c>
      <c r="I394" s="202"/>
      <c r="J394" s="203"/>
      <c r="K394" s="193" t="s">
        <v>664</v>
      </c>
      <c r="L394" s="193" t="s">
        <v>667</v>
      </c>
      <c r="M394" s="201"/>
      <c r="N394" s="193" t="s">
        <v>806</v>
      </c>
      <c r="O394" s="185"/>
      <c r="P394" s="190">
        <v>4.43142649E8</v>
      </c>
      <c r="Q394" s="201"/>
      <c r="R394" s="193"/>
      <c r="S394" s="181" t="s">
        <v>259</v>
      </c>
    </row>
    <row r="395" ht="21.0" customHeight="1">
      <c r="A395" s="190">
        <v>394.0</v>
      </c>
      <c r="B395" s="191">
        <v>46318.0</v>
      </c>
      <c r="C395" s="192">
        <v>0.5875</v>
      </c>
      <c r="D395" s="190">
        <v>2.54366051E8</v>
      </c>
      <c r="E395" s="193" t="s">
        <v>8</v>
      </c>
      <c r="F395" s="194" t="s">
        <v>254</v>
      </c>
      <c r="G395" s="195">
        <v>35000.0</v>
      </c>
      <c r="H395" s="194" t="s">
        <v>255</v>
      </c>
      <c r="I395" s="202"/>
      <c r="J395" s="203"/>
      <c r="K395" s="193" t="s">
        <v>256</v>
      </c>
      <c r="L395" s="193" t="s">
        <v>257</v>
      </c>
      <c r="M395" s="201"/>
      <c r="N395" s="193" t="s">
        <v>285</v>
      </c>
      <c r="O395" s="185"/>
      <c r="P395" s="190">
        <v>2.54366051E8</v>
      </c>
      <c r="Q395" s="201"/>
      <c r="R395" s="193"/>
      <c r="S395" s="181" t="s">
        <v>259</v>
      </c>
    </row>
    <row r="396" ht="21.0" customHeight="1">
      <c r="A396" s="190">
        <v>395.0</v>
      </c>
      <c r="B396" s="191">
        <v>46318.0</v>
      </c>
      <c r="C396" s="192">
        <v>0.5888888888888889</v>
      </c>
      <c r="D396" s="190">
        <v>6.156487883E9</v>
      </c>
      <c r="E396" s="193" t="s">
        <v>200</v>
      </c>
      <c r="F396" s="194" t="s">
        <v>254</v>
      </c>
      <c r="G396" s="195">
        <v>80000.0</v>
      </c>
      <c r="H396" s="194" t="s">
        <v>255</v>
      </c>
      <c r="I396" s="202"/>
      <c r="J396" s="203"/>
      <c r="K396" s="193" t="s">
        <v>256</v>
      </c>
      <c r="L396" s="193" t="s">
        <v>257</v>
      </c>
      <c r="M396" s="201"/>
      <c r="N396" s="193" t="s">
        <v>956</v>
      </c>
      <c r="O396" s="185"/>
      <c r="P396" s="190">
        <v>6.156487883E9</v>
      </c>
      <c r="Q396" s="201"/>
      <c r="R396" s="193"/>
      <c r="S396" s="181" t="s">
        <v>259</v>
      </c>
    </row>
    <row r="397" ht="21.0" customHeight="1">
      <c r="A397" s="190">
        <v>396.0</v>
      </c>
      <c r="B397" s="191">
        <v>46318.0</v>
      </c>
      <c r="C397" s="192">
        <v>0.5944444444444444</v>
      </c>
      <c r="D397" s="190">
        <v>2.54366051E8</v>
      </c>
      <c r="E397" s="193" t="s">
        <v>8</v>
      </c>
      <c r="F397" s="194" t="s">
        <v>270</v>
      </c>
      <c r="G397" s="195">
        <v>1200000.0</v>
      </c>
      <c r="H397" s="194" t="s">
        <v>255</v>
      </c>
      <c r="I397" s="202"/>
      <c r="J397" s="203"/>
      <c r="K397" s="193" t="s">
        <v>271</v>
      </c>
      <c r="L397" s="193" t="s">
        <v>272</v>
      </c>
      <c r="M397" s="201"/>
      <c r="N397" s="193" t="s">
        <v>957</v>
      </c>
      <c r="O397" s="185"/>
      <c r="P397" s="190">
        <v>4.43142649E8</v>
      </c>
      <c r="Q397" s="201"/>
      <c r="R397" s="193"/>
      <c r="S397" s="181" t="s">
        <v>259</v>
      </c>
    </row>
    <row r="398" ht="21.0" customHeight="1">
      <c r="A398" s="190">
        <v>397.0</v>
      </c>
      <c r="B398" s="191">
        <v>46318.0</v>
      </c>
      <c r="C398" s="192">
        <v>0.5965277777777778</v>
      </c>
      <c r="D398" s="190">
        <v>4.43142649E8</v>
      </c>
      <c r="E398" s="193" t="s">
        <v>260</v>
      </c>
      <c r="F398" s="194" t="s">
        <v>254</v>
      </c>
      <c r="G398" s="195">
        <v>1320000.0</v>
      </c>
      <c r="H398" s="194" t="s">
        <v>263</v>
      </c>
      <c r="I398" s="202">
        <v>110.0</v>
      </c>
      <c r="J398" s="203">
        <v>12000.0</v>
      </c>
      <c r="K398" s="193" t="s">
        <v>290</v>
      </c>
      <c r="L398" s="193" t="s">
        <v>291</v>
      </c>
      <c r="M398" s="201">
        <v>397.0</v>
      </c>
      <c r="N398" s="193" t="s">
        <v>958</v>
      </c>
      <c r="O398" s="185"/>
      <c r="P398" s="190">
        <v>4.43142649E8</v>
      </c>
      <c r="Q398" s="201"/>
      <c r="R398" s="193"/>
      <c r="S398" s="181" t="s">
        <v>259</v>
      </c>
    </row>
    <row r="399" ht="21.0" customHeight="1">
      <c r="A399" s="190">
        <v>398.0</v>
      </c>
      <c r="B399" s="191">
        <v>46318.0</v>
      </c>
      <c r="C399" s="192">
        <v>0.5972222222222222</v>
      </c>
      <c r="D399" s="190">
        <v>6.156487883E9</v>
      </c>
      <c r="E399" s="193" t="s">
        <v>200</v>
      </c>
      <c r="F399" s="194" t="s">
        <v>270</v>
      </c>
      <c r="G399" s="195">
        <v>1080000.0</v>
      </c>
      <c r="H399" s="194" t="s">
        <v>255</v>
      </c>
      <c r="I399" s="202"/>
      <c r="J399" s="203"/>
      <c r="K399" s="193" t="s">
        <v>271</v>
      </c>
      <c r="L399" s="193" t="s">
        <v>272</v>
      </c>
      <c r="M399" s="201"/>
      <c r="N399" s="193" t="s">
        <v>273</v>
      </c>
      <c r="O399" s="185"/>
      <c r="P399" s="190">
        <v>4.43142649E8</v>
      </c>
      <c r="Q399" s="201"/>
      <c r="R399" s="193"/>
      <c r="S399" s="181" t="s">
        <v>259</v>
      </c>
    </row>
    <row r="400" ht="21.0" customHeight="1">
      <c r="A400" s="190">
        <v>399.0</v>
      </c>
      <c r="B400" s="191">
        <v>46318.0</v>
      </c>
      <c r="C400" s="192">
        <v>0.5986111111111111</v>
      </c>
      <c r="D400" s="190">
        <v>4.43142649E8</v>
      </c>
      <c r="E400" s="193" t="s">
        <v>260</v>
      </c>
      <c r="F400" s="194" t="s">
        <v>254</v>
      </c>
      <c r="G400" s="195">
        <v>600000.0</v>
      </c>
      <c r="H400" s="194" t="s">
        <v>255</v>
      </c>
      <c r="I400" s="202"/>
      <c r="J400" s="203"/>
      <c r="K400" s="193" t="s">
        <v>266</v>
      </c>
      <c r="L400" s="193" t="s">
        <v>267</v>
      </c>
      <c r="M400" s="201"/>
      <c r="N400" s="193" t="s">
        <v>959</v>
      </c>
      <c r="O400" s="185"/>
      <c r="P400" s="190">
        <v>4.43142649E8</v>
      </c>
      <c r="Q400" s="201"/>
      <c r="R400" s="193" t="s">
        <v>129</v>
      </c>
      <c r="S400" s="181" t="s">
        <v>269</v>
      </c>
    </row>
    <row r="401" ht="21.0" customHeight="1">
      <c r="A401" s="190">
        <v>400.0</v>
      </c>
      <c r="B401" s="191">
        <v>46318.0</v>
      </c>
      <c r="C401" s="192">
        <v>0.6256944444444444</v>
      </c>
      <c r="D401" s="190">
        <v>6.156487883E9</v>
      </c>
      <c r="E401" s="193" t="s">
        <v>200</v>
      </c>
      <c r="F401" s="194" t="s">
        <v>254</v>
      </c>
      <c r="G401" s="195">
        <v>80000.0</v>
      </c>
      <c r="H401" s="194" t="s">
        <v>255</v>
      </c>
      <c r="I401" s="202"/>
      <c r="J401" s="203"/>
      <c r="K401" s="193" t="s">
        <v>256</v>
      </c>
      <c r="L401" s="193" t="s">
        <v>257</v>
      </c>
      <c r="M401" s="201">
        <v>404.0</v>
      </c>
      <c r="N401" s="193" t="s">
        <v>869</v>
      </c>
      <c r="O401" s="185"/>
      <c r="P401" s="190">
        <v>6.156487883E9</v>
      </c>
      <c r="Q401" s="201"/>
      <c r="R401" s="193"/>
      <c r="S401" s="181" t="s">
        <v>259</v>
      </c>
    </row>
    <row r="402" ht="21.0" customHeight="1">
      <c r="A402" s="190">
        <v>401.0</v>
      </c>
      <c r="B402" s="191">
        <v>46318.0</v>
      </c>
      <c r="C402" s="192">
        <v>0.6270833333333333</v>
      </c>
      <c r="D402" s="190">
        <v>2.54366051E8</v>
      </c>
      <c r="E402" s="193" t="s">
        <v>8</v>
      </c>
      <c r="F402" s="194" t="s">
        <v>254</v>
      </c>
      <c r="G402" s="195">
        <v>374000.0</v>
      </c>
      <c r="H402" s="194" t="s">
        <v>255</v>
      </c>
      <c r="I402" s="202"/>
      <c r="J402" s="203"/>
      <c r="K402" s="193" t="s">
        <v>296</v>
      </c>
      <c r="L402" s="193" t="s">
        <v>297</v>
      </c>
      <c r="M402" s="201"/>
      <c r="N402" s="193" t="s">
        <v>557</v>
      </c>
      <c r="O402" s="185"/>
      <c r="P402" s="190">
        <v>2.54366051E8</v>
      </c>
      <c r="Q402" s="201"/>
      <c r="R402" s="193" t="s">
        <v>473</v>
      </c>
      <c r="S402" s="181" t="s">
        <v>259</v>
      </c>
    </row>
    <row r="403" ht="21.0" customHeight="1">
      <c r="A403" s="190">
        <v>402.0</v>
      </c>
      <c r="B403" s="191">
        <v>46318.0</v>
      </c>
      <c r="C403" s="192">
        <v>0.6395833333333333</v>
      </c>
      <c r="D403" s="190">
        <v>2.54366051E8</v>
      </c>
      <c r="E403" s="193" t="s">
        <v>8</v>
      </c>
      <c r="F403" s="194" t="s">
        <v>254</v>
      </c>
      <c r="G403" s="195">
        <v>100000.0</v>
      </c>
      <c r="H403" s="194" t="s">
        <v>255</v>
      </c>
      <c r="I403" s="202"/>
      <c r="J403" s="203"/>
      <c r="K403" s="193" t="s">
        <v>266</v>
      </c>
      <c r="L403" s="193" t="s">
        <v>267</v>
      </c>
      <c r="M403" s="201"/>
      <c r="N403" s="193" t="s">
        <v>365</v>
      </c>
      <c r="O403" s="185"/>
      <c r="P403" s="190">
        <v>2.54366051E8</v>
      </c>
      <c r="Q403" s="201"/>
      <c r="R403" s="193" t="s">
        <v>126</v>
      </c>
      <c r="S403" s="181" t="s">
        <v>269</v>
      </c>
    </row>
    <row r="404" ht="21.0" customHeight="1">
      <c r="A404" s="190">
        <v>403.0</v>
      </c>
      <c r="B404" s="191">
        <v>46318.0</v>
      </c>
      <c r="C404" s="192">
        <v>0.6534722222222222</v>
      </c>
      <c r="D404" s="190">
        <v>2.54366051E8</v>
      </c>
      <c r="E404" s="193" t="s">
        <v>8</v>
      </c>
      <c r="F404" s="194" t="s">
        <v>254</v>
      </c>
      <c r="G404" s="195">
        <v>358000.0</v>
      </c>
      <c r="H404" s="194" t="s">
        <v>255</v>
      </c>
      <c r="I404" s="202"/>
      <c r="J404" s="203"/>
      <c r="K404" s="193" t="s">
        <v>290</v>
      </c>
      <c r="L404" s="193" t="s">
        <v>291</v>
      </c>
      <c r="M404" s="201">
        <v>404.0</v>
      </c>
      <c r="N404" s="193" t="s">
        <v>960</v>
      </c>
      <c r="O404" s="185"/>
      <c r="P404" s="190">
        <v>2.54366051E8</v>
      </c>
      <c r="Q404" s="201"/>
      <c r="R404" s="193"/>
      <c r="S404" s="181" t="s">
        <v>259</v>
      </c>
    </row>
    <row r="405" ht="21.0" customHeight="1">
      <c r="A405" s="190">
        <v>404.0</v>
      </c>
      <c r="B405" s="191">
        <v>46318.0</v>
      </c>
      <c r="C405" s="192">
        <v>0.6590277777777778</v>
      </c>
      <c r="D405" s="190">
        <v>4.43142649E8</v>
      </c>
      <c r="E405" s="193" t="s">
        <v>260</v>
      </c>
      <c r="F405" s="194" t="s">
        <v>254</v>
      </c>
      <c r="G405" s="195">
        <v>600000.0</v>
      </c>
      <c r="H405" s="194" t="s">
        <v>255</v>
      </c>
      <c r="I405" s="202"/>
      <c r="J405" s="203"/>
      <c r="K405" s="193" t="s">
        <v>664</v>
      </c>
      <c r="L405" s="193" t="s">
        <v>667</v>
      </c>
      <c r="M405" s="201"/>
      <c r="N405" s="193" t="s">
        <v>672</v>
      </c>
      <c r="O405" s="185"/>
      <c r="P405" s="190">
        <v>4.43142649E8</v>
      </c>
      <c r="Q405" s="201"/>
      <c r="R405" s="193"/>
      <c r="S405" s="181" t="s">
        <v>259</v>
      </c>
    </row>
    <row r="406" ht="21.0" customHeight="1">
      <c r="A406" s="190">
        <v>405.0</v>
      </c>
      <c r="B406" s="191">
        <v>46318.0</v>
      </c>
      <c r="C406" s="192">
        <v>0.6590277777777778</v>
      </c>
      <c r="D406" s="190">
        <v>4.43142649E8</v>
      </c>
      <c r="E406" s="193" t="s">
        <v>260</v>
      </c>
      <c r="F406" s="194" t="s">
        <v>254</v>
      </c>
      <c r="G406" s="195">
        <v>50000.0</v>
      </c>
      <c r="H406" s="194" t="s">
        <v>255</v>
      </c>
      <c r="I406" s="202"/>
      <c r="J406" s="203"/>
      <c r="K406" s="193" t="s">
        <v>455</v>
      </c>
      <c r="L406" s="193" t="s">
        <v>456</v>
      </c>
      <c r="M406" s="201"/>
      <c r="N406" s="193" t="s">
        <v>817</v>
      </c>
      <c r="O406" s="185"/>
      <c r="P406" s="190">
        <v>4.43142649E8</v>
      </c>
      <c r="Q406" s="201"/>
      <c r="R406" s="193"/>
      <c r="S406" s="181" t="s">
        <v>259</v>
      </c>
    </row>
    <row r="407" ht="21.0" customHeight="1">
      <c r="A407" s="190">
        <v>406.0</v>
      </c>
      <c r="B407" s="191">
        <v>46318.0</v>
      </c>
      <c r="C407" s="192">
        <v>0.6930555555555555</v>
      </c>
      <c r="D407" s="190">
        <v>4.43142649E8</v>
      </c>
      <c r="E407" s="193" t="s">
        <v>260</v>
      </c>
      <c r="F407" s="194" t="s">
        <v>254</v>
      </c>
      <c r="G407" s="195">
        <v>1800000.0</v>
      </c>
      <c r="H407" s="194" t="s">
        <v>263</v>
      </c>
      <c r="I407" s="202">
        <v>150.0</v>
      </c>
      <c r="J407" s="203">
        <v>12000.0</v>
      </c>
      <c r="K407" s="193" t="s">
        <v>290</v>
      </c>
      <c r="L407" s="193" t="s">
        <v>291</v>
      </c>
      <c r="M407" s="201">
        <v>392.0</v>
      </c>
      <c r="N407" s="193" t="s">
        <v>961</v>
      </c>
      <c r="O407" s="185"/>
      <c r="P407" s="190">
        <v>4.43142649E8</v>
      </c>
      <c r="Q407" s="201"/>
      <c r="R407" s="193"/>
      <c r="S407" s="181" t="s">
        <v>259</v>
      </c>
    </row>
    <row r="408" ht="21.0" customHeight="1">
      <c r="A408" s="190">
        <v>407.0</v>
      </c>
      <c r="B408" s="191">
        <v>46318.0</v>
      </c>
      <c r="C408" s="192">
        <v>0.7423611111111111</v>
      </c>
      <c r="D408" s="190">
        <v>6.156487883E9</v>
      </c>
      <c r="E408" s="193" t="s">
        <v>200</v>
      </c>
      <c r="F408" s="194" t="s">
        <v>270</v>
      </c>
      <c r="G408" s="195">
        <v>1.6541E7</v>
      </c>
      <c r="H408" s="194" t="s">
        <v>263</v>
      </c>
      <c r="I408" s="202">
        <v>1390.0</v>
      </c>
      <c r="J408" s="203">
        <v>11900.0</v>
      </c>
      <c r="K408" s="193" t="s">
        <v>848</v>
      </c>
      <c r="L408" s="193" t="s">
        <v>849</v>
      </c>
      <c r="M408" s="201">
        <v>403.0</v>
      </c>
      <c r="N408" s="193" t="s">
        <v>940</v>
      </c>
      <c r="O408" s="185"/>
      <c r="P408" s="190">
        <v>6.156487883E9</v>
      </c>
      <c r="Q408" s="201"/>
      <c r="R408" s="193"/>
      <c r="S408" s="181" t="s">
        <v>259</v>
      </c>
    </row>
    <row r="409" ht="21.0" customHeight="1">
      <c r="A409" s="190">
        <v>408.0</v>
      </c>
      <c r="B409" s="191">
        <v>46318.0</v>
      </c>
      <c r="C409" s="192">
        <v>0.7430555555555556</v>
      </c>
      <c r="D409" s="190">
        <v>6.156487883E9</v>
      </c>
      <c r="E409" s="193" t="s">
        <v>200</v>
      </c>
      <c r="F409" s="194" t="s">
        <v>270</v>
      </c>
      <c r="G409" s="195">
        <v>3.09757E7</v>
      </c>
      <c r="H409" s="194" t="s">
        <v>263</v>
      </c>
      <c r="I409" s="202">
        <v>2603.0</v>
      </c>
      <c r="J409" s="203">
        <v>11900.0</v>
      </c>
      <c r="K409" s="193" t="s">
        <v>848</v>
      </c>
      <c r="L409" s="193" t="s">
        <v>849</v>
      </c>
      <c r="M409" s="201">
        <v>395.0</v>
      </c>
      <c r="N409" s="193" t="s">
        <v>940</v>
      </c>
      <c r="O409" s="185"/>
      <c r="P409" s="190">
        <v>6.156487883E9</v>
      </c>
      <c r="Q409" s="201"/>
      <c r="R409" s="193"/>
      <c r="S409" s="181" t="s">
        <v>259</v>
      </c>
    </row>
    <row r="410" ht="21.0" customHeight="1">
      <c r="A410" s="190">
        <v>409.0</v>
      </c>
      <c r="B410" s="191">
        <v>46318.0</v>
      </c>
      <c r="C410" s="192">
        <v>0.9402777777777778</v>
      </c>
      <c r="D410" s="190">
        <v>4.43142649E8</v>
      </c>
      <c r="E410" s="193" t="s">
        <v>260</v>
      </c>
      <c r="F410" s="194" t="s">
        <v>270</v>
      </c>
      <c r="G410" s="195">
        <v>2.38E7</v>
      </c>
      <c r="H410" s="194" t="s">
        <v>263</v>
      </c>
      <c r="I410" s="202">
        <v>2000.0</v>
      </c>
      <c r="J410" s="203">
        <v>11900.0</v>
      </c>
      <c r="K410" s="193" t="s">
        <v>558</v>
      </c>
      <c r="L410" s="193" t="s">
        <v>559</v>
      </c>
      <c r="M410" s="201">
        <v>410.0</v>
      </c>
      <c r="N410" s="193" t="s">
        <v>962</v>
      </c>
      <c r="O410" s="185"/>
      <c r="P410" s="190">
        <v>4.43142649E8</v>
      </c>
      <c r="Q410" s="201"/>
      <c r="R410" s="193"/>
      <c r="S410" s="267"/>
    </row>
    <row r="411" ht="21.0" customHeight="1">
      <c r="A411" s="190">
        <v>410.0</v>
      </c>
      <c r="B411" s="191">
        <v>46318.0</v>
      </c>
      <c r="C411" s="192">
        <v>0.9423611111111111</v>
      </c>
      <c r="D411" s="190">
        <v>4.43142649E8</v>
      </c>
      <c r="E411" s="193" t="s">
        <v>260</v>
      </c>
      <c r="F411" s="194" t="s">
        <v>254</v>
      </c>
      <c r="G411" s="195">
        <v>9520000.0</v>
      </c>
      <c r="H411" s="194" t="s">
        <v>263</v>
      </c>
      <c r="I411" s="202">
        <v>800.0</v>
      </c>
      <c r="J411" s="203">
        <v>11900.0</v>
      </c>
      <c r="K411" s="193" t="s">
        <v>368</v>
      </c>
      <c r="L411" s="193" t="s">
        <v>369</v>
      </c>
      <c r="M411" s="201"/>
      <c r="N411" s="193" t="s">
        <v>963</v>
      </c>
      <c r="O411" s="185"/>
      <c r="P411" s="190">
        <v>4.43142649E8</v>
      </c>
      <c r="Q411" s="201"/>
      <c r="R411" s="193"/>
      <c r="S411" s="267"/>
    </row>
    <row r="412" ht="21.0" customHeight="1">
      <c r="A412" s="190">
        <v>411.0</v>
      </c>
      <c r="B412" s="191">
        <v>46318.0</v>
      </c>
      <c r="C412" s="192">
        <v>0.9534722222222223</v>
      </c>
      <c r="D412" s="190">
        <v>4.43142649E8</v>
      </c>
      <c r="E412" s="193" t="s">
        <v>260</v>
      </c>
      <c r="F412" s="194" t="s">
        <v>254</v>
      </c>
      <c r="G412" s="195">
        <v>180000.0</v>
      </c>
      <c r="H412" s="194" t="s">
        <v>255</v>
      </c>
      <c r="I412" s="202"/>
      <c r="J412" s="203"/>
      <c r="K412" s="193" t="s">
        <v>664</v>
      </c>
      <c r="L412" s="193" t="s">
        <v>667</v>
      </c>
      <c r="M412" s="201"/>
      <c r="N412" s="193" t="s">
        <v>806</v>
      </c>
      <c r="O412" s="185"/>
      <c r="P412" s="190">
        <v>4.43142649E8</v>
      </c>
      <c r="Q412" s="201"/>
      <c r="R412" s="193"/>
      <c r="S412" s="267"/>
    </row>
    <row r="413" ht="21.0" customHeight="1">
      <c r="A413" s="190">
        <v>412.0</v>
      </c>
      <c r="B413" s="191">
        <v>46319.0</v>
      </c>
      <c r="C413" s="192">
        <v>0.4222222222222222</v>
      </c>
      <c r="D413" s="190">
        <v>2.54366051E8</v>
      </c>
      <c r="E413" s="193" t="s">
        <v>8</v>
      </c>
      <c r="F413" s="194" t="s">
        <v>254</v>
      </c>
      <c r="G413" s="195">
        <v>50000.0</v>
      </c>
      <c r="H413" s="194" t="s">
        <v>255</v>
      </c>
      <c r="I413" s="202"/>
      <c r="J413" s="203"/>
      <c r="K413" s="193" t="s">
        <v>361</v>
      </c>
      <c r="L413" s="193" t="s">
        <v>362</v>
      </c>
      <c r="M413" s="201"/>
      <c r="N413" s="193" t="s">
        <v>864</v>
      </c>
      <c r="O413" s="185"/>
      <c r="P413" s="190">
        <v>2.54366051E8</v>
      </c>
      <c r="Q413" s="201"/>
      <c r="R413" s="193"/>
      <c r="S413" s="267"/>
    </row>
    <row r="414" ht="21.0" customHeight="1">
      <c r="A414" s="190">
        <v>413.0</v>
      </c>
      <c r="B414" s="191">
        <v>46319.0</v>
      </c>
      <c r="C414" s="192">
        <v>0.42291666666666666</v>
      </c>
      <c r="D414" s="190">
        <v>2.54366051E8</v>
      </c>
      <c r="E414" s="193" t="s">
        <v>8</v>
      </c>
      <c r="F414" s="194" t="s">
        <v>254</v>
      </c>
      <c r="G414" s="195">
        <v>20000.0</v>
      </c>
      <c r="H414" s="194" t="s">
        <v>255</v>
      </c>
      <c r="I414" s="202"/>
      <c r="J414" s="203"/>
      <c r="K414" s="193" t="s">
        <v>361</v>
      </c>
      <c r="L414" s="193" t="s">
        <v>362</v>
      </c>
      <c r="M414" s="201"/>
      <c r="N414" s="193" t="s">
        <v>865</v>
      </c>
      <c r="O414" s="185"/>
      <c r="P414" s="190">
        <v>2.54366051E8</v>
      </c>
      <c r="Q414" s="201"/>
      <c r="R414" s="193"/>
      <c r="S414" s="267"/>
    </row>
    <row r="415" ht="21.0" customHeight="1">
      <c r="A415" s="190">
        <v>414.0</v>
      </c>
      <c r="B415" s="191">
        <v>46319.0</v>
      </c>
      <c r="C415" s="192">
        <v>0.5069444444444444</v>
      </c>
      <c r="D415" s="190">
        <v>4.43142649E8</v>
      </c>
      <c r="E415" s="193" t="s">
        <v>260</v>
      </c>
      <c r="F415" s="194" t="s">
        <v>254</v>
      </c>
      <c r="G415" s="195">
        <v>1963500.0</v>
      </c>
      <c r="H415" s="194" t="s">
        <v>263</v>
      </c>
      <c r="I415" s="202">
        <v>165.0</v>
      </c>
      <c r="J415" s="203">
        <v>11900.0</v>
      </c>
      <c r="K415" s="193" t="s">
        <v>664</v>
      </c>
      <c r="L415" s="193" t="s">
        <v>667</v>
      </c>
      <c r="M415" s="201"/>
      <c r="N415" s="193" t="s">
        <v>964</v>
      </c>
      <c r="O415" s="185"/>
      <c r="P415" s="190">
        <v>4.43142649E8</v>
      </c>
      <c r="Q415" s="201"/>
      <c r="R415" s="193"/>
      <c r="S415" s="267"/>
    </row>
    <row r="416" ht="21.0" customHeight="1">
      <c r="A416" s="190">
        <v>415.0</v>
      </c>
      <c r="B416" s="191">
        <v>46319.0</v>
      </c>
      <c r="C416" s="192">
        <v>0.5763888888888888</v>
      </c>
      <c r="D416" s="190">
        <v>2.54366051E8</v>
      </c>
      <c r="E416" s="193" t="s">
        <v>8</v>
      </c>
      <c r="F416" s="194" t="s">
        <v>254</v>
      </c>
      <c r="G416" s="195">
        <v>30000.0</v>
      </c>
      <c r="H416" s="194" t="s">
        <v>255</v>
      </c>
      <c r="I416" s="202"/>
      <c r="J416" s="203"/>
      <c r="K416" s="193" t="s">
        <v>323</v>
      </c>
      <c r="L416" s="193" t="s">
        <v>324</v>
      </c>
      <c r="M416" s="201">
        <v>397.0</v>
      </c>
      <c r="N416" s="193" t="s">
        <v>965</v>
      </c>
      <c r="O416" s="185"/>
      <c r="P416" s="190">
        <v>2.54366051E8</v>
      </c>
      <c r="Q416" s="201"/>
      <c r="R416" s="193"/>
      <c r="S416" s="267"/>
    </row>
    <row r="417" ht="21.0" customHeight="1">
      <c r="A417" s="190">
        <v>416.0</v>
      </c>
      <c r="B417" s="191">
        <v>46319.0</v>
      </c>
      <c r="C417" s="192">
        <v>0.5951388888888889</v>
      </c>
      <c r="D417" s="190">
        <v>2.54366051E8</v>
      </c>
      <c r="E417" s="193" t="s">
        <v>8</v>
      </c>
      <c r="F417" s="194" t="s">
        <v>254</v>
      </c>
      <c r="G417" s="195">
        <v>232000.0</v>
      </c>
      <c r="H417" s="194" t="s">
        <v>255</v>
      </c>
      <c r="I417" s="202"/>
      <c r="J417" s="203"/>
      <c r="K417" s="193" t="s">
        <v>296</v>
      </c>
      <c r="L417" s="193" t="s">
        <v>297</v>
      </c>
      <c r="M417" s="201"/>
      <c r="N417" s="193" t="s">
        <v>557</v>
      </c>
      <c r="O417" s="185"/>
      <c r="P417" s="190">
        <v>2.54366051E8</v>
      </c>
      <c r="Q417" s="201"/>
      <c r="R417" s="193" t="s">
        <v>507</v>
      </c>
      <c r="S417" s="267"/>
    </row>
    <row r="418" ht="21.0" customHeight="1">
      <c r="A418" s="190">
        <v>417.0</v>
      </c>
      <c r="B418" s="191">
        <v>46319.0</v>
      </c>
      <c r="C418" s="192">
        <v>0.6354166666666666</v>
      </c>
      <c r="D418" s="190">
        <v>6.156487883E9</v>
      </c>
      <c r="E418" s="193" t="s">
        <v>200</v>
      </c>
      <c r="F418" s="194" t="s">
        <v>254</v>
      </c>
      <c r="G418" s="195">
        <v>80000.0</v>
      </c>
      <c r="H418" s="194" t="s">
        <v>255</v>
      </c>
      <c r="I418" s="202"/>
      <c r="J418" s="203"/>
      <c r="K418" s="193" t="s">
        <v>256</v>
      </c>
      <c r="L418" s="193" t="s">
        <v>257</v>
      </c>
      <c r="M418" s="201"/>
      <c r="N418" s="193" t="s">
        <v>966</v>
      </c>
      <c r="O418" s="185"/>
      <c r="P418" s="190">
        <v>6.156487883E9</v>
      </c>
      <c r="Q418" s="201"/>
      <c r="R418" s="193"/>
      <c r="S418" s="267"/>
    </row>
    <row r="419" ht="21.0" customHeight="1">
      <c r="A419" s="190">
        <v>418.0</v>
      </c>
      <c r="B419" s="191">
        <v>46319.0</v>
      </c>
      <c r="C419" s="192">
        <v>0.6444444444444445</v>
      </c>
      <c r="D419" s="190">
        <v>6.156487883E9</v>
      </c>
      <c r="E419" s="193" t="s">
        <v>200</v>
      </c>
      <c r="F419" s="194" t="s">
        <v>254</v>
      </c>
      <c r="G419" s="195">
        <v>3.09757E7</v>
      </c>
      <c r="H419" s="194" t="s">
        <v>263</v>
      </c>
      <c r="I419" s="202">
        <v>2603.0</v>
      </c>
      <c r="J419" s="203">
        <v>11900.0</v>
      </c>
      <c r="K419" s="193" t="s">
        <v>967</v>
      </c>
      <c r="L419" s="193" t="s">
        <v>968</v>
      </c>
      <c r="M419" s="201">
        <v>395.0</v>
      </c>
      <c r="N419" s="193" t="s">
        <v>969</v>
      </c>
      <c r="O419" s="185"/>
      <c r="P419" s="190">
        <v>4.43142649E8</v>
      </c>
      <c r="Q419" s="201"/>
      <c r="R419" s="193" t="s">
        <v>260</v>
      </c>
      <c r="S419" s="267"/>
    </row>
    <row r="420" ht="21.0" customHeight="1">
      <c r="A420" s="190">
        <v>419.0</v>
      </c>
      <c r="B420" s="191">
        <v>46319.0</v>
      </c>
      <c r="C420" s="192">
        <v>0.6444444444444445</v>
      </c>
      <c r="D420" s="190">
        <v>4.43142649E8</v>
      </c>
      <c r="E420" s="193" t="s">
        <v>260</v>
      </c>
      <c r="F420" s="194" t="s">
        <v>270</v>
      </c>
      <c r="G420" s="195">
        <v>3.09757E7</v>
      </c>
      <c r="H420" s="194" t="s">
        <v>263</v>
      </c>
      <c r="I420" s="202">
        <v>2603.0</v>
      </c>
      <c r="J420" s="203">
        <v>11900.0</v>
      </c>
      <c r="K420" s="193" t="s">
        <v>967</v>
      </c>
      <c r="L420" s="193" t="s">
        <v>968</v>
      </c>
      <c r="M420" s="201">
        <v>395.0</v>
      </c>
      <c r="N420" s="193" t="s">
        <v>970</v>
      </c>
      <c r="O420" s="185"/>
      <c r="P420" s="190">
        <v>4.43142649E8</v>
      </c>
      <c r="Q420" s="201"/>
      <c r="R420" s="193" t="s">
        <v>200</v>
      </c>
      <c r="S420" s="267"/>
    </row>
    <row r="421" ht="21.0" customHeight="1">
      <c r="A421" s="190">
        <v>420.0</v>
      </c>
      <c r="B421" s="191">
        <v>46319.0</v>
      </c>
      <c r="C421" s="192">
        <v>0.6465277777777778</v>
      </c>
      <c r="D421" s="190">
        <v>6.156487883E9</v>
      </c>
      <c r="E421" s="193" t="s">
        <v>200</v>
      </c>
      <c r="F421" s="194" t="s">
        <v>254</v>
      </c>
      <c r="G421" s="195">
        <v>1.6541E7</v>
      </c>
      <c r="H421" s="194" t="s">
        <v>263</v>
      </c>
      <c r="I421" s="202">
        <v>1390.0</v>
      </c>
      <c r="J421" s="203">
        <v>11900.0</v>
      </c>
      <c r="K421" s="193" t="s">
        <v>967</v>
      </c>
      <c r="L421" s="193" t="s">
        <v>968</v>
      </c>
      <c r="M421" s="201">
        <v>403.0</v>
      </c>
      <c r="N421" s="193" t="s">
        <v>971</v>
      </c>
      <c r="O421" s="185"/>
      <c r="P421" s="190">
        <v>4.43142649E8</v>
      </c>
      <c r="Q421" s="201"/>
      <c r="R421" s="193" t="s">
        <v>260</v>
      </c>
      <c r="S421" s="267"/>
    </row>
    <row r="422" ht="21.0" customHeight="1">
      <c r="A422" s="190">
        <v>421.0</v>
      </c>
      <c r="B422" s="191">
        <v>46319.0</v>
      </c>
      <c r="C422" s="192">
        <v>0.6465277777777778</v>
      </c>
      <c r="D422" s="190">
        <v>4.43142649E8</v>
      </c>
      <c r="E422" s="193" t="s">
        <v>260</v>
      </c>
      <c r="F422" s="194" t="s">
        <v>270</v>
      </c>
      <c r="G422" s="195">
        <v>1.6541E7</v>
      </c>
      <c r="H422" s="194" t="s">
        <v>263</v>
      </c>
      <c r="I422" s="202">
        <v>1390.0</v>
      </c>
      <c r="J422" s="203">
        <v>11900.0</v>
      </c>
      <c r="K422" s="193" t="s">
        <v>967</v>
      </c>
      <c r="L422" s="193" t="s">
        <v>968</v>
      </c>
      <c r="M422" s="201">
        <v>403.0</v>
      </c>
      <c r="N422" s="193" t="s">
        <v>972</v>
      </c>
      <c r="O422" s="185"/>
      <c r="P422" s="190">
        <v>4.43142649E8</v>
      </c>
      <c r="Q422" s="201"/>
      <c r="R422" s="193" t="s">
        <v>200</v>
      </c>
      <c r="S422" s="267"/>
    </row>
    <row r="423" ht="21.0" customHeight="1">
      <c r="A423" s="190">
        <v>422.0</v>
      </c>
      <c r="B423" s="191">
        <v>46319.0</v>
      </c>
      <c r="C423" s="192">
        <v>0.6493055555555556</v>
      </c>
      <c r="D423" s="190">
        <v>4.43142649E8</v>
      </c>
      <c r="E423" s="193" t="s">
        <v>260</v>
      </c>
      <c r="F423" s="194" t="s">
        <v>254</v>
      </c>
      <c r="G423" s="195">
        <v>3570000.0</v>
      </c>
      <c r="H423" s="194" t="s">
        <v>263</v>
      </c>
      <c r="I423" s="202">
        <v>300.0</v>
      </c>
      <c r="J423" s="203">
        <v>11900.0</v>
      </c>
      <c r="K423" s="193" t="s">
        <v>266</v>
      </c>
      <c r="L423" s="193" t="s">
        <v>267</v>
      </c>
      <c r="M423" s="201"/>
      <c r="N423" s="193" t="s">
        <v>973</v>
      </c>
      <c r="O423" s="185"/>
      <c r="P423" s="190">
        <v>4.43142649E8</v>
      </c>
      <c r="Q423" s="201"/>
      <c r="R423" s="193" t="s">
        <v>318</v>
      </c>
      <c r="S423" s="268" t="s">
        <v>564</v>
      </c>
    </row>
    <row r="424" ht="21.0" customHeight="1">
      <c r="A424" s="190">
        <v>423.0</v>
      </c>
      <c r="B424" s="191">
        <v>46319.0</v>
      </c>
      <c r="C424" s="192">
        <v>0.6520833333333333</v>
      </c>
      <c r="D424" s="190">
        <v>4.43142649E8</v>
      </c>
      <c r="E424" s="193" t="s">
        <v>260</v>
      </c>
      <c r="F424" s="194" t="s">
        <v>270</v>
      </c>
      <c r="G424" s="195">
        <v>2.38E7</v>
      </c>
      <c r="H424" s="194" t="s">
        <v>263</v>
      </c>
      <c r="I424" s="202">
        <v>2000.0</v>
      </c>
      <c r="J424" s="203">
        <v>11900.0</v>
      </c>
      <c r="K424" s="193" t="s">
        <v>558</v>
      </c>
      <c r="L424" s="193" t="s">
        <v>559</v>
      </c>
      <c r="M424" s="201">
        <v>409.0</v>
      </c>
      <c r="N424" s="193" t="s">
        <v>974</v>
      </c>
      <c r="O424" s="185"/>
      <c r="P424" s="190">
        <v>4.43142649E8</v>
      </c>
      <c r="Q424" s="201"/>
      <c r="R424" s="193"/>
      <c r="S424" s="268"/>
    </row>
    <row r="425" ht="21.0" customHeight="1">
      <c r="A425" s="190">
        <v>424.0</v>
      </c>
      <c r="B425" s="191">
        <v>46319.0</v>
      </c>
      <c r="C425" s="192">
        <v>0.6645833333333333</v>
      </c>
      <c r="D425" s="190">
        <v>4.43142649E8</v>
      </c>
      <c r="E425" s="193" t="s">
        <v>260</v>
      </c>
      <c r="F425" s="194" t="s">
        <v>254</v>
      </c>
      <c r="G425" s="195">
        <v>3.09995E7</v>
      </c>
      <c r="H425" s="194" t="s">
        <v>263</v>
      </c>
      <c r="I425" s="202">
        <v>2605.0</v>
      </c>
      <c r="J425" s="203">
        <v>11900.0</v>
      </c>
      <c r="K425" s="193" t="s">
        <v>266</v>
      </c>
      <c r="L425" s="193" t="s">
        <v>267</v>
      </c>
      <c r="M425" s="201"/>
      <c r="N425" s="193" t="s">
        <v>758</v>
      </c>
      <c r="O425" s="185"/>
      <c r="P425" s="190">
        <v>4.43142649E8</v>
      </c>
      <c r="Q425" s="201"/>
      <c r="R425" s="193" t="s">
        <v>126</v>
      </c>
      <c r="S425" s="268" t="s">
        <v>564</v>
      </c>
    </row>
    <row r="426" ht="21.0" customHeight="1">
      <c r="A426" s="190">
        <v>425.0</v>
      </c>
      <c r="B426" s="191">
        <v>46319.0</v>
      </c>
      <c r="C426" s="192">
        <v>0.6659722222222222</v>
      </c>
      <c r="D426" s="190">
        <v>2.54366051E8</v>
      </c>
      <c r="E426" s="193" t="s">
        <v>8</v>
      </c>
      <c r="F426" s="194" t="s">
        <v>270</v>
      </c>
      <c r="G426" s="195">
        <v>3570000.0</v>
      </c>
      <c r="H426" s="194" t="s">
        <v>263</v>
      </c>
      <c r="I426" s="202">
        <v>300.0</v>
      </c>
      <c r="J426" s="203">
        <v>11900.0</v>
      </c>
      <c r="K426" s="193" t="s">
        <v>271</v>
      </c>
      <c r="L426" s="193" t="s">
        <v>272</v>
      </c>
      <c r="M426" s="201"/>
      <c r="N426" s="193" t="s">
        <v>975</v>
      </c>
      <c r="O426" s="185"/>
      <c r="P426" s="190">
        <v>4.43142649E8</v>
      </c>
      <c r="Q426" s="201"/>
      <c r="R426" s="193"/>
      <c r="S426" s="268"/>
    </row>
    <row r="427" ht="21.0" customHeight="1">
      <c r="A427" s="190">
        <v>426.0</v>
      </c>
      <c r="B427" s="191">
        <v>46319.0</v>
      </c>
      <c r="C427" s="192">
        <v>0.6715277777777777</v>
      </c>
      <c r="D427" s="190">
        <v>6.156487883E9</v>
      </c>
      <c r="E427" s="193" t="s">
        <v>200</v>
      </c>
      <c r="F427" s="194" t="s">
        <v>254</v>
      </c>
      <c r="G427" s="195">
        <v>80000.0</v>
      </c>
      <c r="H427" s="194" t="s">
        <v>255</v>
      </c>
      <c r="I427" s="202"/>
      <c r="J427" s="203"/>
      <c r="K427" s="193" t="s">
        <v>256</v>
      </c>
      <c r="L427" s="193" t="s">
        <v>257</v>
      </c>
      <c r="M427" s="201"/>
      <c r="N427" s="193" t="s">
        <v>976</v>
      </c>
      <c r="O427" s="185"/>
      <c r="P427" s="190">
        <v>6.156487883E9</v>
      </c>
      <c r="Q427" s="201"/>
      <c r="R427" s="193"/>
      <c r="S427" s="268"/>
    </row>
    <row r="428" ht="21.0" customHeight="1">
      <c r="A428" s="190">
        <v>427.0</v>
      </c>
      <c r="B428" s="191">
        <v>46319.0</v>
      </c>
      <c r="C428" s="192">
        <v>0.6729166666666667</v>
      </c>
      <c r="D428" s="190">
        <v>6.156487883E9</v>
      </c>
      <c r="E428" s="193" t="s">
        <v>200</v>
      </c>
      <c r="F428" s="194" t="s">
        <v>254</v>
      </c>
      <c r="G428" s="195">
        <v>160000.0</v>
      </c>
      <c r="H428" s="194" t="s">
        <v>255</v>
      </c>
      <c r="I428" s="202"/>
      <c r="J428" s="203"/>
      <c r="K428" s="193" t="s">
        <v>256</v>
      </c>
      <c r="L428" s="193" t="s">
        <v>257</v>
      </c>
      <c r="M428" s="201">
        <v>397.0</v>
      </c>
      <c r="N428" s="193" t="s">
        <v>902</v>
      </c>
      <c r="O428" s="185"/>
      <c r="P428" s="190">
        <v>6.156487883E9</v>
      </c>
      <c r="Q428" s="201"/>
      <c r="R428" s="193"/>
      <c r="S428" s="268"/>
    </row>
    <row r="429" ht="21.0" customHeight="1">
      <c r="A429" s="190">
        <v>428.0</v>
      </c>
      <c r="B429" s="191">
        <v>46319.0</v>
      </c>
      <c r="C429" s="192">
        <v>0.70625</v>
      </c>
      <c r="D429" s="190">
        <v>4.43142649E8</v>
      </c>
      <c r="E429" s="193" t="s">
        <v>260</v>
      </c>
      <c r="F429" s="194" t="s">
        <v>254</v>
      </c>
      <c r="G429" s="195">
        <v>4950000.0</v>
      </c>
      <c r="H429" s="194" t="s">
        <v>255</v>
      </c>
      <c r="I429" s="202"/>
      <c r="J429" s="203"/>
      <c r="K429" s="193" t="s">
        <v>266</v>
      </c>
      <c r="L429" s="193" t="s">
        <v>267</v>
      </c>
      <c r="M429" s="201"/>
      <c r="N429" s="193" t="s">
        <v>977</v>
      </c>
      <c r="O429" s="185"/>
      <c r="P429" s="190">
        <v>4.43142649E8</v>
      </c>
      <c r="Q429" s="201"/>
      <c r="R429" s="193" t="s">
        <v>118</v>
      </c>
      <c r="S429" s="268" t="s">
        <v>564</v>
      </c>
    </row>
    <row r="430" ht="21.0" customHeight="1">
      <c r="A430" s="190">
        <v>429.0</v>
      </c>
      <c r="B430" s="191">
        <v>46319.0</v>
      </c>
      <c r="C430" s="192">
        <v>0.7069444444444445</v>
      </c>
      <c r="D430" s="190">
        <v>4.43142649E8</v>
      </c>
      <c r="E430" s="193" t="s">
        <v>260</v>
      </c>
      <c r="F430" s="194" t="s">
        <v>254</v>
      </c>
      <c r="G430" s="195">
        <v>2050.0</v>
      </c>
      <c r="H430" s="194" t="s">
        <v>255</v>
      </c>
      <c r="I430" s="202"/>
      <c r="J430" s="203"/>
      <c r="K430" s="193" t="s">
        <v>266</v>
      </c>
      <c r="L430" s="193" t="s">
        <v>267</v>
      </c>
      <c r="M430" s="201"/>
      <c r="N430" s="193" t="s">
        <v>803</v>
      </c>
      <c r="O430" s="185"/>
      <c r="P430" s="190">
        <v>4.43142649E8</v>
      </c>
      <c r="Q430" s="201"/>
      <c r="R430" s="193" t="s">
        <v>120</v>
      </c>
      <c r="S430" s="268" t="s">
        <v>564</v>
      </c>
    </row>
    <row r="431" ht="21.0" customHeight="1">
      <c r="A431" s="190">
        <v>430.0</v>
      </c>
      <c r="B431" s="191">
        <v>46319.0</v>
      </c>
      <c r="C431" s="192">
        <v>0.7236111111111111</v>
      </c>
      <c r="D431" s="190">
        <v>6.156487883E9</v>
      </c>
      <c r="E431" s="193" t="s">
        <v>200</v>
      </c>
      <c r="F431" s="194" t="s">
        <v>254</v>
      </c>
      <c r="G431" s="195">
        <v>56000.0</v>
      </c>
      <c r="H431" s="194" t="s">
        <v>255</v>
      </c>
      <c r="I431" s="202"/>
      <c r="J431" s="203"/>
      <c r="K431" s="193" t="s">
        <v>372</v>
      </c>
      <c r="L431" s="193" t="s">
        <v>373</v>
      </c>
      <c r="M431" s="201">
        <v>397.0</v>
      </c>
      <c r="N431" s="193" t="s">
        <v>978</v>
      </c>
      <c r="O431" s="185"/>
      <c r="P431" s="190">
        <v>6.156487883E9</v>
      </c>
      <c r="Q431" s="201"/>
      <c r="R431" s="193"/>
      <c r="S431" s="268"/>
    </row>
    <row r="432" ht="21.0" customHeight="1">
      <c r="A432" s="190">
        <v>431.0</v>
      </c>
      <c r="B432" s="191">
        <v>46319.0</v>
      </c>
      <c r="C432" s="192">
        <v>0.7736111111111111</v>
      </c>
      <c r="D432" s="190">
        <v>4.43142649E8</v>
      </c>
      <c r="E432" s="193" t="s">
        <v>260</v>
      </c>
      <c r="F432" s="194" t="s">
        <v>254</v>
      </c>
      <c r="G432" s="195">
        <v>180000.0</v>
      </c>
      <c r="H432" s="194" t="s">
        <v>255</v>
      </c>
      <c r="I432" s="202"/>
      <c r="J432" s="203"/>
      <c r="K432" s="193" t="s">
        <v>664</v>
      </c>
      <c r="L432" s="193" t="s">
        <v>667</v>
      </c>
      <c r="M432" s="201"/>
      <c r="N432" s="193" t="s">
        <v>979</v>
      </c>
      <c r="O432" s="185"/>
      <c r="P432" s="190">
        <v>4.43142649E8</v>
      </c>
      <c r="Q432" s="201"/>
      <c r="R432" s="193"/>
      <c r="S432" s="268"/>
    </row>
    <row r="433" ht="21.0" customHeight="1">
      <c r="A433" s="190">
        <v>432.0</v>
      </c>
      <c r="B433" s="191">
        <v>46319.0</v>
      </c>
      <c r="C433" s="192">
        <v>0.7805555555555556</v>
      </c>
      <c r="D433" s="190">
        <v>6.156487883E9</v>
      </c>
      <c r="E433" s="193" t="s">
        <v>200</v>
      </c>
      <c r="F433" s="194" t="s">
        <v>270</v>
      </c>
      <c r="G433" s="195">
        <v>4426800.0</v>
      </c>
      <c r="H433" s="194" t="s">
        <v>263</v>
      </c>
      <c r="I433" s="202">
        <v>372.0</v>
      </c>
      <c r="J433" s="203">
        <v>11900.0</v>
      </c>
      <c r="K433" s="193" t="s">
        <v>848</v>
      </c>
      <c r="L433" s="193" t="s">
        <v>849</v>
      </c>
      <c r="M433" s="201">
        <v>404.0</v>
      </c>
      <c r="N433" s="193" t="s">
        <v>940</v>
      </c>
      <c r="O433" s="185"/>
      <c r="P433" s="190">
        <v>6.156487883E9</v>
      </c>
      <c r="Q433" s="201"/>
      <c r="R433" s="193"/>
      <c r="S433" s="268"/>
    </row>
    <row r="434" ht="21.0" customHeight="1">
      <c r="A434" s="190">
        <v>433.0</v>
      </c>
      <c r="B434" s="191">
        <v>46319.0</v>
      </c>
      <c r="C434" s="192">
        <v>0.78125</v>
      </c>
      <c r="D434" s="190">
        <v>6.156487883E9</v>
      </c>
      <c r="E434" s="193" t="s">
        <v>200</v>
      </c>
      <c r="F434" s="194" t="s">
        <v>270</v>
      </c>
      <c r="G434" s="195">
        <v>2.4038E7</v>
      </c>
      <c r="H434" s="194" t="s">
        <v>263</v>
      </c>
      <c r="I434" s="202">
        <v>2020.0</v>
      </c>
      <c r="J434" s="203">
        <v>11900.0</v>
      </c>
      <c r="K434" s="193" t="s">
        <v>848</v>
      </c>
      <c r="L434" s="193" t="s">
        <v>849</v>
      </c>
      <c r="M434" s="201">
        <v>397.0</v>
      </c>
      <c r="N434" s="193" t="s">
        <v>940</v>
      </c>
      <c r="O434" s="185"/>
      <c r="P434" s="190">
        <v>6.156487883E9</v>
      </c>
      <c r="Q434" s="201"/>
      <c r="R434" s="193"/>
      <c r="S434" s="268"/>
    </row>
    <row r="435" ht="21.0" customHeight="1">
      <c r="A435" s="190">
        <v>434.0</v>
      </c>
      <c r="B435" s="191">
        <v>46319.0</v>
      </c>
      <c r="C435" s="192">
        <v>0.7833333333333333</v>
      </c>
      <c r="D435" s="190">
        <v>6.156487883E9</v>
      </c>
      <c r="E435" s="193" t="s">
        <v>200</v>
      </c>
      <c r="F435" s="194" t="s">
        <v>254</v>
      </c>
      <c r="G435" s="195">
        <v>4426800.0</v>
      </c>
      <c r="H435" s="194" t="s">
        <v>263</v>
      </c>
      <c r="I435" s="202">
        <v>372.0</v>
      </c>
      <c r="J435" s="203">
        <v>11900.0</v>
      </c>
      <c r="K435" s="193" t="s">
        <v>967</v>
      </c>
      <c r="L435" s="193" t="s">
        <v>968</v>
      </c>
      <c r="M435" s="201">
        <v>404.0</v>
      </c>
      <c r="N435" s="193" t="s">
        <v>980</v>
      </c>
      <c r="O435" s="185"/>
      <c r="P435" s="190">
        <v>4.43142649E8</v>
      </c>
      <c r="Q435" s="201"/>
      <c r="R435" s="193" t="s">
        <v>260</v>
      </c>
      <c r="S435" s="268"/>
    </row>
    <row r="436" ht="21.0" customHeight="1">
      <c r="A436" s="190">
        <v>435.0</v>
      </c>
      <c r="B436" s="191">
        <v>46319.0</v>
      </c>
      <c r="C436" s="192">
        <v>0.7833333333333333</v>
      </c>
      <c r="D436" s="190">
        <v>4.43142649E8</v>
      </c>
      <c r="E436" s="193" t="s">
        <v>260</v>
      </c>
      <c r="F436" s="194" t="s">
        <v>270</v>
      </c>
      <c r="G436" s="195">
        <v>4426800.0</v>
      </c>
      <c r="H436" s="194" t="s">
        <v>263</v>
      </c>
      <c r="I436" s="202">
        <v>372.0</v>
      </c>
      <c r="J436" s="203">
        <v>11900.0</v>
      </c>
      <c r="K436" s="193" t="s">
        <v>967</v>
      </c>
      <c r="L436" s="193" t="s">
        <v>968</v>
      </c>
      <c r="M436" s="201">
        <v>404.0</v>
      </c>
      <c r="N436" s="193" t="s">
        <v>981</v>
      </c>
      <c r="O436" s="185"/>
      <c r="P436" s="190">
        <v>4.43142649E8</v>
      </c>
      <c r="Q436" s="201"/>
      <c r="R436" s="193" t="s">
        <v>200</v>
      </c>
      <c r="S436" s="268"/>
    </row>
    <row r="437" ht="21.0" customHeight="1">
      <c r="A437" s="190">
        <v>436.0</v>
      </c>
      <c r="B437" s="191">
        <v>46319.0</v>
      </c>
      <c r="C437" s="192">
        <v>0.7979166666666667</v>
      </c>
      <c r="D437" s="190">
        <v>6.156487883E9</v>
      </c>
      <c r="E437" s="193" t="s">
        <v>200</v>
      </c>
      <c r="F437" s="194" t="s">
        <v>254</v>
      </c>
      <c r="G437" s="195">
        <v>2.4038E7</v>
      </c>
      <c r="H437" s="194" t="s">
        <v>263</v>
      </c>
      <c r="I437" s="202">
        <v>2020.0</v>
      </c>
      <c r="J437" s="203">
        <v>11900.0</v>
      </c>
      <c r="K437" s="193" t="s">
        <v>967</v>
      </c>
      <c r="L437" s="193" t="s">
        <v>968</v>
      </c>
      <c r="M437" s="201">
        <v>397.0</v>
      </c>
      <c r="N437" s="193" t="s">
        <v>982</v>
      </c>
      <c r="O437" s="185"/>
      <c r="P437" s="190">
        <v>4.43142649E8</v>
      </c>
      <c r="Q437" s="201"/>
      <c r="R437" s="193" t="s">
        <v>260</v>
      </c>
      <c r="S437" s="268"/>
    </row>
    <row r="438" ht="21.0" customHeight="1">
      <c r="A438" s="190">
        <v>437.0</v>
      </c>
      <c r="B438" s="191">
        <v>46319.0</v>
      </c>
      <c r="C438" s="192">
        <v>0.7979166666666667</v>
      </c>
      <c r="D438" s="190">
        <v>4.43142649E8</v>
      </c>
      <c r="E438" s="193" t="s">
        <v>260</v>
      </c>
      <c r="F438" s="194" t="s">
        <v>270</v>
      </c>
      <c r="G438" s="195">
        <v>2.4038E7</v>
      </c>
      <c r="H438" s="194" t="s">
        <v>263</v>
      </c>
      <c r="I438" s="202">
        <v>2020.0</v>
      </c>
      <c r="J438" s="203">
        <v>11900.0</v>
      </c>
      <c r="K438" s="193" t="s">
        <v>967</v>
      </c>
      <c r="L438" s="193" t="s">
        <v>968</v>
      </c>
      <c r="M438" s="201">
        <v>397.0</v>
      </c>
      <c r="N438" s="193" t="s">
        <v>983</v>
      </c>
      <c r="O438" s="185"/>
      <c r="P438" s="190">
        <v>4.43142649E8</v>
      </c>
      <c r="Q438" s="201"/>
      <c r="R438" s="193" t="s">
        <v>200</v>
      </c>
      <c r="S438" s="268"/>
    </row>
    <row r="439" ht="21.0" customHeight="1">
      <c r="A439" s="190">
        <v>438.0</v>
      </c>
      <c r="B439" s="191">
        <v>46320.0</v>
      </c>
      <c r="C439" s="192">
        <v>0.0</v>
      </c>
      <c r="D439" s="190">
        <v>4.43142649E8</v>
      </c>
      <c r="E439" s="193" t="s">
        <v>260</v>
      </c>
      <c r="F439" s="194" t="s">
        <v>254</v>
      </c>
      <c r="G439" s="195">
        <v>140000.0</v>
      </c>
      <c r="H439" s="194" t="s">
        <v>255</v>
      </c>
      <c r="I439" s="202"/>
      <c r="J439" s="203"/>
      <c r="K439" s="193" t="s">
        <v>664</v>
      </c>
      <c r="L439" s="193" t="s">
        <v>667</v>
      </c>
      <c r="M439" s="201"/>
      <c r="N439" s="193" t="s">
        <v>903</v>
      </c>
      <c r="O439" s="185"/>
      <c r="P439" s="190">
        <v>4.43142649E8</v>
      </c>
      <c r="Q439" s="201"/>
      <c r="R439" s="193"/>
      <c r="S439" s="268"/>
    </row>
    <row r="440" ht="21.0" customHeight="1">
      <c r="A440" s="190">
        <v>439.0</v>
      </c>
      <c r="B440" s="191">
        <v>46320.0</v>
      </c>
      <c r="C440" s="192">
        <v>0.0</v>
      </c>
      <c r="D440" s="190">
        <v>4.43142649E8</v>
      </c>
      <c r="E440" s="193" t="s">
        <v>260</v>
      </c>
      <c r="F440" s="194" t="s">
        <v>254</v>
      </c>
      <c r="G440" s="195">
        <v>100000.0</v>
      </c>
      <c r="H440" s="194" t="s">
        <v>255</v>
      </c>
      <c r="I440" s="202"/>
      <c r="J440" s="203"/>
      <c r="K440" s="193" t="s">
        <v>455</v>
      </c>
      <c r="L440" s="193" t="s">
        <v>456</v>
      </c>
      <c r="M440" s="201"/>
      <c r="N440" s="193" t="s">
        <v>840</v>
      </c>
      <c r="O440" s="185"/>
      <c r="P440" s="190">
        <v>4.43142649E8</v>
      </c>
      <c r="Q440" s="201"/>
      <c r="R440" s="193"/>
      <c r="S440" s="268"/>
    </row>
    <row r="441" ht="21.0" customHeight="1">
      <c r="A441" s="190">
        <v>440.0</v>
      </c>
      <c r="B441" s="191">
        <v>46320.0</v>
      </c>
      <c r="C441" s="192">
        <v>0.38263888888888886</v>
      </c>
      <c r="D441" s="190">
        <v>4.43142649E8</v>
      </c>
      <c r="E441" s="193" t="s">
        <v>260</v>
      </c>
      <c r="F441" s="194" t="s">
        <v>254</v>
      </c>
      <c r="G441" s="195">
        <v>100000.0</v>
      </c>
      <c r="H441" s="194" t="s">
        <v>255</v>
      </c>
      <c r="I441" s="202"/>
      <c r="J441" s="203"/>
      <c r="K441" s="193" t="s">
        <v>664</v>
      </c>
      <c r="L441" s="193" t="s">
        <v>667</v>
      </c>
      <c r="M441" s="201"/>
      <c r="N441" s="193" t="s">
        <v>984</v>
      </c>
      <c r="O441" s="185"/>
      <c r="P441" s="190">
        <v>4.43142649E8</v>
      </c>
      <c r="Q441" s="201"/>
      <c r="R441" s="193"/>
      <c r="S441" s="268"/>
    </row>
    <row r="442" ht="21.0" customHeight="1">
      <c r="A442" s="190">
        <v>441.0</v>
      </c>
      <c r="B442" s="191">
        <v>46320.0</v>
      </c>
      <c r="C442" s="192">
        <v>0.4166666666666667</v>
      </c>
      <c r="D442" s="190">
        <v>2.54366051E8</v>
      </c>
      <c r="E442" s="193" t="s">
        <v>8</v>
      </c>
      <c r="F442" s="194" t="s">
        <v>254</v>
      </c>
      <c r="G442" s="195">
        <v>35000.0</v>
      </c>
      <c r="H442" s="194" t="s">
        <v>255</v>
      </c>
      <c r="I442" s="202"/>
      <c r="J442" s="203"/>
      <c r="K442" s="193" t="s">
        <v>256</v>
      </c>
      <c r="L442" s="193" t="s">
        <v>257</v>
      </c>
      <c r="M442" s="201"/>
      <c r="N442" s="193" t="s">
        <v>985</v>
      </c>
      <c r="O442" s="185"/>
      <c r="P442" s="190">
        <v>2.54366051E8</v>
      </c>
      <c r="Q442" s="201"/>
      <c r="R442" s="193"/>
      <c r="S442" s="268"/>
    </row>
    <row r="443" ht="21.0" customHeight="1">
      <c r="A443" s="190">
        <v>442.0</v>
      </c>
      <c r="B443" s="191">
        <v>46320.0</v>
      </c>
      <c r="C443" s="192">
        <v>0.4173611111111111</v>
      </c>
      <c r="D443" s="190">
        <v>2.54366051E8</v>
      </c>
      <c r="E443" s="193" t="s">
        <v>8</v>
      </c>
      <c r="F443" s="194" t="s">
        <v>254</v>
      </c>
      <c r="G443" s="195">
        <v>45000.0</v>
      </c>
      <c r="H443" s="194" t="s">
        <v>255</v>
      </c>
      <c r="I443" s="202"/>
      <c r="J443" s="203"/>
      <c r="K443" s="193" t="s">
        <v>455</v>
      </c>
      <c r="L443" s="193" t="s">
        <v>456</v>
      </c>
      <c r="M443" s="201"/>
      <c r="N443" s="193" t="s">
        <v>946</v>
      </c>
      <c r="O443" s="185"/>
      <c r="P443" s="190">
        <v>2.54366051E8</v>
      </c>
      <c r="Q443" s="201"/>
      <c r="R443" s="193"/>
      <c r="S443" s="268"/>
    </row>
    <row r="444" ht="21.0" customHeight="1">
      <c r="A444" s="190">
        <v>443.0</v>
      </c>
      <c r="B444" s="191">
        <v>46320.0</v>
      </c>
      <c r="C444" s="192">
        <v>0.41805555555555557</v>
      </c>
      <c r="D444" s="190">
        <v>2.54366051E8</v>
      </c>
      <c r="E444" s="193" t="s">
        <v>8</v>
      </c>
      <c r="F444" s="194" t="s">
        <v>254</v>
      </c>
      <c r="G444" s="195">
        <v>1689800.0</v>
      </c>
      <c r="H444" s="194" t="s">
        <v>263</v>
      </c>
      <c r="I444" s="202">
        <v>142.0</v>
      </c>
      <c r="J444" s="203">
        <v>11900.0</v>
      </c>
      <c r="K444" s="193" t="s">
        <v>323</v>
      </c>
      <c r="L444" s="193" t="s">
        <v>324</v>
      </c>
      <c r="M444" s="201">
        <v>392.0</v>
      </c>
      <c r="N444" s="193" t="s">
        <v>986</v>
      </c>
      <c r="O444" s="185"/>
      <c r="P444" s="190">
        <v>2.54366051E8</v>
      </c>
      <c r="Q444" s="201"/>
      <c r="R444" s="193"/>
      <c r="S444" s="268"/>
    </row>
    <row r="445" ht="21.0" customHeight="1">
      <c r="A445" s="190">
        <v>444.0</v>
      </c>
      <c r="B445" s="191">
        <v>46320.0</v>
      </c>
      <c r="C445" s="192">
        <v>0.41875</v>
      </c>
      <c r="D445" s="190">
        <v>2.54366051E8</v>
      </c>
      <c r="E445" s="193" t="s">
        <v>8</v>
      </c>
      <c r="F445" s="194" t="s">
        <v>254</v>
      </c>
      <c r="G445" s="195">
        <v>809200.0</v>
      </c>
      <c r="H445" s="194" t="s">
        <v>263</v>
      </c>
      <c r="I445" s="202">
        <v>68.0</v>
      </c>
      <c r="J445" s="203">
        <v>11900.0</v>
      </c>
      <c r="K445" s="193" t="s">
        <v>323</v>
      </c>
      <c r="L445" s="193" t="s">
        <v>324</v>
      </c>
      <c r="M445" s="201">
        <v>402.0</v>
      </c>
      <c r="N445" s="193" t="s">
        <v>987</v>
      </c>
      <c r="O445" s="185"/>
      <c r="P445" s="190">
        <v>2.54366051E8</v>
      </c>
      <c r="Q445" s="201"/>
      <c r="R445" s="193"/>
      <c r="S445" s="268"/>
    </row>
    <row r="446" ht="21.0" customHeight="1">
      <c r="A446" s="190">
        <v>445.0</v>
      </c>
      <c r="B446" s="191">
        <v>46320.0</v>
      </c>
      <c r="C446" s="192">
        <v>0.46875</v>
      </c>
      <c r="D446" s="190">
        <v>2.54366051E8</v>
      </c>
      <c r="E446" s="193" t="s">
        <v>8</v>
      </c>
      <c r="F446" s="194" t="s">
        <v>254</v>
      </c>
      <c r="G446" s="195">
        <v>110000.0</v>
      </c>
      <c r="H446" s="194" t="s">
        <v>255</v>
      </c>
      <c r="I446" s="202"/>
      <c r="J446" s="203"/>
      <c r="K446" s="193" t="s">
        <v>380</v>
      </c>
      <c r="L446" s="193" t="s">
        <v>381</v>
      </c>
      <c r="M446" s="201"/>
      <c r="N446" s="193" t="s">
        <v>988</v>
      </c>
      <c r="O446" s="185"/>
      <c r="P446" s="190">
        <v>2.54366051E8</v>
      </c>
      <c r="Q446" s="201"/>
      <c r="R446" s="193"/>
      <c r="S446" s="268"/>
    </row>
    <row r="447" ht="21.0" customHeight="1">
      <c r="A447" s="190">
        <v>446.0</v>
      </c>
      <c r="B447" s="191">
        <v>46320.0</v>
      </c>
      <c r="C447" s="192">
        <v>0.49444444444444446</v>
      </c>
      <c r="D447" s="190">
        <v>6.156487883E9</v>
      </c>
      <c r="E447" s="193" t="s">
        <v>200</v>
      </c>
      <c r="F447" s="194" t="s">
        <v>254</v>
      </c>
      <c r="G447" s="195">
        <v>120000.0</v>
      </c>
      <c r="H447" s="194" t="s">
        <v>255</v>
      </c>
      <c r="I447" s="202"/>
      <c r="J447" s="203"/>
      <c r="K447" s="193" t="s">
        <v>256</v>
      </c>
      <c r="L447" s="193" t="s">
        <v>257</v>
      </c>
      <c r="M447" s="201">
        <v>402.0</v>
      </c>
      <c r="N447" s="193" t="s">
        <v>941</v>
      </c>
      <c r="O447" s="185"/>
      <c r="P447" s="190">
        <v>6.156487883E9</v>
      </c>
      <c r="Q447" s="201"/>
      <c r="R447" s="193"/>
      <c r="S447" s="268"/>
    </row>
    <row r="448" ht="21.0" customHeight="1">
      <c r="A448" s="190">
        <v>447.0</v>
      </c>
      <c r="B448" s="191">
        <v>46320.0</v>
      </c>
      <c r="C448" s="192">
        <v>0.5104166666666666</v>
      </c>
      <c r="D448" s="190">
        <v>4.43142649E8</v>
      </c>
      <c r="E448" s="193" t="s">
        <v>260</v>
      </c>
      <c r="F448" s="194" t="s">
        <v>254</v>
      </c>
      <c r="G448" s="195">
        <v>595000.0</v>
      </c>
      <c r="H448" s="194" t="s">
        <v>263</v>
      </c>
      <c r="I448" s="202">
        <v>50.0</v>
      </c>
      <c r="J448" s="203">
        <v>11900.0</v>
      </c>
      <c r="K448" s="193" t="s">
        <v>560</v>
      </c>
      <c r="L448" s="193" t="s">
        <v>561</v>
      </c>
      <c r="M448" s="201"/>
      <c r="N448" s="193" t="s">
        <v>989</v>
      </c>
      <c r="O448" s="185"/>
      <c r="P448" s="190">
        <v>4.43142649E8</v>
      </c>
      <c r="Q448" s="201"/>
      <c r="R448" s="193"/>
      <c r="S448" s="268"/>
    </row>
    <row r="449" ht="21.0" customHeight="1">
      <c r="A449" s="190">
        <v>448.0</v>
      </c>
      <c r="B449" s="191">
        <v>46320.0</v>
      </c>
      <c r="C449" s="192">
        <v>0.7673611111111112</v>
      </c>
      <c r="D449" s="190">
        <v>4.43142649E8</v>
      </c>
      <c r="E449" s="193" t="s">
        <v>260</v>
      </c>
      <c r="F449" s="194" t="s">
        <v>254</v>
      </c>
      <c r="G449" s="195">
        <v>1350000.0</v>
      </c>
      <c r="H449" s="194" t="s">
        <v>255</v>
      </c>
      <c r="I449" s="202"/>
      <c r="J449" s="203"/>
      <c r="K449" s="193" t="s">
        <v>664</v>
      </c>
      <c r="L449" s="193" t="s">
        <v>667</v>
      </c>
      <c r="M449" s="201"/>
      <c r="N449" s="193" t="s">
        <v>747</v>
      </c>
      <c r="O449" s="185"/>
      <c r="P449" s="190">
        <v>4.43142649E8</v>
      </c>
      <c r="Q449" s="201"/>
      <c r="R449" s="193"/>
      <c r="S449" s="268"/>
    </row>
    <row r="450" ht="21.0" customHeight="1">
      <c r="A450" s="190">
        <v>449.0</v>
      </c>
      <c r="B450" s="191">
        <v>46320.0</v>
      </c>
      <c r="C450" s="192">
        <v>0.8458333333333333</v>
      </c>
      <c r="D450" s="190">
        <v>4.43142649E8</v>
      </c>
      <c r="E450" s="193" t="s">
        <v>260</v>
      </c>
      <c r="F450" s="194" t="s">
        <v>254</v>
      </c>
      <c r="G450" s="195">
        <v>1000000.0</v>
      </c>
      <c r="H450" s="194" t="s">
        <v>255</v>
      </c>
      <c r="I450" s="202"/>
      <c r="J450" s="203"/>
      <c r="K450" s="193" t="s">
        <v>266</v>
      </c>
      <c r="L450" s="193" t="s">
        <v>267</v>
      </c>
      <c r="M450" s="201"/>
      <c r="N450" s="193" t="s">
        <v>990</v>
      </c>
      <c r="O450" s="185"/>
      <c r="P450" s="190">
        <v>4.43142649E8</v>
      </c>
      <c r="Q450" s="201"/>
      <c r="R450" s="193" t="s">
        <v>112</v>
      </c>
      <c r="S450" s="268" t="s">
        <v>269</v>
      </c>
    </row>
    <row r="451" ht="21.0" customHeight="1">
      <c r="A451" s="190">
        <v>450.0</v>
      </c>
      <c r="B451" s="191">
        <v>46320.0</v>
      </c>
      <c r="C451" s="192">
        <v>0.8479166666666667</v>
      </c>
      <c r="D451" s="190">
        <v>4.43142649E8</v>
      </c>
      <c r="E451" s="193" t="s">
        <v>260</v>
      </c>
      <c r="F451" s="194" t="s">
        <v>254</v>
      </c>
      <c r="G451" s="195">
        <v>250000.0</v>
      </c>
      <c r="H451" s="194" t="s">
        <v>255</v>
      </c>
      <c r="I451" s="202"/>
      <c r="J451" s="203"/>
      <c r="K451" s="193" t="s">
        <v>455</v>
      </c>
      <c r="L451" s="193" t="s">
        <v>456</v>
      </c>
      <c r="M451" s="201"/>
      <c r="N451" s="193" t="s">
        <v>991</v>
      </c>
      <c r="O451" s="185"/>
      <c r="P451" s="190">
        <v>4.43142649E8</v>
      </c>
      <c r="Q451" s="201"/>
      <c r="R451" s="193"/>
      <c r="S451" s="268"/>
    </row>
    <row r="452" ht="21.0" customHeight="1">
      <c r="A452" s="190">
        <v>451.0</v>
      </c>
      <c r="B452" s="191">
        <v>46320.0</v>
      </c>
      <c r="C452" s="192">
        <v>0.8701388888888889</v>
      </c>
      <c r="D452" s="190">
        <v>6.156487883E9</v>
      </c>
      <c r="E452" s="193" t="s">
        <v>200</v>
      </c>
      <c r="F452" s="194" t="s">
        <v>254</v>
      </c>
      <c r="G452" s="195">
        <v>30000.0</v>
      </c>
      <c r="H452" s="194" t="s">
        <v>255</v>
      </c>
      <c r="I452" s="202"/>
      <c r="J452" s="203"/>
      <c r="K452" s="193" t="s">
        <v>372</v>
      </c>
      <c r="L452" s="193" t="s">
        <v>373</v>
      </c>
      <c r="M452" s="201"/>
      <c r="N452" s="193" t="s">
        <v>992</v>
      </c>
      <c r="O452" s="185"/>
      <c r="P452" s="190">
        <v>6.156487883E9</v>
      </c>
      <c r="Q452" s="201"/>
      <c r="R452" s="193"/>
      <c r="S452" s="268"/>
    </row>
    <row r="453" ht="21.0" customHeight="1">
      <c r="A453" s="190">
        <v>452.0</v>
      </c>
      <c r="B453" s="191">
        <v>46320.0</v>
      </c>
      <c r="C453" s="192">
        <v>0.9659722222222222</v>
      </c>
      <c r="D453" s="190">
        <v>4.43142649E8</v>
      </c>
      <c r="E453" s="193" t="s">
        <v>260</v>
      </c>
      <c r="F453" s="194" t="s">
        <v>254</v>
      </c>
      <c r="G453" s="195">
        <v>80.0</v>
      </c>
      <c r="H453" s="194" t="s">
        <v>255</v>
      </c>
      <c r="I453" s="202"/>
      <c r="J453" s="203"/>
      <c r="K453" s="193" t="s">
        <v>372</v>
      </c>
      <c r="L453" s="193" t="s">
        <v>373</v>
      </c>
      <c r="M453" s="201"/>
      <c r="N453" s="193" t="s">
        <v>838</v>
      </c>
      <c r="O453" s="185"/>
      <c r="P453" s="190">
        <v>4.43142649E8</v>
      </c>
      <c r="Q453" s="201" t="s">
        <v>258</v>
      </c>
      <c r="R453" s="193"/>
      <c r="S453" s="268"/>
    </row>
    <row r="454" ht="21.0" customHeight="1">
      <c r="A454" s="190">
        <v>453.0</v>
      </c>
      <c r="B454" s="191">
        <v>46320.0</v>
      </c>
      <c r="C454" s="192">
        <v>0.9666666666666667</v>
      </c>
      <c r="D454" s="190">
        <v>4.43142649E8</v>
      </c>
      <c r="E454" s="193" t="s">
        <v>260</v>
      </c>
      <c r="F454" s="194" t="s">
        <v>254</v>
      </c>
      <c r="G454" s="195">
        <v>80000.0</v>
      </c>
      <c r="H454" s="194" t="s">
        <v>255</v>
      </c>
      <c r="I454" s="202"/>
      <c r="J454" s="203"/>
      <c r="K454" s="193" t="s">
        <v>814</v>
      </c>
      <c r="L454" s="193" t="s">
        <v>815</v>
      </c>
      <c r="M454" s="201"/>
      <c r="N454" s="193" t="s">
        <v>993</v>
      </c>
      <c r="O454" s="185"/>
      <c r="P454" s="190">
        <v>4.43142649E8</v>
      </c>
      <c r="Q454" s="201"/>
      <c r="R454" s="193"/>
      <c r="S454" s="268"/>
    </row>
    <row r="455" ht="21.0" customHeight="1">
      <c r="A455" s="190">
        <v>454.0</v>
      </c>
      <c r="B455" s="191">
        <v>46321.0</v>
      </c>
      <c r="C455" s="192">
        <v>0.4576388888888889</v>
      </c>
      <c r="D455" s="190">
        <v>2.54366051E8</v>
      </c>
      <c r="E455" s="193" t="s">
        <v>8</v>
      </c>
      <c r="F455" s="194" t="s">
        <v>254</v>
      </c>
      <c r="G455" s="195">
        <v>100000.0</v>
      </c>
      <c r="H455" s="194" t="s">
        <v>255</v>
      </c>
      <c r="I455" s="202"/>
      <c r="J455" s="203"/>
      <c r="K455" s="193" t="s">
        <v>296</v>
      </c>
      <c r="L455" s="193" t="s">
        <v>297</v>
      </c>
      <c r="M455" s="201"/>
      <c r="N455" s="193" t="s">
        <v>994</v>
      </c>
      <c r="O455" s="185"/>
      <c r="P455" s="190">
        <v>2.54366051E8</v>
      </c>
      <c r="Q455" s="201"/>
      <c r="R455" s="193" t="s">
        <v>116</v>
      </c>
      <c r="S455" s="268"/>
    </row>
    <row r="456" ht="21.0" customHeight="1">
      <c r="A456" s="190">
        <v>455.0</v>
      </c>
      <c r="B456" s="191">
        <v>46321.0</v>
      </c>
      <c r="C456" s="192">
        <v>0.4576388888888889</v>
      </c>
      <c r="D456" s="190">
        <v>2.54366051E8</v>
      </c>
      <c r="E456" s="193" t="s">
        <v>8</v>
      </c>
      <c r="F456" s="194" t="s">
        <v>254</v>
      </c>
      <c r="G456" s="195">
        <v>50000.0</v>
      </c>
      <c r="H456" s="194" t="s">
        <v>255</v>
      </c>
      <c r="I456" s="202"/>
      <c r="J456" s="203"/>
      <c r="K456" s="193" t="s">
        <v>361</v>
      </c>
      <c r="L456" s="193" t="s">
        <v>362</v>
      </c>
      <c r="M456" s="201"/>
      <c r="N456" s="193" t="s">
        <v>864</v>
      </c>
      <c r="O456" s="185"/>
      <c r="P456" s="190">
        <v>2.54366051E8</v>
      </c>
      <c r="Q456" s="201"/>
      <c r="R456" s="193"/>
      <c r="S456" s="268"/>
    </row>
    <row r="457" ht="21.0" customHeight="1">
      <c r="A457" s="190">
        <v>456.0</v>
      </c>
      <c r="B457" s="191">
        <v>46321.0</v>
      </c>
      <c r="C457" s="192">
        <v>0.4583333333333333</v>
      </c>
      <c r="D457" s="190">
        <v>2.54366051E8</v>
      </c>
      <c r="E457" s="193" t="s">
        <v>8</v>
      </c>
      <c r="F457" s="194" t="s">
        <v>254</v>
      </c>
      <c r="G457" s="195">
        <v>50000.0</v>
      </c>
      <c r="H457" s="194" t="s">
        <v>255</v>
      </c>
      <c r="I457" s="202"/>
      <c r="J457" s="203"/>
      <c r="K457" s="193" t="s">
        <v>361</v>
      </c>
      <c r="L457" s="193" t="s">
        <v>362</v>
      </c>
      <c r="M457" s="201"/>
      <c r="N457" s="193" t="s">
        <v>865</v>
      </c>
      <c r="O457" s="185"/>
      <c r="P457" s="190">
        <v>2.54366051E8</v>
      </c>
      <c r="Q457" s="201"/>
      <c r="R457" s="193"/>
      <c r="S457" s="268"/>
    </row>
    <row r="458" ht="21.0" customHeight="1">
      <c r="A458" s="190">
        <v>457.0</v>
      </c>
      <c r="B458" s="191">
        <v>46321.0</v>
      </c>
      <c r="C458" s="192">
        <v>0.5451388888888888</v>
      </c>
      <c r="D458" s="190">
        <v>6.156487883E9</v>
      </c>
      <c r="E458" s="193" t="s">
        <v>200</v>
      </c>
      <c r="F458" s="194" t="s">
        <v>254</v>
      </c>
      <c r="G458" s="195">
        <v>320000.0</v>
      </c>
      <c r="H458" s="194" t="s">
        <v>255</v>
      </c>
      <c r="I458" s="202"/>
      <c r="J458" s="203"/>
      <c r="K458" s="193" t="s">
        <v>256</v>
      </c>
      <c r="L458" s="193" t="s">
        <v>257</v>
      </c>
      <c r="M458" s="201">
        <v>389.0</v>
      </c>
      <c r="N458" s="193" t="s">
        <v>995</v>
      </c>
      <c r="O458" s="185"/>
      <c r="P458" s="190">
        <v>6.156487883E9</v>
      </c>
      <c r="Q458" s="201"/>
      <c r="R458" s="193"/>
      <c r="S458" s="268"/>
    </row>
    <row r="459" ht="21.0" customHeight="1">
      <c r="A459" s="190">
        <v>458.0</v>
      </c>
      <c r="B459" s="191">
        <v>46321.0</v>
      </c>
      <c r="C459" s="192">
        <v>0.68125</v>
      </c>
      <c r="D459" s="190">
        <v>4.43142649E8</v>
      </c>
      <c r="E459" s="193" t="s">
        <v>260</v>
      </c>
      <c r="F459" s="194" t="s">
        <v>254</v>
      </c>
      <c r="G459" s="195">
        <v>393000.0</v>
      </c>
      <c r="H459" s="194" t="s">
        <v>255</v>
      </c>
      <c r="I459" s="202"/>
      <c r="J459" s="203"/>
      <c r="K459" s="193" t="s">
        <v>368</v>
      </c>
      <c r="L459" s="193" t="s">
        <v>369</v>
      </c>
      <c r="M459" s="201"/>
      <c r="N459" s="193" t="s">
        <v>891</v>
      </c>
      <c r="O459" s="185"/>
      <c r="P459" s="190">
        <v>4.43142649E8</v>
      </c>
      <c r="Q459" s="201"/>
      <c r="R459" s="193"/>
      <c r="S459" s="268"/>
    </row>
    <row r="460" ht="21.0" customHeight="1">
      <c r="A460" s="190">
        <v>459.0</v>
      </c>
      <c r="B460" s="191">
        <v>46321.0</v>
      </c>
      <c r="C460" s="192">
        <v>0.68125</v>
      </c>
      <c r="D460" s="190">
        <v>4.43142649E8</v>
      </c>
      <c r="E460" s="193" t="s">
        <v>260</v>
      </c>
      <c r="F460" s="194" t="s">
        <v>254</v>
      </c>
      <c r="G460" s="195">
        <v>45000.0</v>
      </c>
      <c r="H460" s="194" t="s">
        <v>255</v>
      </c>
      <c r="I460" s="202"/>
      <c r="J460" s="203"/>
      <c r="K460" s="193" t="s">
        <v>455</v>
      </c>
      <c r="L460" s="193" t="s">
        <v>456</v>
      </c>
      <c r="M460" s="201"/>
      <c r="N460" s="193" t="s">
        <v>996</v>
      </c>
      <c r="O460" s="185"/>
      <c r="P460" s="190">
        <v>4.43142649E8</v>
      </c>
      <c r="Q460" s="201"/>
      <c r="R460" s="193"/>
      <c r="S460" s="268"/>
    </row>
    <row r="461" ht="21.0" customHeight="1">
      <c r="A461" s="190">
        <v>460.0</v>
      </c>
      <c r="B461" s="191">
        <v>46321.0</v>
      </c>
      <c r="C461" s="192">
        <v>0.6819444444444445</v>
      </c>
      <c r="D461" s="190">
        <v>4.43142649E8</v>
      </c>
      <c r="E461" s="193" t="s">
        <v>260</v>
      </c>
      <c r="F461" s="194" t="s">
        <v>254</v>
      </c>
      <c r="G461" s="195">
        <v>40000.0</v>
      </c>
      <c r="H461" s="194" t="s">
        <v>255</v>
      </c>
      <c r="I461" s="202"/>
      <c r="J461" s="203"/>
      <c r="K461" s="193" t="s">
        <v>266</v>
      </c>
      <c r="L461" s="193" t="s">
        <v>267</v>
      </c>
      <c r="M461" s="201"/>
      <c r="N461" s="193" t="s">
        <v>997</v>
      </c>
      <c r="O461" s="185"/>
      <c r="P461" s="190">
        <v>4.43142649E8</v>
      </c>
      <c r="Q461" s="201"/>
      <c r="R461" s="193" t="s">
        <v>126</v>
      </c>
      <c r="S461" s="268" t="s">
        <v>269</v>
      </c>
    </row>
    <row r="462" ht="21.0" customHeight="1">
      <c r="A462" s="190">
        <v>461.0</v>
      </c>
      <c r="B462" s="191">
        <v>46321.0</v>
      </c>
      <c r="C462" s="192">
        <v>0.6979166666666666</v>
      </c>
      <c r="D462" s="190">
        <v>4.43142649E8</v>
      </c>
      <c r="E462" s="193" t="s">
        <v>260</v>
      </c>
      <c r="F462" s="194" t="s">
        <v>254</v>
      </c>
      <c r="G462" s="195">
        <v>800000.0</v>
      </c>
      <c r="H462" s="194" t="s">
        <v>255</v>
      </c>
      <c r="I462" s="202"/>
      <c r="J462" s="203"/>
      <c r="K462" s="193" t="s">
        <v>455</v>
      </c>
      <c r="L462" s="193" t="s">
        <v>456</v>
      </c>
      <c r="M462" s="201"/>
      <c r="N462" s="193" t="s">
        <v>998</v>
      </c>
      <c r="O462" s="185"/>
      <c r="P462" s="190">
        <v>4.43142649E8</v>
      </c>
      <c r="Q462" s="201"/>
      <c r="R462" s="193"/>
      <c r="S462" s="268"/>
    </row>
    <row r="463" ht="21.0" customHeight="1">
      <c r="A463" s="190">
        <v>462.0</v>
      </c>
      <c r="B463" s="191">
        <v>46321.0</v>
      </c>
      <c r="C463" s="192">
        <v>0.7256944444444444</v>
      </c>
      <c r="D463" s="190">
        <v>2.54366051E8</v>
      </c>
      <c r="E463" s="193" t="s">
        <v>8</v>
      </c>
      <c r="F463" s="194" t="s">
        <v>254</v>
      </c>
      <c r="G463" s="195">
        <v>402000.0</v>
      </c>
      <c r="H463" s="194" t="s">
        <v>255</v>
      </c>
      <c r="I463" s="202"/>
      <c r="J463" s="203"/>
      <c r="K463" s="193" t="s">
        <v>296</v>
      </c>
      <c r="L463" s="193" t="s">
        <v>297</v>
      </c>
      <c r="M463" s="201"/>
      <c r="N463" s="193" t="s">
        <v>557</v>
      </c>
      <c r="O463" s="185"/>
      <c r="P463" s="190">
        <v>2.54366051E8</v>
      </c>
      <c r="Q463" s="201"/>
      <c r="R463" s="193" t="s">
        <v>507</v>
      </c>
      <c r="S463" s="268"/>
    </row>
    <row r="464" ht="21.0" customHeight="1">
      <c r="A464" s="190">
        <v>463.0</v>
      </c>
      <c r="B464" s="191">
        <v>46321.0</v>
      </c>
      <c r="C464" s="192">
        <v>0.7263888888888889</v>
      </c>
      <c r="D464" s="190">
        <v>2.54366051E8</v>
      </c>
      <c r="E464" s="193" t="s">
        <v>8</v>
      </c>
      <c r="F464" s="194" t="s">
        <v>254</v>
      </c>
      <c r="G464" s="195">
        <v>252000.0</v>
      </c>
      <c r="H464" s="194" t="s">
        <v>255</v>
      </c>
      <c r="I464" s="202"/>
      <c r="J464" s="203"/>
      <c r="K464" s="193" t="s">
        <v>296</v>
      </c>
      <c r="L464" s="193" t="s">
        <v>297</v>
      </c>
      <c r="M464" s="201"/>
      <c r="N464" s="193" t="s">
        <v>557</v>
      </c>
      <c r="O464" s="185"/>
      <c r="P464" s="190">
        <v>2.54366051E8</v>
      </c>
      <c r="Q464" s="201"/>
      <c r="R464" s="193" t="s">
        <v>473</v>
      </c>
      <c r="S464" s="268"/>
    </row>
    <row r="465" ht="21.0" customHeight="1">
      <c r="A465" s="190">
        <v>464.0</v>
      </c>
      <c r="B465" s="191">
        <v>46321.0</v>
      </c>
      <c r="C465" s="192">
        <v>0.7729166666666667</v>
      </c>
      <c r="D465" s="190">
        <v>4.43142649E8</v>
      </c>
      <c r="E465" s="193" t="s">
        <v>260</v>
      </c>
      <c r="F465" s="194" t="s">
        <v>254</v>
      </c>
      <c r="G465" s="195">
        <v>892000.0</v>
      </c>
      <c r="H465" s="194" t="s">
        <v>255</v>
      </c>
      <c r="I465" s="202"/>
      <c r="J465" s="203"/>
      <c r="K465" s="193" t="s">
        <v>368</v>
      </c>
      <c r="L465" s="193" t="s">
        <v>369</v>
      </c>
      <c r="M465" s="201"/>
      <c r="N465" s="193" t="s">
        <v>999</v>
      </c>
      <c r="O465" s="185"/>
      <c r="P465" s="190">
        <v>4.43142649E8</v>
      </c>
      <c r="Q465" s="201"/>
      <c r="R465" s="193"/>
      <c r="S465" s="268"/>
    </row>
    <row r="466" ht="21.0" customHeight="1">
      <c r="A466" s="190">
        <v>465.0</v>
      </c>
      <c r="B466" s="191">
        <v>46321.0</v>
      </c>
      <c r="C466" s="192">
        <v>0.8</v>
      </c>
      <c r="D466" s="190">
        <v>6.156487883E9</v>
      </c>
      <c r="E466" s="193" t="s">
        <v>200</v>
      </c>
      <c r="F466" s="194" t="s">
        <v>254</v>
      </c>
      <c r="G466" s="195">
        <v>109000.0</v>
      </c>
      <c r="H466" s="194" t="s">
        <v>255</v>
      </c>
      <c r="I466" s="202"/>
      <c r="J466" s="203"/>
      <c r="K466" s="193" t="s">
        <v>266</v>
      </c>
      <c r="L466" s="193" t="s">
        <v>267</v>
      </c>
      <c r="M466" s="201"/>
      <c r="N466" s="193" t="s">
        <v>554</v>
      </c>
      <c r="O466" s="185"/>
      <c r="P466" s="190">
        <v>6.156487883E9</v>
      </c>
      <c r="Q466" s="201"/>
      <c r="R466" s="193" t="s">
        <v>129</v>
      </c>
      <c r="S466" s="268" t="s">
        <v>269</v>
      </c>
    </row>
    <row r="467" ht="21.0" customHeight="1">
      <c r="A467" s="190">
        <v>466.0</v>
      </c>
      <c r="B467" s="191">
        <v>46321.0</v>
      </c>
      <c r="C467" s="192">
        <v>0.8034722222222223</v>
      </c>
      <c r="D467" s="190">
        <v>2.54366051E8</v>
      </c>
      <c r="E467" s="193" t="s">
        <v>8</v>
      </c>
      <c r="F467" s="194" t="s">
        <v>270</v>
      </c>
      <c r="G467" s="195">
        <v>1200000.0</v>
      </c>
      <c r="H467" s="194" t="s">
        <v>255</v>
      </c>
      <c r="I467" s="202"/>
      <c r="J467" s="203"/>
      <c r="K467" s="193" t="s">
        <v>271</v>
      </c>
      <c r="L467" s="193" t="s">
        <v>272</v>
      </c>
      <c r="M467" s="201"/>
      <c r="N467" s="193" t="s">
        <v>1000</v>
      </c>
      <c r="O467" s="185"/>
      <c r="P467" s="190">
        <v>4.43142649E8</v>
      </c>
      <c r="Q467" s="201"/>
      <c r="R467" s="193"/>
      <c r="S467" s="268"/>
    </row>
    <row r="468" ht="21.0" customHeight="1">
      <c r="A468" s="190">
        <v>467.0</v>
      </c>
      <c r="B468" s="191">
        <v>46321.0</v>
      </c>
      <c r="C468" s="192">
        <v>0.8041666666666667</v>
      </c>
      <c r="D468" s="190">
        <v>6.156487883E9</v>
      </c>
      <c r="E468" s="193" t="s">
        <v>200</v>
      </c>
      <c r="F468" s="194" t="s">
        <v>270</v>
      </c>
      <c r="G468" s="195">
        <v>1200000.0</v>
      </c>
      <c r="H468" s="194" t="s">
        <v>255</v>
      </c>
      <c r="I468" s="202"/>
      <c r="J468" s="203"/>
      <c r="K468" s="193" t="s">
        <v>271</v>
      </c>
      <c r="L468" s="193" t="s">
        <v>272</v>
      </c>
      <c r="M468" s="201"/>
      <c r="N468" s="193" t="s">
        <v>1001</v>
      </c>
      <c r="O468" s="185"/>
      <c r="P468" s="190">
        <v>4.43142649E8</v>
      </c>
      <c r="Q468" s="201"/>
      <c r="R468" s="193"/>
      <c r="S468" s="268"/>
    </row>
    <row r="469" ht="21.0" customHeight="1">
      <c r="A469" s="190">
        <v>468.0</v>
      </c>
      <c r="B469" s="191">
        <v>46321.0</v>
      </c>
      <c r="C469" s="192">
        <v>0.8048611111111111</v>
      </c>
      <c r="D469" s="190">
        <v>4.43142649E8</v>
      </c>
      <c r="E469" s="193" t="s">
        <v>260</v>
      </c>
      <c r="F469" s="194" t="s">
        <v>254</v>
      </c>
      <c r="G469" s="195">
        <v>55000.0</v>
      </c>
      <c r="H469" s="194" t="s">
        <v>255</v>
      </c>
      <c r="I469" s="202"/>
      <c r="J469" s="203"/>
      <c r="K469" s="193" t="s">
        <v>368</v>
      </c>
      <c r="L469" s="193" t="s">
        <v>369</v>
      </c>
      <c r="M469" s="201"/>
      <c r="N469" s="193" t="s">
        <v>1002</v>
      </c>
      <c r="O469" s="185"/>
      <c r="P469" s="190">
        <v>4.43142649E8</v>
      </c>
      <c r="Q469" s="201"/>
      <c r="R469" s="193"/>
      <c r="S469" s="268"/>
    </row>
    <row r="470" ht="21.0" customHeight="1">
      <c r="A470" s="190">
        <v>469.0</v>
      </c>
      <c r="B470" s="191">
        <v>46321.0</v>
      </c>
      <c r="C470" s="192">
        <v>0.8604166666666667</v>
      </c>
      <c r="D470" s="190">
        <v>6.156487883E9</v>
      </c>
      <c r="E470" s="193" t="s">
        <v>200</v>
      </c>
      <c r="F470" s="194" t="s">
        <v>254</v>
      </c>
      <c r="G470" s="195">
        <v>280000.0</v>
      </c>
      <c r="H470" s="194" t="s">
        <v>255</v>
      </c>
      <c r="I470" s="202"/>
      <c r="J470" s="203"/>
      <c r="K470" s="193" t="s">
        <v>256</v>
      </c>
      <c r="L470" s="193" t="s">
        <v>257</v>
      </c>
      <c r="M470" s="201">
        <v>389.0</v>
      </c>
      <c r="N470" s="193" t="s">
        <v>1003</v>
      </c>
      <c r="O470" s="185"/>
      <c r="P470" s="190">
        <v>6.156487883E9</v>
      </c>
      <c r="Q470" s="201"/>
      <c r="R470" s="193"/>
      <c r="S470" s="268"/>
    </row>
    <row r="471" ht="21.0" customHeight="1">
      <c r="A471" s="190">
        <v>470.0</v>
      </c>
      <c r="B471" s="191">
        <v>46321.0</v>
      </c>
      <c r="C471" s="192">
        <v>0.8611111111111112</v>
      </c>
      <c r="D471" s="190">
        <v>6.156487883E9</v>
      </c>
      <c r="E471" s="193" t="s">
        <v>200</v>
      </c>
      <c r="F471" s="194" t="s">
        <v>254</v>
      </c>
      <c r="G471" s="195">
        <v>70000.0</v>
      </c>
      <c r="H471" s="194" t="s">
        <v>255</v>
      </c>
      <c r="I471" s="202"/>
      <c r="J471" s="203"/>
      <c r="K471" s="193" t="s">
        <v>368</v>
      </c>
      <c r="L471" s="193" t="s">
        <v>369</v>
      </c>
      <c r="M471" s="201"/>
      <c r="N471" s="193" t="s">
        <v>1004</v>
      </c>
      <c r="O471" s="185"/>
      <c r="P471" s="190">
        <v>6.156487883E9</v>
      </c>
      <c r="Q471" s="201"/>
      <c r="R471" s="193"/>
      <c r="S471" s="268"/>
    </row>
    <row r="472" ht="21.0" customHeight="1">
      <c r="A472" s="190">
        <v>471.0</v>
      </c>
      <c r="B472" s="191">
        <v>46321.0</v>
      </c>
      <c r="C472" s="192">
        <v>0.8625</v>
      </c>
      <c r="D472" s="190">
        <v>6.156487883E9</v>
      </c>
      <c r="E472" s="193" t="s">
        <v>200</v>
      </c>
      <c r="F472" s="194" t="s">
        <v>254</v>
      </c>
      <c r="G472" s="195">
        <v>24000.0</v>
      </c>
      <c r="H472" s="194" t="s">
        <v>255</v>
      </c>
      <c r="I472" s="202"/>
      <c r="J472" s="203"/>
      <c r="K472" s="193" t="s">
        <v>368</v>
      </c>
      <c r="L472" s="193" t="s">
        <v>369</v>
      </c>
      <c r="M472" s="201"/>
      <c r="N472" s="193" t="s">
        <v>1005</v>
      </c>
      <c r="O472" s="185"/>
      <c r="P472" s="190">
        <v>6.156487883E9</v>
      </c>
      <c r="Q472" s="201"/>
      <c r="R472" s="193"/>
      <c r="S472" s="268"/>
    </row>
    <row r="473" ht="21.0" customHeight="1">
      <c r="A473" s="190">
        <v>472.0</v>
      </c>
      <c r="B473" s="191">
        <v>46321.0</v>
      </c>
      <c r="C473" s="192">
        <v>0.8638888888888889</v>
      </c>
      <c r="D473" s="190">
        <v>6.156487883E9</v>
      </c>
      <c r="E473" s="193" t="s">
        <v>200</v>
      </c>
      <c r="F473" s="194" t="s">
        <v>254</v>
      </c>
      <c r="G473" s="195">
        <v>140000.0</v>
      </c>
      <c r="H473" s="194" t="s">
        <v>255</v>
      </c>
      <c r="I473" s="202"/>
      <c r="J473" s="203"/>
      <c r="K473" s="193" t="s">
        <v>296</v>
      </c>
      <c r="L473" s="193" t="s">
        <v>297</v>
      </c>
      <c r="M473" s="201"/>
      <c r="N473" s="193" t="s">
        <v>1006</v>
      </c>
      <c r="O473" s="185"/>
      <c r="P473" s="190">
        <v>6.156487883E9</v>
      </c>
      <c r="Q473" s="201"/>
      <c r="R473" s="193" t="s">
        <v>507</v>
      </c>
      <c r="S473" s="268"/>
    </row>
    <row r="474" ht="21.0" customHeight="1">
      <c r="A474" s="190">
        <v>473.0</v>
      </c>
      <c r="B474" s="191">
        <v>46321.0</v>
      </c>
      <c r="C474" s="192">
        <v>0.8680555555555556</v>
      </c>
      <c r="D474" s="190">
        <v>4.43142649E8</v>
      </c>
      <c r="E474" s="193" t="s">
        <v>260</v>
      </c>
      <c r="F474" s="194" t="s">
        <v>254</v>
      </c>
      <c r="G474" s="195">
        <v>70000.0</v>
      </c>
      <c r="H474" s="194" t="s">
        <v>255</v>
      </c>
      <c r="I474" s="202"/>
      <c r="J474" s="203"/>
      <c r="K474" s="193" t="s">
        <v>664</v>
      </c>
      <c r="L474" s="193" t="s">
        <v>667</v>
      </c>
      <c r="M474" s="201"/>
      <c r="N474" s="193" t="s">
        <v>747</v>
      </c>
      <c r="O474" s="185"/>
      <c r="P474" s="190">
        <v>4.43142649E8</v>
      </c>
      <c r="Q474" s="201"/>
      <c r="R474" s="193"/>
      <c r="S474" s="268"/>
    </row>
    <row r="475" ht="21.0" customHeight="1">
      <c r="A475" s="190">
        <v>474.0</v>
      </c>
      <c r="B475" s="191">
        <v>46321.0</v>
      </c>
      <c r="C475" s="192">
        <v>0.8965277777777778</v>
      </c>
      <c r="D475" s="190">
        <v>2.54366051E8</v>
      </c>
      <c r="E475" s="193" t="s">
        <v>8</v>
      </c>
      <c r="F475" s="194" t="s">
        <v>254</v>
      </c>
      <c r="G475" s="195">
        <v>200000.0</v>
      </c>
      <c r="H475" s="194" t="s">
        <v>255</v>
      </c>
      <c r="I475" s="202"/>
      <c r="J475" s="203"/>
      <c r="K475" s="193" t="s">
        <v>266</v>
      </c>
      <c r="L475" s="193" t="s">
        <v>267</v>
      </c>
      <c r="M475" s="201"/>
      <c r="N475" s="193" t="s">
        <v>365</v>
      </c>
      <c r="O475" s="185"/>
      <c r="P475" s="190">
        <v>2.54366051E8</v>
      </c>
      <c r="Q475" s="201"/>
      <c r="R475" s="193" t="s">
        <v>126</v>
      </c>
      <c r="S475" s="268" t="s">
        <v>269</v>
      </c>
    </row>
    <row r="476" ht="21.0" customHeight="1">
      <c r="A476" s="190">
        <v>475.0</v>
      </c>
      <c r="B476" s="191">
        <v>46321.0</v>
      </c>
      <c r="C476" s="192">
        <v>0.8986111111111111</v>
      </c>
      <c r="D476" s="190">
        <v>6.156487883E9</v>
      </c>
      <c r="E476" s="193" t="s">
        <v>200</v>
      </c>
      <c r="F476" s="194" t="s">
        <v>254</v>
      </c>
      <c r="G476" s="195">
        <v>20000.0</v>
      </c>
      <c r="H476" s="194" t="s">
        <v>255</v>
      </c>
      <c r="I476" s="202"/>
      <c r="J476" s="203"/>
      <c r="K476" s="193" t="s">
        <v>372</v>
      </c>
      <c r="L476" s="193" t="s">
        <v>373</v>
      </c>
      <c r="M476" s="201">
        <v>389.0</v>
      </c>
      <c r="N476" s="193" t="s">
        <v>845</v>
      </c>
      <c r="O476" s="185"/>
      <c r="P476" s="190">
        <v>6.156487883E9</v>
      </c>
      <c r="Q476" s="201"/>
      <c r="R476" s="193"/>
      <c r="S476" s="268"/>
    </row>
    <row r="477" ht="21.0" customHeight="1">
      <c r="A477" s="190">
        <v>476.0</v>
      </c>
      <c r="B477" s="191">
        <v>46322.0</v>
      </c>
      <c r="C477" s="192">
        <v>0.5590277777777778</v>
      </c>
      <c r="D477" s="190">
        <v>6.156487883E9</v>
      </c>
      <c r="E477" s="193" t="s">
        <v>200</v>
      </c>
      <c r="F477" s="194" t="s">
        <v>254</v>
      </c>
      <c r="G477" s="195">
        <v>80000.0</v>
      </c>
      <c r="H477" s="194" t="s">
        <v>255</v>
      </c>
      <c r="I477" s="202"/>
      <c r="J477" s="203"/>
      <c r="K477" s="193" t="s">
        <v>256</v>
      </c>
      <c r="L477" s="193" t="s">
        <v>257</v>
      </c>
      <c r="M477" s="201"/>
      <c r="N477" s="193" t="s">
        <v>1007</v>
      </c>
      <c r="O477" s="185"/>
      <c r="P477" s="190">
        <v>6.156487883E9</v>
      </c>
      <c r="Q477" s="201"/>
      <c r="R477" s="193"/>
      <c r="S477" s="268"/>
    </row>
    <row r="478" ht="21.0" customHeight="1">
      <c r="A478" s="190">
        <v>477.0</v>
      </c>
      <c r="B478" s="191">
        <v>46322.0</v>
      </c>
      <c r="C478" s="192">
        <v>0.5881944444444445</v>
      </c>
      <c r="D478" s="190">
        <v>4.43142649E8</v>
      </c>
      <c r="E478" s="193" t="s">
        <v>260</v>
      </c>
      <c r="F478" s="194" t="s">
        <v>254</v>
      </c>
      <c r="G478" s="195">
        <v>3570000.0</v>
      </c>
      <c r="H478" s="194" t="s">
        <v>263</v>
      </c>
      <c r="I478" s="202">
        <v>300.0</v>
      </c>
      <c r="J478" s="203">
        <v>11900.0</v>
      </c>
      <c r="K478" s="193" t="s">
        <v>664</v>
      </c>
      <c r="L478" s="193" t="s">
        <v>667</v>
      </c>
      <c r="M478" s="201"/>
      <c r="N478" s="193" t="s">
        <v>672</v>
      </c>
      <c r="O478" s="185"/>
      <c r="P478" s="190">
        <v>4.43142649E8</v>
      </c>
      <c r="Q478" s="201"/>
      <c r="R478" s="193"/>
      <c r="S478" s="268"/>
    </row>
    <row r="479" ht="21.0" customHeight="1">
      <c r="A479" s="190">
        <v>478.0</v>
      </c>
      <c r="B479" s="191">
        <v>46322.0</v>
      </c>
      <c r="C479" s="192">
        <v>0.5881944444444445</v>
      </c>
      <c r="D479" s="190">
        <v>4.43142649E8</v>
      </c>
      <c r="E479" s="193" t="s">
        <v>260</v>
      </c>
      <c r="F479" s="194" t="s">
        <v>254</v>
      </c>
      <c r="G479" s="195">
        <v>1400000.0</v>
      </c>
      <c r="H479" s="194" t="s">
        <v>255</v>
      </c>
      <c r="I479" s="202"/>
      <c r="J479" s="203"/>
      <c r="K479" s="193" t="s">
        <v>719</v>
      </c>
      <c r="L479" s="193" t="s">
        <v>720</v>
      </c>
      <c r="M479" s="201"/>
      <c r="N479" s="193" t="s">
        <v>876</v>
      </c>
      <c r="O479" s="185"/>
      <c r="P479" s="190">
        <v>4.43142649E8</v>
      </c>
      <c r="Q479" s="201"/>
      <c r="R479" s="193"/>
      <c r="S479" s="268"/>
    </row>
    <row r="480" ht="21.0" customHeight="1">
      <c r="A480" s="190">
        <v>479.0</v>
      </c>
      <c r="B480" s="191">
        <v>46322.0</v>
      </c>
      <c r="C480" s="192">
        <v>0.5951388888888889</v>
      </c>
      <c r="D480" s="190">
        <v>6.156487883E9</v>
      </c>
      <c r="E480" s="193" t="s">
        <v>200</v>
      </c>
      <c r="F480" s="194" t="s">
        <v>254</v>
      </c>
      <c r="G480" s="195">
        <v>60000.0</v>
      </c>
      <c r="H480" s="194" t="s">
        <v>255</v>
      </c>
      <c r="I480" s="202"/>
      <c r="J480" s="203"/>
      <c r="K480" s="193" t="s">
        <v>560</v>
      </c>
      <c r="L480" s="193" t="s">
        <v>561</v>
      </c>
      <c r="M480" s="201"/>
      <c r="N480" s="193" t="s">
        <v>1008</v>
      </c>
      <c r="O480" s="185"/>
      <c r="P480" s="190">
        <v>6.156487883E9</v>
      </c>
      <c r="Q480" s="201"/>
      <c r="R480" s="193"/>
      <c r="S480" s="268"/>
    </row>
    <row r="481" ht="21.0" customHeight="1">
      <c r="A481" s="190">
        <v>480.0</v>
      </c>
      <c r="B481" s="191">
        <v>46322.0</v>
      </c>
      <c r="C481" s="192">
        <v>0.6041666666666666</v>
      </c>
      <c r="D481" s="190">
        <v>6.156487883E9</v>
      </c>
      <c r="E481" s="193" t="s">
        <v>200</v>
      </c>
      <c r="F481" s="194" t="s">
        <v>254</v>
      </c>
      <c r="G481" s="195">
        <v>40000.0</v>
      </c>
      <c r="H481" s="194" t="s">
        <v>255</v>
      </c>
      <c r="I481" s="202"/>
      <c r="J481" s="203"/>
      <c r="K481" s="193" t="s">
        <v>256</v>
      </c>
      <c r="L481" s="193" t="s">
        <v>257</v>
      </c>
      <c r="M481" s="201">
        <v>397.0</v>
      </c>
      <c r="N481" s="193" t="s">
        <v>1009</v>
      </c>
      <c r="O481" s="185"/>
      <c r="P481" s="190">
        <v>6.156487883E9</v>
      </c>
      <c r="Q481" s="201"/>
      <c r="R481" s="193"/>
      <c r="S481" s="268"/>
    </row>
    <row r="482" ht="21.0" customHeight="1">
      <c r="A482" s="190">
        <v>481.0</v>
      </c>
      <c r="B482" s="191">
        <v>46322.0</v>
      </c>
      <c r="C482" s="192">
        <v>0.6145833333333334</v>
      </c>
      <c r="D482" s="190">
        <v>2.54366051E8</v>
      </c>
      <c r="E482" s="193" t="s">
        <v>8</v>
      </c>
      <c r="F482" s="194" t="s">
        <v>254</v>
      </c>
      <c r="G482" s="195">
        <v>35000.0</v>
      </c>
      <c r="H482" s="194" t="s">
        <v>255</v>
      </c>
      <c r="I482" s="202"/>
      <c r="J482" s="203"/>
      <c r="K482" s="193" t="s">
        <v>256</v>
      </c>
      <c r="L482" s="193" t="s">
        <v>257</v>
      </c>
      <c r="M482" s="201"/>
      <c r="N482" s="193" t="s">
        <v>285</v>
      </c>
      <c r="O482" s="185"/>
      <c r="P482" s="190">
        <v>2.54366051E8</v>
      </c>
      <c r="Q482" s="201"/>
      <c r="R482" s="193"/>
      <c r="S482" s="268"/>
    </row>
    <row r="483" ht="21.0" customHeight="1">
      <c r="A483" s="190">
        <v>482.0</v>
      </c>
      <c r="B483" s="191">
        <v>46322.0</v>
      </c>
      <c r="C483" s="192">
        <v>0.6493055555555556</v>
      </c>
      <c r="D483" s="190">
        <v>2.54366051E8</v>
      </c>
      <c r="E483" s="193" t="s">
        <v>8</v>
      </c>
      <c r="F483" s="194" t="s">
        <v>254</v>
      </c>
      <c r="G483" s="195">
        <v>516000.0</v>
      </c>
      <c r="H483" s="194" t="s">
        <v>255</v>
      </c>
      <c r="I483" s="202"/>
      <c r="J483" s="203"/>
      <c r="K483" s="193" t="s">
        <v>290</v>
      </c>
      <c r="L483" s="193" t="s">
        <v>291</v>
      </c>
      <c r="M483" s="201">
        <v>389.0</v>
      </c>
      <c r="N483" s="193" t="s">
        <v>1010</v>
      </c>
      <c r="O483" s="185"/>
      <c r="P483" s="190">
        <v>2.54366051E8</v>
      </c>
      <c r="Q483" s="201"/>
      <c r="R483" s="193"/>
      <c r="S483" s="268"/>
    </row>
    <row r="484" ht="21.0" customHeight="1">
      <c r="A484" s="218"/>
      <c r="B484" s="219"/>
      <c r="C484" s="216"/>
      <c r="D484" s="111"/>
      <c r="E484" s="111"/>
      <c r="F484" s="218"/>
      <c r="G484" s="217"/>
      <c r="H484" s="218"/>
      <c r="I484" s="223"/>
      <c r="J484" s="269"/>
      <c r="K484" s="111"/>
      <c r="L484" s="111"/>
      <c r="M484" s="216"/>
      <c r="N484" s="270"/>
      <c r="O484" s="111"/>
      <c r="P484" s="111"/>
      <c r="Q484" s="218"/>
      <c r="R484" s="111"/>
    </row>
    <row r="485" ht="21.0" customHeight="1">
      <c r="A485" s="218"/>
      <c r="B485" s="219"/>
      <c r="C485" s="216"/>
      <c r="D485" s="111"/>
      <c r="E485" s="111"/>
      <c r="F485" s="218"/>
      <c r="G485" s="217"/>
      <c r="H485" s="218"/>
      <c r="I485" s="223"/>
      <c r="J485" s="269"/>
      <c r="K485" s="111"/>
      <c r="L485" s="111"/>
      <c r="M485" s="216"/>
      <c r="N485" s="270"/>
      <c r="O485" s="111"/>
      <c r="P485" s="111"/>
      <c r="Q485" s="218"/>
      <c r="R485" s="111"/>
    </row>
    <row r="486" ht="21.0" customHeight="1">
      <c r="A486" s="218"/>
      <c r="B486" s="219"/>
      <c r="C486" s="216"/>
      <c r="D486" s="111"/>
      <c r="E486" s="111"/>
      <c r="F486" s="218"/>
      <c r="G486" s="217"/>
      <c r="H486" s="218"/>
      <c r="I486" s="223"/>
      <c r="J486" s="269"/>
      <c r="K486" s="111"/>
      <c r="L486" s="111"/>
      <c r="M486" s="216"/>
      <c r="N486" s="270"/>
      <c r="O486" s="111"/>
      <c r="P486" s="111"/>
      <c r="Q486" s="218"/>
      <c r="R486" s="111"/>
    </row>
    <row r="487" ht="21.0" customHeight="1">
      <c r="A487" s="218"/>
      <c r="B487" s="219"/>
      <c r="C487" s="216"/>
      <c r="D487" s="111"/>
      <c r="E487" s="111"/>
      <c r="F487" s="218"/>
      <c r="G487" s="217"/>
      <c r="H487" s="218"/>
      <c r="I487" s="223"/>
      <c r="J487" s="269"/>
      <c r="K487" s="111"/>
      <c r="L487" s="111"/>
      <c r="M487" s="216"/>
      <c r="N487" s="270"/>
      <c r="O487" s="111"/>
      <c r="P487" s="111"/>
      <c r="Q487" s="218"/>
      <c r="R487" s="111"/>
    </row>
    <row r="488" ht="21.0" customHeight="1">
      <c r="A488" s="218"/>
      <c r="B488" s="219"/>
      <c r="C488" s="216"/>
      <c r="D488" s="111"/>
      <c r="E488" s="111"/>
      <c r="F488" s="218"/>
      <c r="G488" s="217"/>
      <c r="H488" s="218"/>
      <c r="I488" s="223"/>
      <c r="J488" s="269"/>
      <c r="K488" s="111"/>
      <c r="L488" s="111"/>
      <c r="M488" s="216"/>
      <c r="N488" s="270"/>
      <c r="O488" s="111"/>
      <c r="P488" s="111"/>
      <c r="Q488" s="218"/>
      <c r="R488" s="111"/>
    </row>
    <row r="489" ht="21.0" customHeight="1">
      <c r="A489" s="218"/>
      <c r="B489" s="219"/>
      <c r="C489" s="216"/>
      <c r="D489" s="111"/>
      <c r="E489" s="111"/>
      <c r="F489" s="218"/>
      <c r="G489" s="217"/>
      <c r="H489" s="218"/>
      <c r="I489" s="223"/>
      <c r="J489" s="269"/>
      <c r="K489" s="111"/>
      <c r="L489" s="111"/>
      <c r="M489" s="216"/>
      <c r="N489" s="270"/>
      <c r="O489" s="111"/>
      <c r="P489" s="111"/>
      <c r="Q489" s="218"/>
      <c r="R489" s="111"/>
    </row>
    <row r="490" ht="21.0" customHeight="1">
      <c r="A490" s="218"/>
      <c r="B490" s="219"/>
      <c r="C490" s="216"/>
      <c r="D490" s="111"/>
      <c r="E490" s="111"/>
      <c r="F490" s="218"/>
      <c r="G490" s="217"/>
      <c r="H490" s="218"/>
      <c r="I490" s="223"/>
      <c r="J490" s="269"/>
      <c r="K490" s="111"/>
      <c r="L490" s="111"/>
      <c r="M490" s="216"/>
      <c r="N490" s="270"/>
      <c r="O490" s="111"/>
      <c r="P490" s="111"/>
      <c r="Q490" s="218"/>
      <c r="R490" s="111"/>
    </row>
    <row r="491" ht="21.0" customHeight="1">
      <c r="A491" s="218"/>
      <c r="B491" s="219"/>
      <c r="C491" s="216"/>
      <c r="D491" s="111"/>
      <c r="E491" s="111"/>
      <c r="F491" s="218"/>
      <c r="G491" s="217"/>
      <c r="H491" s="218"/>
      <c r="I491" s="223"/>
      <c r="J491" s="269"/>
      <c r="K491" s="111"/>
      <c r="L491" s="111"/>
      <c r="M491" s="216"/>
      <c r="N491" s="270"/>
      <c r="O491" s="111"/>
      <c r="P491" s="111"/>
      <c r="Q491" s="218"/>
      <c r="R491" s="111"/>
    </row>
    <row r="492" ht="21.0" customHeight="1">
      <c r="A492" s="218"/>
      <c r="B492" s="219"/>
      <c r="C492" s="216"/>
      <c r="D492" s="111"/>
      <c r="E492" s="111"/>
      <c r="F492" s="218"/>
      <c r="G492" s="217"/>
      <c r="H492" s="218"/>
      <c r="I492" s="223"/>
      <c r="J492" s="269"/>
      <c r="K492" s="111"/>
      <c r="L492" s="111"/>
      <c r="M492" s="216"/>
      <c r="N492" s="270"/>
      <c r="O492" s="111"/>
      <c r="P492" s="111"/>
      <c r="Q492" s="218"/>
      <c r="R492" s="111"/>
    </row>
    <row r="493" ht="21.0" customHeight="1">
      <c r="A493" s="218"/>
      <c r="B493" s="219"/>
      <c r="C493" s="216"/>
      <c r="D493" s="111"/>
      <c r="E493" s="111"/>
      <c r="F493" s="218"/>
      <c r="G493" s="217"/>
      <c r="H493" s="218"/>
      <c r="I493" s="223"/>
      <c r="J493" s="269"/>
      <c r="K493" s="111"/>
      <c r="L493" s="111"/>
      <c r="M493" s="216"/>
      <c r="N493" s="270"/>
      <c r="O493" s="111"/>
      <c r="P493" s="111"/>
      <c r="Q493" s="218"/>
      <c r="R493" s="111"/>
    </row>
    <row r="494" ht="21.0" customHeight="1">
      <c r="A494" s="218"/>
      <c r="B494" s="219"/>
      <c r="C494" s="216"/>
      <c r="D494" s="111"/>
      <c r="E494" s="111"/>
      <c r="F494" s="218"/>
      <c r="G494" s="217"/>
      <c r="H494" s="218"/>
      <c r="I494" s="223"/>
      <c r="J494" s="269"/>
      <c r="K494" s="111"/>
      <c r="L494" s="111"/>
      <c r="M494" s="216"/>
      <c r="N494" s="270"/>
      <c r="O494" s="111"/>
      <c r="P494" s="111"/>
      <c r="Q494" s="218"/>
      <c r="R494" s="111"/>
    </row>
    <row r="495" ht="21.0" customHeight="1">
      <c r="A495" s="218"/>
      <c r="B495" s="219"/>
      <c r="C495" s="216"/>
      <c r="D495" s="111"/>
      <c r="E495" s="111"/>
      <c r="F495" s="218"/>
      <c r="G495" s="217"/>
      <c r="H495" s="218"/>
      <c r="I495" s="223"/>
      <c r="J495" s="269"/>
      <c r="K495" s="111"/>
      <c r="L495" s="111"/>
      <c r="M495" s="216"/>
      <c r="N495" s="270"/>
      <c r="O495" s="111"/>
      <c r="P495" s="111"/>
      <c r="Q495" s="218"/>
      <c r="R495" s="111"/>
    </row>
    <row r="496" ht="21.0" customHeight="1">
      <c r="A496" s="218"/>
      <c r="B496" s="219"/>
      <c r="C496" s="216"/>
      <c r="D496" s="111"/>
      <c r="E496" s="111"/>
      <c r="F496" s="218"/>
      <c r="G496" s="217"/>
      <c r="H496" s="218"/>
      <c r="I496" s="223"/>
      <c r="J496" s="269"/>
      <c r="K496" s="111"/>
      <c r="L496" s="111"/>
      <c r="M496" s="216"/>
      <c r="N496" s="270"/>
      <c r="O496" s="111"/>
      <c r="P496" s="111"/>
      <c r="Q496" s="218"/>
      <c r="R496" s="111"/>
    </row>
    <row r="497" ht="21.0" customHeight="1">
      <c r="A497" s="218"/>
      <c r="B497" s="219"/>
      <c r="C497" s="216"/>
      <c r="D497" s="111"/>
      <c r="E497" s="111"/>
      <c r="F497" s="218"/>
      <c r="G497" s="217"/>
      <c r="H497" s="218"/>
      <c r="I497" s="223"/>
      <c r="J497" s="269"/>
      <c r="K497" s="111"/>
      <c r="L497" s="111"/>
      <c r="M497" s="216"/>
      <c r="N497" s="270"/>
      <c r="O497" s="111"/>
      <c r="P497" s="111"/>
      <c r="Q497" s="218"/>
      <c r="R497" s="111"/>
    </row>
    <row r="498" ht="21.0" customHeight="1">
      <c r="A498" s="218"/>
      <c r="B498" s="219"/>
      <c r="C498" s="216"/>
      <c r="D498" s="111"/>
      <c r="E498" s="111"/>
      <c r="F498" s="218"/>
      <c r="G498" s="217"/>
      <c r="H498" s="218"/>
      <c r="I498" s="223"/>
      <c r="J498" s="269"/>
      <c r="K498" s="111"/>
      <c r="L498" s="111"/>
      <c r="M498" s="216"/>
      <c r="N498" s="270"/>
      <c r="O498" s="111"/>
      <c r="P498" s="111"/>
      <c r="Q498" s="218"/>
      <c r="R498" s="111"/>
    </row>
    <row r="499" ht="21.0" customHeight="1">
      <c r="A499" s="218"/>
      <c r="B499" s="219"/>
      <c r="C499" s="216"/>
      <c r="D499" s="111"/>
      <c r="E499" s="111"/>
      <c r="F499" s="218"/>
      <c r="G499" s="217"/>
      <c r="H499" s="218"/>
      <c r="I499" s="223"/>
      <c r="J499" s="269"/>
      <c r="K499" s="111"/>
      <c r="L499" s="111"/>
      <c r="M499" s="216"/>
      <c r="N499" s="270"/>
      <c r="O499" s="111"/>
      <c r="P499" s="111"/>
      <c r="Q499" s="218"/>
      <c r="R499" s="111"/>
    </row>
    <row r="500" ht="21.0" customHeight="1">
      <c r="A500" s="218"/>
      <c r="B500" s="219"/>
      <c r="C500" s="216"/>
      <c r="D500" s="111"/>
      <c r="E500" s="111"/>
      <c r="F500" s="218"/>
      <c r="G500" s="217"/>
      <c r="H500" s="218"/>
      <c r="I500" s="223"/>
      <c r="J500" s="269"/>
      <c r="K500" s="111"/>
      <c r="L500" s="111"/>
      <c r="M500" s="216"/>
      <c r="N500" s="270"/>
      <c r="O500" s="111"/>
      <c r="P500" s="111"/>
      <c r="Q500" s="218"/>
      <c r="R500" s="111"/>
    </row>
    <row r="501" ht="21.0" customHeight="1">
      <c r="A501" s="218"/>
      <c r="B501" s="219"/>
      <c r="C501" s="216"/>
      <c r="D501" s="111"/>
      <c r="E501" s="111"/>
      <c r="F501" s="218"/>
      <c r="G501" s="217"/>
      <c r="H501" s="218"/>
      <c r="I501" s="223"/>
      <c r="J501" s="269"/>
      <c r="K501" s="111"/>
      <c r="L501" s="111"/>
      <c r="M501" s="216"/>
      <c r="N501" s="270"/>
      <c r="O501" s="111"/>
      <c r="P501" s="111"/>
      <c r="Q501" s="218"/>
      <c r="R501" s="111"/>
    </row>
    <row r="502" ht="21.0" customHeight="1">
      <c r="A502" s="218"/>
      <c r="B502" s="219"/>
      <c r="C502" s="216"/>
      <c r="D502" s="111"/>
      <c r="E502" s="111"/>
      <c r="F502" s="218"/>
      <c r="G502" s="217"/>
      <c r="H502" s="218"/>
      <c r="I502" s="223"/>
      <c r="J502" s="269"/>
      <c r="K502" s="111"/>
      <c r="L502" s="111"/>
      <c r="M502" s="216"/>
      <c r="N502" s="270"/>
      <c r="O502" s="111"/>
      <c r="P502" s="111"/>
      <c r="Q502" s="218"/>
      <c r="R502" s="111"/>
    </row>
    <row r="503" ht="21.0" customHeight="1">
      <c r="A503" s="218"/>
      <c r="B503" s="219"/>
      <c r="C503" s="216"/>
      <c r="D503" s="111"/>
      <c r="E503" s="111"/>
      <c r="F503" s="218"/>
      <c r="G503" s="217"/>
      <c r="H503" s="218"/>
      <c r="I503" s="223"/>
      <c r="J503" s="269"/>
      <c r="K503" s="111"/>
      <c r="L503" s="111"/>
      <c r="M503" s="216"/>
      <c r="N503" s="270"/>
      <c r="O503" s="111"/>
      <c r="P503" s="111"/>
      <c r="Q503" s="218"/>
      <c r="R503" s="111"/>
    </row>
    <row r="504" ht="21.0" customHeight="1">
      <c r="A504" s="218"/>
      <c r="B504" s="219"/>
      <c r="C504" s="216"/>
      <c r="D504" s="111"/>
      <c r="E504" s="111"/>
      <c r="F504" s="218"/>
      <c r="G504" s="217"/>
      <c r="H504" s="218"/>
      <c r="I504" s="223"/>
      <c r="J504" s="269"/>
      <c r="K504" s="111"/>
      <c r="L504" s="111"/>
      <c r="M504" s="216"/>
      <c r="N504" s="270"/>
      <c r="O504" s="111"/>
      <c r="P504" s="111"/>
      <c r="Q504" s="218"/>
      <c r="R504" s="111"/>
    </row>
    <row r="505" ht="21.0" customHeight="1">
      <c r="A505" s="218"/>
      <c r="B505" s="219"/>
      <c r="C505" s="216"/>
      <c r="D505" s="111"/>
      <c r="E505" s="111"/>
      <c r="F505" s="218"/>
      <c r="G505" s="217"/>
      <c r="H505" s="218"/>
      <c r="I505" s="223"/>
      <c r="J505" s="269"/>
      <c r="K505" s="111"/>
      <c r="L505" s="111"/>
      <c r="M505" s="216"/>
      <c r="N505" s="270"/>
      <c r="O505" s="111"/>
      <c r="P505" s="111"/>
      <c r="Q505" s="218"/>
      <c r="R505" s="111"/>
    </row>
    <row r="506" ht="21.0" customHeight="1">
      <c r="A506" s="218"/>
      <c r="B506" s="219"/>
      <c r="C506" s="216"/>
      <c r="D506" s="111"/>
      <c r="E506" s="111"/>
      <c r="F506" s="218"/>
      <c r="G506" s="217"/>
      <c r="H506" s="218"/>
      <c r="I506" s="223"/>
      <c r="J506" s="269"/>
      <c r="K506" s="111"/>
      <c r="L506" s="111"/>
      <c r="M506" s="216"/>
      <c r="N506" s="270"/>
      <c r="O506" s="111"/>
      <c r="P506" s="111"/>
      <c r="Q506" s="218"/>
      <c r="R506" s="111"/>
    </row>
    <row r="507" ht="21.0" customHeight="1">
      <c r="A507" s="218"/>
      <c r="B507" s="219"/>
      <c r="C507" s="216"/>
      <c r="D507" s="111"/>
      <c r="E507" s="111"/>
      <c r="F507" s="218"/>
      <c r="G507" s="217"/>
      <c r="H507" s="218"/>
      <c r="I507" s="223"/>
      <c r="J507" s="269"/>
      <c r="K507" s="111"/>
      <c r="L507" s="111"/>
      <c r="M507" s="216"/>
      <c r="N507" s="270"/>
      <c r="O507" s="111"/>
      <c r="P507" s="111"/>
      <c r="Q507" s="218"/>
      <c r="R507" s="111"/>
    </row>
    <row r="508" ht="21.0" customHeight="1">
      <c r="A508" s="218"/>
      <c r="B508" s="219"/>
      <c r="C508" s="216"/>
      <c r="D508" s="111"/>
      <c r="E508" s="111"/>
      <c r="F508" s="218"/>
      <c r="G508" s="217"/>
      <c r="H508" s="218"/>
      <c r="I508" s="223"/>
      <c r="J508" s="269"/>
      <c r="K508" s="111"/>
      <c r="L508" s="111"/>
      <c r="M508" s="216"/>
      <c r="N508" s="270"/>
      <c r="O508" s="111"/>
      <c r="P508" s="111"/>
      <c r="Q508" s="218"/>
      <c r="R508" s="111"/>
    </row>
    <row r="509" ht="21.0" customHeight="1">
      <c r="A509" s="218"/>
      <c r="B509" s="219"/>
      <c r="C509" s="216"/>
      <c r="D509" s="111"/>
      <c r="E509" s="111"/>
      <c r="F509" s="218"/>
      <c r="G509" s="217"/>
      <c r="H509" s="218"/>
      <c r="I509" s="223"/>
      <c r="J509" s="269"/>
      <c r="K509" s="111"/>
      <c r="L509" s="111"/>
      <c r="M509" s="216"/>
      <c r="N509" s="270"/>
      <c r="O509" s="111"/>
      <c r="P509" s="111"/>
      <c r="Q509" s="218"/>
      <c r="R509" s="111"/>
    </row>
    <row r="510" ht="21.0" customHeight="1">
      <c r="A510" s="218"/>
      <c r="B510" s="219"/>
      <c r="C510" s="216"/>
      <c r="D510" s="111"/>
      <c r="E510" s="111"/>
      <c r="F510" s="218"/>
      <c r="G510" s="217"/>
      <c r="H510" s="218"/>
      <c r="I510" s="223"/>
      <c r="J510" s="269"/>
      <c r="K510" s="111"/>
      <c r="L510" s="111"/>
      <c r="M510" s="216"/>
      <c r="N510" s="270"/>
      <c r="O510" s="111"/>
      <c r="P510" s="111"/>
      <c r="Q510" s="218"/>
      <c r="R510" s="111"/>
    </row>
    <row r="511" ht="21.0" customHeight="1">
      <c r="A511" s="218"/>
      <c r="B511" s="219"/>
      <c r="C511" s="216"/>
      <c r="D511" s="111"/>
      <c r="E511" s="111"/>
      <c r="F511" s="218"/>
      <c r="G511" s="217"/>
      <c r="H511" s="218"/>
      <c r="I511" s="223"/>
      <c r="J511" s="269"/>
      <c r="K511" s="111"/>
      <c r="L511" s="111"/>
      <c r="M511" s="216"/>
      <c r="N511" s="270"/>
      <c r="O511" s="111"/>
      <c r="P511" s="111"/>
      <c r="Q511" s="218"/>
      <c r="R511" s="111"/>
    </row>
    <row r="512" ht="21.0" customHeight="1">
      <c r="A512" s="218"/>
      <c r="B512" s="219"/>
      <c r="C512" s="216"/>
      <c r="D512" s="111"/>
      <c r="E512" s="111"/>
      <c r="F512" s="218"/>
      <c r="G512" s="217"/>
      <c r="H512" s="218"/>
      <c r="I512" s="223"/>
      <c r="J512" s="269"/>
      <c r="K512" s="111"/>
      <c r="L512" s="111"/>
      <c r="M512" s="216"/>
      <c r="N512" s="270"/>
      <c r="O512" s="111"/>
      <c r="P512" s="111"/>
      <c r="Q512" s="218"/>
      <c r="R512" s="111"/>
    </row>
    <row r="513" ht="21.0" customHeight="1">
      <c r="A513" s="218"/>
      <c r="B513" s="219"/>
      <c r="C513" s="216"/>
      <c r="D513" s="111"/>
      <c r="E513" s="111"/>
      <c r="F513" s="218"/>
      <c r="G513" s="217"/>
      <c r="H513" s="218"/>
      <c r="I513" s="223"/>
      <c r="J513" s="269"/>
      <c r="K513" s="111"/>
      <c r="L513" s="111"/>
      <c r="M513" s="216"/>
      <c r="N513" s="270"/>
      <c r="O513" s="111"/>
      <c r="P513" s="111"/>
      <c r="Q513" s="218"/>
      <c r="R513" s="111"/>
    </row>
    <row r="514" ht="21.0" customHeight="1">
      <c r="A514" s="218"/>
      <c r="B514" s="219"/>
      <c r="C514" s="216"/>
      <c r="D514" s="111"/>
      <c r="E514" s="111"/>
      <c r="F514" s="218"/>
      <c r="G514" s="217"/>
      <c r="H514" s="218"/>
      <c r="I514" s="223"/>
      <c r="J514" s="269"/>
      <c r="K514" s="111"/>
      <c r="L514" s="111"/>
      <c r="M514" s="216"/>
      <c r="N514" s="270"/>
      <c r="O514" s="111"/>
      <c r="P514" s="111"/>
      <c r="Q514" s="218"/>
      <c r="R514" s="111"/>
    </row>
    <row r="515" ht="21.0" customHeight="1">
      <c r="A515" s="218"/>
      <c r="B515" s="219"/>
      <c r="C515" s="216"/>
      <c r="D515" s="111"/>
      <c r="E515" s="111"/>
      <c r="F515" s="218"/>
      <c r="G515" s="217"/>
      <c r="H515" s="218"/>
      <c r="I515" s="223"/>
      <c r="J515" s="269"/>
      <c r="K515" s="111"/>
      <c r="L515" s="111"/>
      <c r="M515" s="216"/>
      <c r="N515" s="270"/>
      <c r="O515" s="111"/>
      <c r="P515" s="111"/>
      <c r="Q515" s="218"/>
      <c r="R515" s="111"/>
    </row>
    <row r="516" ht="21.0" customHeight="1">
      <c r="A516" s="218"/>
      <c r="B516" s="219"/>
      <c r="C516" s="216"/>
      <c r="D516" s="111"/>
      <c r="E516" s="111"/>
      <c r="F516" s="218"/>
      <c r="G516" s="217"/>
      <c r="H516" s="218"/>
      <c r="I516" s="223"/>
      <c r="J516" s="269"/>
      <c r="K516" s="111"/>
      <c r="L516" s="111"/>
      <c r="M516" s="216"/>
      <c r="N516" s="270"/>
      <c r="O516" s="111"/>
      <c r="P516" s="111"/>
      <c r="Q516" s="218"/>
      <c r="R516" s="111"/>
    </row>
    <row r="517" ht="21.0" customHeight="1">
      <c r="A517" s="218"/>
      <c r="B517" s="219"/>
      <c r="C517" s="216"/>
      <c r="D517" s="111"/>
      <c r="E517" s="111"/>
      <c r="F517" s="218"/>
      <c r="G517" s="217"/>
      <c r="H517" s="218"/>
      <c r="I517" s="223"/>
      <c r="J517" s="269"/>
      <c r="K517" s="111"/>
      <c r="L517" s="111"/>
      <c r="M517" s="216"/>
      <c r="N517" s="270"/>
      <c r="O517" s="111"/>
      <c r="P517" s="111"/>
      <c r="Q517" s="218"/>
      <c r="R517" s="111"/>
    </row>
    <row r="518" ht="21.0" customHeight="1">
      <c r="A518" s="218"/>
      <c r="B518" s="219"/>
      <c r="C518" s="216"/>
      <c r="D518" s="111"/>
      <c r="E518" s="111"/>
      <c r="F518" s="218"/>
      <c r="G518" s="217"/>
      <c r="H518" s="218"/>
      <c r="I518" s="223"/>
      <c r="J518" s="269"/>
      <c r="K518" s="111"/>
      <c r="L518" s="111"/>
      <c r="M518" s="216"/>
      <c r="N518" s="270"/>
      <c r="O518" s="111"/>
      <c r="P518" s="111"/>
      <c r="Q518" s="218"/>
      <c r="R518" s="111"/>
    </row>
    <row r="519" ht="21.0" customHeight="1">
      <c r="A519" s="218"/>
      <c r="B519" s="219"/>
      <c r="C519" s="216"/>
      <c r="D519" s="111"/>
      <c r="E519" s="111"/>
      <c r="F519" s="218"/>
      <c r="G519" s="217"/>
      <c r="H519" s="218"/>
      <c r="I519" s="223"/>
      <c r="J519" s="269"/>
      <c r="K519" s="111"/>
      <c r="L519" s="111"/>
      <c r="M519" s="216"/>
      <c r="N519" s="270"/>
      <c r="O519" s="111"/>
      <c r="P519" s="111"/>
      <c r="Q519" s="218"/>
      <c r="R519" s="111"/>
    </row>
    <row r="520" ht="21.0" customHeight="1">
      <c r="A520" s="218"/>
      <c r="B520" s="219"/>
      <c r="C520" s="216"/>
      <c r="D520" s="111"/>
      <c r="E520" s="111"/>
      <c r="F520" s="218"/>
      <c r="G520" s="217"/>
      <c r="H520" s="218"/>
      <c r="I520" s="223"/>
      <c r="J520" s="269"/>
      <c r="K520" s="111"/>
      <c r="L520" s="111"/>
      <c r="M520" s="216"/>
      <c r="N520" s="270"/>
      <c r="O520" s="111"/>
      <c r="P520" s="111"/>
      <c r="Q520" s="218"/>
      <c r="R520" s="111"/>
    </row>
    <row r="521" ht="21.0" customHeight="1">
      <c r="A521" s="218"/>
      <c r="B521" s="219"/>
      <c r="C521" s="216"/>
      <c r="D521" s="111"/>
      <c r="E521" s="111"/>
      <c r="F521" s="218"/>
      <c r="G521" s="217"/>
      <c r="H521" s="218"/>
      <c r="I521" s="223"/>
      <c r="J521" s="269"/>
      <c r="K521" s="111"/>
      <c r="L521" s="111"/>
      <c r="M521" s="216"/>
      <c r="N521" s="270"/>
      <c r="O521" s="111"/>
      <c r="P521" s="111"/>
      <c r="Q521" s="218"/>
      <c r="R521" s="111"/>
    </row>
    <row r="522" ht="21.0" customHeight="1">
      <c r="A522" s="218"/>
      <c r="B522" s="219"/>
      <c r="C522" s="216"/>
      <c r="D522" s="111"/>
      <c r="E522" s="111"/>
      <c r="F522" s="218"/>
      <c r="G522" s="217"/>
      <c r="H522" s="218"/>
      <c r="I522" s="223"/>
      <c r="J522" s="269"/>
      <c r="K522" s="111"/>
      <c r="L522" s="111"/>
      <c r="M522" s="216"/>
      <c r="N522" s="270"/>
      <c r="O522" s="111"/>
      <c r="P522" s="111"/>
      <c r="Q522" s="218"/>
      <c r="R522" s="111"/>
    </row>
    <row r="523" ht="21.0" customHeight="1">
      <c r="A523" s="218"/>
      <c r="B523" s="219"/>
      <c r="C523" s="216"/>
      <c r="D523" s="111"/>
      <c r="E523" s="111"/>
      <c r="F523" s="218"/>
      <c r="G523" s="217"/>
      <c r="H523" s="218"/>
      <c r="I523" s="223"/>
      <c r="J523" s="269"/>
      <c r="K523" s="111"/>
      <c r="L523" s="111"/>
      <c r="M523" s="216"/>
      <c r="N523" s="270"/>
      <c r="O523" s="111"/>
      <c r="P523" s="111"/>
      <c r="Q523" s="218"/>
      <c r="R523" s="111"/>
    </row>
    <row r="524" ht="21.0" customHeight="1">
      <c r="A524" s="218"/>
      <c r="B524" s="219"/>
      <c r="C524" s="216"/>
      <c r="D524" s="111"/>
      <c r="E524" s="111"/>
      <c r="F524" s="218"/>
      <c r="G524" s="217"/>
      <c r="H524" s="218"/>
      <c r="I524" s="223"/>
      <c r="J524" s="269"/>
      <c r="K524" s="111"/>
      <c r="L524" s="111"/>
      <c r="M524" s="216"/>
      <c r="N524" s="270"/>
      <c r="O524" s="111"/>
      <c r="P524" s="111"/>
      <c r="Q524" s="218"/>
      <c r="R524" s="111"/>
    </row>
    <row r="525" ht="21.0" customHeight="1">
      <c r="A525" s="218"/>
      <c r="B525" s="219"/>
      <c r="C525" s="216"/>
      <c r="D525" s="111"/>
      <c r="E525" s="111"/>
      <c r="F525" s="218"/>
      <c r="G525" s="217"/>
      <c r="H525" s="218"/>
      <c r="I525" s="223"/>
      <c r="J525" s="269"/>
      <c r="K525" s="111"/>
      <c r="L525" s="111"/>
      <c r="M525" s="216"/>
      <c r="N525" s="270"/>
      <c r="O525" s="111"/>
      <c r="P525" s="111"/>
      <c r="Q525" s="218"/>
      <c r="R525" s="111"/>
    </row>
    <row r="526" ht="21.0" customHeight="1">
      <c r="A526" s="218"/>
      <c r="B526" s="219"/>
      <c r="C526" s="216"/>
      <c r="D526" s="111"/>
      <c r="E526" s="111"/>
      <c r="F526" s="218"/>
      <c r="G526" s="217"/>
      <c r="H526" s="218"/>
      <c r="I526" s="223"/>
      <c r="J526" s="269"/>
      <c r="K526" s="111"/>
      <c r="L526" s="111"/>
      <c r="M526" s="216"/>
      <c r="N526" s="270"/>
      <c r="O526" s="111"/>
      <c r="P526" s="111"/>
      <c r="Q526" s="218"/>
      <c r="R526" s="111"/>
    </row>
    <row r="527" ht="21.0" customHeight="1">
      <c r="A527" s="218"/>
      <c r="B527" s="219"/>
      <c r="C527" s="216"/>
      <c r="D527" s="111"/>
      <c r="E527" s="111"/>
      <c r="F527" s="218"/>
      <c r="G527" s="217"/>
      <c r="H527" s="218"/>
      <c r="I527" s="223"/>
      <c r="J527" s="269"/>
      <c r="K527" s="111"/>
      <c r="L527" s="111"/>
      <c r="M527" s="216"/>
      <c r="N527" s="270"/>
      <c r="O527" s="111"/>
      <c r="P527" s="111"/>
      <c r="Q527" s="218"/>
      <c r="R527" s="111"/>
    </row>
    <row r="528" ht="21.0" customHeight="1">
      <c r="A528" s="218"/>
      <c r="B528" s="219"/>
      <c r="C528" s="216"/>
      <c r="D528" s="111"/>
      <c r="E528" s="111"/>
      <c r="F528" s="218"/>
      <c r="G528" s="217"/>
      <c r="H528" s="218"/>
      <c r="I528" s="223"/>
      <c r="J528" s="269"/>
      <c r="K528" s="111"/>
      <c r="L528" s="111"/>
      <c r="M528" s="216"/>
      <c r="N528" s="270"/>
      <c r="O528" s="111"/>
      <c r="P528" s="111"/>
      <c r="Q528" s="218"/>
      <c r="R528" s="111"/>
    </row>
    <row r="529" ht="21.0" customHeight="1">
      <c r="A529" s="218"/>
      <c r="B529" s="219"/>
      <c r="C529" s="216"/>
      <c r="D529" s="111"/>
      <c r="E529" s="111"/>
      <c r="F529" s="218"/>
      <c r="G529" s="217"/>
      <c r="H529" s="218"/>
      <c r="I529" s="223"/>
      <c r="J529" s="269"/>
      <c r="K529" s="111"/>
      <c r="L529" s="111"/>
      <c r="M529" s="216"/>
      <c r="N529" s="270"/>
      <c r="O529" s="111"/>
      <c r="P529" s="111"/>
      <c r="Q529" s="218"/>
      <c r="R529" s="111"/>
    </row>
    <row r="530" ht="21.0" customHeight="1">
      <c r="A530" s="218"/>
      <c r="B530" s="219"/>
      <c r="C530" s="216"/>
      <c r="D530" s="111"/>
      <c r="E530" s="111"/>
      <c r="F530" s="218"/>
      <c r="G530" s="217"/>
      <c r="H530" s="218"/>
      <c r="I530" s="223"/>
      <c r="J530" s="269"/>
      <c r="K530" s="111"/>
      <c r="L530" s="111"/>
      <c r="M530" s="216"/>
      <c r="N530" s="270"/>
      <c r="O530" s="111"/>
      <c r="P530" s="111"/>
      <c r="Q530" s="218"/>
      <c r="R530" s="111"/>
    </row>
    <row r="531" ht="21.0" customHeight="1">
      <c r="A531" s="218"/>
      <c r="B531" s="219"/>
      <c r="C531" s="216"/>
      <c r="D531" s="111"/>
      <c r="E531" s="111"/>
      <c r="F531" s="218"/>
      <c r="G531" s="217"/>
      <c r="H531" s="218"/>
      <c r="I531" s="223"/>
      <c r="J531" s="269"/>
      <c r="K531" s="111"/>
      <c r="L531" s="111"/>
      <c r="M531" s="216"/>
      <c r="N531" s="270"/>
      <c r="O531" s="111"/>
      <c r="P531" s="111"/>
      <c r="Q531" s="218"/>
      <c r="R531" s="111"/>
    </row>
    <row r="532" ht="21.0" customHeight="1">
      <c r="A532" s="218"/>
      <c r="B532" s="219"/>
      <c r="C532" s="216"/>
      <c r="D532" s="111"/>
      <c r="E532" s="111"/>
      <c r="F532" s="218"/>
      <c r="G532" s="217"/>
      <c r="H532" s="218"/>
      <c r="I532" s="223"/>
      <c r="J532" s="269"/>
      <c r="K532" s="111"/>
      <c r="L532" s="111"/>
      <c r="M532" s="216"/>
      <c r="N532" s="270"/>
      <c r="O532" s="111"/>
      <c r="P532" s="111"/>
      <c r="Q532" s="218"/>
      <c r="R532" s="111"/>
    </row>
    <row r="533" ht="21.0" customHeight="1">
      <c r="A533" s="218"/>
      <c r="B533" s="219"/>
      <c r="C533" s="216"/>
      <c r="D533" s="111"/>
      <c r="E533" s="111"/>
      <c r="F533" s="218"/>
      <c r="G533" s="217"/>
      <c r="H533" s="218"/>
      <c r="I533" s="223"/>
      <c r="J533" s="269"/>
      <c r="K533" s="111"/>
      <c r="L533" s="111"/>
      <c r="M533" s="216"/>
      <c r="N533" s="270"/>
      <c r="O533" s="111"/>
      <c r="P533" s="111"/>
      <c r="Q533" s="218"/>
      <c r="R533" s="111"/>
    </row>
    <row r="534" ht="21.0" customHeight="1">
      <c r="A534" s="218"/>
      <c r="B534" s="219"/>
      <c r="C534" s="216"/>
      <c r="D534" s="111"/>
      <c r="E534" s="111"/>
      <c r="F534" s="218"/>
      <c r="G534" s="217"/>
      <c r="H534" s="218"/>
      <c r="I534" s="223"/>
      <c r="J534" s="269"/>
      <c r="K534" s="111"/>
      <c r="L534" s="111"/>
      <c r="M534" s="216"/>
      <c r="N534" s="270"/>
      <c r="O534" s="111"/>
      <c r="P534" s="111"/>
      <c r="Q534" s="218"/>
      <c r="R534" s="111"/>
    </row>
    <row r="535" ht="21.0" customHeight="1">
      <c r="A535" s="218"/>
      <c r="B535" s="219"/>
      <c r="C535" s="216"/>
      <c r="D535" s="111"/>
      <c r="E535" s="111"/>
      <c r="F535" s="218"/>
      <c r="G535" s="217"/>
      <c r="H535" s="218"/>
      <c r="I535" s="223"/>
      <c r="J535" s="269"/>
      <c r="K535" s="111"/>
      <c r="L535" s="111"/>
      <c r="M535" s="216"/>
      <c r="N535" s="270"/>
      <c r="O535" s="111"/>
      <c r="P535" s="111"/>
      <c r="Q535" s="218"/>
      <c r="R535" s="111"/>
    </row>
    <row r="536" ht="21.0" customHeight="1">
      <c r="A536" s="218"/>
      <c r="B536" s="219"/>
      <c r="C536" s="216"/>
      <c r="D536" s="111"/>
      <c r="E536" s="111"/>
      <c r="F536" s="218"/>
      <c r="G536" s="217"/>
      <c r="H536" s="218"/>
      <c r="I536" s="223"/>
      <c r="J536" s="269"/>
      <c r="K536" s="111"/>
      <c r="L536" s="111"/>
      <c r="M536" s="216"/>
      <c r="N536" s="270"/>
      <c r="O536" s="111"/>
      <c r="P536" s="111"/>
      <c r="Q536" s="218"/>
      <c r="R536" s="111"/>
    </row>
    <row r="537" ht="21.0" customHeight="1">
      <c r="A537" s="218"/>
      <c r="B537" s="219"/>
      <c r="C537" s="216"/>
      <c r="D537" s="111"/>
      <c r="E537" s="111"/>
      <c r="F537" s="218"/>
      <c r="G537" s="217"/>
      <c r="H537" s="218"/>
      <c r="I537" s="223"/>
      <c r="J537" s="269"/>
      <c r="K537" s="111"/>
      <c r="L537" s="111"/>
      <c r="M537" s="216"/>
      <c r="N537" s="270"/>
      <c r="O537" s="111"/>
      <c r="P537" s="111"/>
      <c r="Q537" s="218"/>
      <c r="R537" s="111"/>
    </row>
    <row r="538" ht="21.0" customHeight="1">
      <c r="A538" s="218"/>
      <c r="B538" s="219"/>
      <c r="C538" s="216"/>
      <c r="D538" s="111"/>
      <c r="E538" s="111"/>
      <c r="F538" s="218"/>
      <c r="G538" s="217"/>
      <c r="H538" s="218"/>
      <c r="I538" s="223"/>
      <c r="J538" s="269"/>
      <c r="K538" s="111"/>
      <c r="L538" s="111"/>
      <c r="M538" s="216"/>
      <c r="N538" s="270"/>
      <c r="O538" s="111"/>
      <c r="P538" s="111"/>
      <c r="Q538" s="218"/>
      <c r="R538" s="111"/>
    </row>
    <row r="539" ht="21.0" customHeight="1">
      <c r="A539" s="218"/>
      <c r="B539" s="219"/>
      <c r="C539" s="216"/>
      <c r="D539" s="111"/>
      <c r="E539" s="111"/>
      <c r="F539" s="218"/>
      <c r="G539" s="217"/>
      <c r="H539" s="218"/>
      <c r="I539" s="223"/>
      <c r="J539" s="269"/>
      <c r="K539" s="111"/>
      <c r="L539" s="111"/>
      <c r="M539" s="216"/>
      <c r="N539" s="270"/>
      <c r="O539" s="111"/>
      <c r="P539" s="111"/>
      <c r="Q539" s="218"/>
      <c r="R539" s="111"/>
    </row>
    <row r="540" ht="21.0" customHeight="1">
      <c r="A540" s="218"/>
      <c r="B540" s="219"/>
      <c r="C540" s="216"/>
      <c r="D540" s="111"/>
      <c r="E540" s="111"/>
      <c r="F540" s="218"/>
      <c r="G540" s="217"/>
      <c r="H540" s="218"/>
      <c r="I540" s="223"/>
      <c r="J540" s="269"/>
      <c r="K540" s="111"/>
      <c r="L540" s="111"/>
      <c r="M540" s="216"/>
      <c r="N540" s="270"/>
      <c r="O540" s="111"/>
      <c r="P540" s="111"/>
      <c r="Q540" s="218"/>
      <c r="R540" s="111"/>
    </row>
    <row r="541" ht="21.0" customHeight="1">
      <c r="A541" s="218"/>
      <c r="B541" s="219"/>
      <c r="C541" s="216"/>
      <c r="D541" s="111"/>
      <c r="E541" s="111"/>
      <c r="F541" s="218"/>
      <c r="G541" s="217"/>
      <c r="H541" s="218"/>
      <c r="I541" s="223"/>
      <c r="J541" s="269"/>
      <c r="K541" s="111"/>
      <c r="L541" s="111"/>
      <c r="M541" s="216"/>
      <c r="N541" s="270"/>
      <c r="O541" s="111"/>
      <c r="P541" s="111"/>
      <c r="Q541" s="218"/>
      <c r="R541" s="111"/>
    </row>
    <row r="542" ht="21.0" customHeight="1">
      <c r="A542" s="218"/>
      <c r="B542" s="219"/>
      <c r="C542" s="216"/>
      <c r="D542" s="111"/>
      <c r="E542" s="111"/>
      <c r="F542" s="218"/>
      <c r="G542" s="217"/>
      <c r="H542" s="218"/>
      <c r="I542" s="223"/>
      <c r="J542" s="269"/>
      <c r="K542" s="111"/>
      <c r="L542" s="111"/>
      <c r="M542" s="216"/>
      <c r="N542" s="270"/>
      <c r="O542" s="111"/>
      <c r="P542" s="111"/>
      <c r="Q542" s="218"/>
      <c r="R542" s="111"/>
    </row>
    <row r="543" ht="21.0" customHeight="1">
      <c r="A543" s="218"/>
      <c r="B543" s="219"/>
      <c r="C543" s="216"/>
      <c r="D543" s="111"/>
      <c r="E543" s="111"/>
      <c r="F543" s="218"/>
      <c r="G543" s="217"/>
      <c r="H543" s="218"/>
      <c r="I543" s="223"/>
      <c r="J543" s="269"/>
      <c r="K543" s="111"/>
      <c r="L543" s="111"/>
      <c r="M543" s="216"/>
      <c r="N543" s="270"/>
      <c r="O543" s="111"/>
      <c r="P543" s="111"/>
      <c r="Q543" s="218"/>
      <c r="R543" s="111"/>
    </row>
    <row r="544" ht="21.0" customHeight="1">
      <c r="A544" s="218"/>
      <c r="B544" s="219"/>
      <c r="C544" s="216"/>
      <c r="D544" s="111"/>
      <c r="E544" s="111"/>
      <c r="F544" s="218"/>
      <c r="G544" s="217"/>
      <c r="H544" s="218"/>
      <c r="I544" s="223"/>
      <c r="J544" s="269"/>
      <c r="K544" s="111"/>
      <c r="L544" s="111"/>
      <c r="M544" s="216"/>
      <c r="N544" s="270"/>
      <c r="O544" s="111"/>
      <c r="P544" s="111"/>
      <c r="Q544" s="218"/>
      <c r="R544" s="111"/>
    </row>
    <row r="545" ht="21.0" customHeight="1">
      <c r="A545" s="218"/>
      <c r="B545" s="219"/>
      <c r="C545" s="216"/>
      <c r="D545" s="111"/>
      <c r="E545" s="111"/>
      <c r="F545" s="218"/>
      <c r="G545" s="217"/>
      <c r="H545" s="218"/>
      <c r="I545" s="223"/>
      <c r="J545" s="269"/>
      <c r="K545" s="111"/>
      <c r="L545" s="111"/>
      <c r="M545" s="216"/>
      <c r="N545" s="270"/>
      <c r="O545" s="111"/>
      <c r="P545" s="111"/>
      <c r="Q545" s="218"/>
      <c r="R545" s="111"/>
    </row>
    <row r="546" ht="21.0" customHeight="1">
      <c r="A546" s="218"/>
      <c r="B546" s="219"/>
      <c r="C546" s="216"/>
      <c r="D546" s="111"/>
      <c r="E546" s="111"/>
      <c r="F546" s="218"/>
      <c r="G546" s="217"/>
      <c r="H546" s="218"/>
      <c r="I546" s="223"/>
      <c r="J546" s="269"/>
      <c r="K546" s="111"/>
      <c r="L546" s="111"/>
      <c r="M546" s="216"/>
      <c r="N546" s="270"/>
      <c r="O546" s="111"/>
      <c r="P546" s="111"/>
      <c r="Q546" s="218"/>
      <c r="R546" s="111"/>
    </row>
    <row r="547" ht="21.0" customHeight="1">
      <c r="A547" s="218"/>
      <c r="B547" s="219"/>
      <c r="C547" s="216"/>
      <c r="D547" s="111"/>
      <c r="E547" s="111"/>
      <c r="F547" s="218"/>
      <c r="G547" s="217"/>
      <c r="H547" s="218"/>
      <c r="I547" s="223"/>
      <c r="J547" s="269"/>
      <c r="K547" s="111"/>
      <c r="L547" s="111"/>
      <c r="M547" s="216"/>
      <c r="N547" s="270"/>
      <c r="O547" s="111"/>
      <c r="P547" s="111"/>
      <c r="Q547" s="218"/>
      <c r="R547" s="111"/>
    </row>
    <row r="548" ht="21.0" customHeight="1">
      <c r="A548" s="218"/>
      <c r="B548" s="219"/>
      <c r="C548" s="216"/>
      <c r="D548" s="111"/>
      <c r="E548" s="111"/>
      <c r="F548" s="218"/>
      <c r="G548" s="217"/>
      <c r="H548" s="218"/>
      <c r="I548" s="223"/>
      <c r="J548" s="269"/>
      <c r="K548" s="111"/>
      <c r="L548" s="111"/>
      <c r="M548" s="216"/>
      <c r="N548" s="270"/>
      <c r="O548" s="111"/>
      <c r="P548" s="111"/>
      <c r="Q548" s="218"/>
      <c r="R548" s="111"/>
    </row>
    <row r="549" ht="21.0" customHeight="1">
      <c r="A549" s="218"/>
      <c r="B549" s="219"/>
      <c r="C549" s="216"/>
      <c r="D549" s="111"/>
      <c r="E549" s="111"/>
      <c r="F549" s="218"/>
      <c r="G549" s="217"/>
      <c r="H549" s="218"/>
      <c r="I549" s="223"/>
      <c r="J549" s="269"/>
      <c r="K549" s="111"/>
      <c r="L549" s="111"/>
      <c r="M549" s="216"/>
      <c r="N549" s="270"/>
      <c r="O549" s="111"/>
      <c r="P549" s="111"/>
      <c r="Q549" s="218"/>
      <c r="R549" s="111"/>
    </row>
    <row r="550" ht="21.0" customHeight="1">
      <c r="A550" s="218"/>
      <c r="B550" s="219"/>
      <c r="C550" s="216"/>
      <c r="D550" s="111"/>
      <c r="E550" s="111"/>
      <c r="F550" s="218"/>
      <c r="G550" s="217"/>
      <c r="H550" s="218"/>
      <c r="I550" s="223"/>
      <c r="J550" s="269"/>
      <c r="K550" s="111"/>
      <c r="L550" s="111"/>
      <c r="M550" s="216"/>
      <c r="N550" s="270"/>
      <c r="O550" s="111"/>
      <c r="P550" s="111"/>
      <c r="Q550" s="218"/>
      <c r="R550" s="111"/>
    </row>
    <row r="551" ht="21.0" customHeight="1">
      <c r="A551" s="218"/>
      <c r="B551" s="219"/>
      <c r="C551" s="216"/>
      <c r="D551" s="111"/>
      <c r="E551" s="111"/>
      <c r="F551" s="218"/>
      <c r="G551" s="217"/>
      <c r="H551" s="218"/>
      <c r="I551" s="223"/>
      <c r="J551" s="269"/>
      <c r="K551" s="111"/>
      <c r="L551" s="111"/>
      <c r="M551" s="216"/>
      <c r="N551" s="270"/>
      <c r="O551" s="111"/>
      <c r="P551" s="111"/>
      <c r="Q551" s="218"/>
      <c r="R551" s="111"/>
    </row>
    <row r="552" ht="21.0" customHeight="1">
      <c r="A552" s="218"/>
      <c r="B552" s="219"/>
      <c r="C552" s="216"/>
      <c r="D552" s="111"/>
      <c r="E552" s="111"/>
      <c r="F552" s="218"/>
      <c r="G552" s="217"/>
      <c r="H552" s="218"/>
      <c r="I552" s="223"/>
      <c r="J552" s="269"/>
      <c r="K552" s="111"/>
      <c r="L552" s="111"/>
      <c r="M552" s="216"/>
      <c r="N552" s="270"/>
      <c r="O552" s="111"/>
      <c r="P552" s="111"/>
      <c r="Q552" s="218"/>
      <c r="R552" s="111"/>
    </row>
    <row r="553" ht="21.0" customHeight="1">
      <c r="A553" s="218"/>
      <c r="B553" s="219"/>
      <c r="C553" s="216"/>
      <c r="D553" s="111"/>
      <c r="E553" s="111"/>
      <c r="F553" s="218"/>
      <c r="G553" s="217"/>
      <c r="H553" s="218"/>
      <c r="I553" s="223"/>
      <c r="J553" s="269"/>
      <c r="K553" s="111"/>
      <c r="L553" s="111"/>
      <c r="M553" s="216"/>
      <c r="N553" s="270"/>
      <c r="O553" s="111"/>
      <c r="P553" s="111"/>
      <c r="Q553" s="218"/>
      <c r="R553" s="111"/>
    </row>
    <row r="554" ht="21.0" customHeight="1">
      <c r="A554" s="218"/>
      <c r="B554" s="219"/>
      <c r="C554" s="216"/>
      <c r="D554" s="111"/>
      <c r="E554" s="111"/>
      <c r="F554" s="218"/>
      <c r="G554" s="217"/>
      <c r="H554" s="218"/>
      <c r="I554" s="223"/>
      <c r="J554" s="269"/>
      <c r="K554" s="111"/>
      <c r="L554" s="111"/>
      <c r="M554" s="216"/>
      <c r="N554" s="270"/>
      <c r="O554" s="111"/>
      <c r="P554" s="111"/>
      <c r="Q554" s="218"/>
      <c r="R554" s="111"/>
    </row>
    <row r="555" ht="21.0" customHeight="1">
      <c r="A555" s="218"/>
      <c r="B555" s="219"/>
      <c r="C555" s="216"/>
      <c r="D555" s="111"/>
      <c r="E555" s="111"/>
      <c r="F555" s="218"/>
      <c r="G555" s="217"/>
      <c r="H555" s="218"/>
      <c r="I555" s="223"/>
      <c r="J555" s="269"/>
      <c r="K555" s="111"/>
      <c r="L555" s="111"/>
      <c r="M555" s="216"/>
      <c r="N555" s="270"/>
      <c r="O555" s="111"/>
      <c r="P555" s="111"/>
      <c r="Q555" s="218"/>
      <c r="R555" s="111"/>
    </row>
    <row r="556" ht="21.0" customHeight="1">
      <c r="A556" s="218"/>
      <c r="B556" s="219"/>
      <c r="C556" s="216"/>
      <c r="D556" s="111"/>
      <c r="E556" s="111"/>
      <c r="F556" s="218"/>
      <c r="G556" s="217"/>
      <c r="H556" s="218"/>
      <c r="I556" s="223"/>
      <c r="J556" s="269"/>
      <c r="K556" s="111"/>
      <c r="L556" s="111"/>
      <c r="M556" s="216"/>
      <c r="N556" s="270"/>
      <c r="O556" s="111"/>
      <c r="P556" s="111"/>
      <c r="Q556" s="218"/>
      <c r="R556" s="111"/>
    </row>
    <row r="557" ht="21.0" customHeight="1">
      <c r="A557" s="218"/>
      <c r="B557" s="219"/>
      <c r="C557" s="216"/>
      <c r="D557" s="111"/>
      <c r="E557" s="111"/>
      <c r="F557" s="218"/>
      <c r="G557" s="217"/>
      <c r="H557" s="218"/>
      <c r="I557" s="223"/>
      <c r="J557" s="269"/>
      <c r="K557" s="111"/>
      <c r="L557" s="111"/>
      <c r="M557" s="216"/>
      <c r="N557" s="270"/>
      <c r="O557" s="111"/>
      <c r="P557" s="111"/>
      <c r="Q557" s="218"/>
      <c r="R557" s="111"/>
    </row>
    <row r="558" ht="21.0" customHeight="1">
      <c r="A558" s="218"/>
      <c r="B558" s="219"/>
      <c r="C558" s="216"/>
      <c r="D558" s="111"/>
      <c r="E558" s="111"/>
      <c r="F558" s="218"/>
      <c r="G558" s="217"/>
      <c r="H558" s="218"/>
      <c r="I558" s="223"/>
      <c r="J558" s="269"/>
      <c r="K558" s="111"/>
      <c r="L558" s="111"/>
      <c r="M558" s="216"/>
      <c r="N558" s="270"/>
      <c r="O558" s="111"/>
      <c r="P558" s="111"/>
      <c r="Q558" s="218"/>
      <c r="R558" s="111"/>
    </row>
    <row r="559" ht="21.0" customHeight="1">
      <c r="A559" s="218"/>
      <c r="B559" s="219"/>
      <c r="C559" s="216"/>
      <c r="D559" s="111"/>
      <c r="E559" s="111"/>
      <c r="F559" s="218"/>
      <c r="G559" s="217"/>
      <c r="H559" s="218"/>
      <c r="I559" s="223"/>
      <c r="J559" s="269"/>
      <c r="K559" s="111"/>
      <c r="L559" s="111"/>
      <c r="M559" s="216"/>
      <c r="N559" s="270"/>
      <c r="O559" s="111"/>
      <c r="P559" s="111"/>
      <c r="Q559" s="218"/>
      <c r="R559" s="111"/>
    </row>
    <row r="560" ht="21.0" customHeight="1">
      <c r="A560" s="218"/>
      <c r="B560" s="219"/>
      <c r="C560" s="216"/>
      <c r="D560" s="111"/>
      <c r="E560" s="111"/>
      <c r="F560" s="218"/>
      <c r="G560" s="217"/>
      <c r="H560" s="218"/>
      <c r="I560" s="223"/>
      <c r="J560" s="269"/>
      <c r="K560" s="111"/>
      <c r="L560" s="111"/>
      <c r="M560" s="216"/>
      <c r="N560" s="270"/>
      <c r="O560" s="111"/>
      <c r="P560" s="111"/>
      <c r="Q560" s="218"/>
      <c r="R560" s="111"/>
    </row>
    <row r="561" ht="21.0" customHeight="1">
      <c r="A561" s="218"/>
      <c r="B561" s="219"/>
      <c r="C561" s="216"/>
      <c r="D561" s="111"/>
      <c r="E561" s="111"/>
      <c r="F561" s="218"/>
      <c r="G561" s="217"/>
      <c r="H561" s="218"/>
      <c r="I561" s="223"/>
      <c r="J561" s="269"/>
      <c r="K561" s="111"/>
      <c r="L561" s="111"/>
      <c r="M561" s="216"/>
      <c r="N561" s="270"/>
      <c r="O561" s="111"/>
      <c r="P561" s="111"/>
      <c r="Q561" s="218"/>
      <c r="R561" s="111"/>
    </row>
    <row r="562" ht="21.0" customHeight="1">
      <c r="A562" s="218"/>
      <c r="B562" s="219"/>
      <c r="C562" s="216"/>
      <c r="D562" s="111"/>
      <c r="E562" s="111"/>
      <c r="F562" s="218"/>
      <c r="G562" s="217"/>
      <c r="H562" s="218"/>
      <c r="I562" s="223"/>
      <c r="J562" s="269"/>
      <c r="K562" s="111"/>
      <c r="L562" s="111"/>
      <c r="M562" s="216"/>
      <c r="N562" s="270"/>
      <c r="O562" s="111"/>
      <c r="P562" s="111"/>
      <c r="Q562" s="218"/>
      <c r="R562" s="111"/>
    </row>
    <row r="563" ht="21.0" customHeight="1">
      <c r="A563" s="218"/>
      <c r="B563" s="219"/>
      <c r="C563" s="216"/>
      <c r="D563" s="111"/>
      <c r="E563" s="111"/>
      <c r="F563" s="218"/>
      <c r="G563" s="217"/>
      <c r="H563" s="218"/>
      <c r="I563" s="223"/>
      <c r="J563" s="269"/>
      <c r="K563" s="111"/>
      <c r="L563" s="111"/>
      <c r="M563" s="216"/>
      <c r="N563" s="270"/>
      <c r="O563" s="111"/>
      <c r="P563" s="111"/>
      <c r="Q563" s="218"/>
      <c r="R563" s="111"/>
    </row>
    <row r="564" ht="21.0" customHeight="1">
      <c r="A564" s="218"/>
      <c r="B564" s="219"/>
      <c r="C564" s="216"/>
      <c r="D564" s="111"/>
      <c r="E564" s="111"/>
      <c r="F564" s="218"/>
      <c r="G564" s="217"/>
      <c r="H564" s="218"/>
      <c r="I564" s="223"/>
      <c r="J564" s="269"/>
      <c r="K564" s="111"/>
      <c r="L564" s="111"/>
      <c r="M564" s="216"/>
      <c r="N564" s="270"/>
      <c r="O564" s="111"/>
      <c r="P564" s="111"/>
      <c r="Q564" s="218"/>
      <c r="R564" s="111"/>
    </row>
    <row r="565" ht="21.0" customHeight="1">
      <c r="A565" s="218"/>
      <c r="B565" s="219"/>
      <c r="C565" s="216"/>
      <c r="D565" s="111"/>
      <c r="E565" s="111"/>
      <c r="F565" s="218"/>
      <c r="G565" s="217"/>
      <c r="H565" s="218"/>
      <c r="I565" s="223"/>
      <c r="J565" s="269"/>
      <c r="K565" s="111"/>
      <c r="L565" s="111"/>
      <c r="M565" s="216"/>
      <c r="N565" s="270"/>
      <c r="O565" s="111"/>
      <c r="P565" s="111"/>
      <c r="Q565" s="218"/>
      <c r="R565" s="111"/>
    </row>
    <row r="566" ht="21.0" customHeight="1">
      <c r="A566" s="218"/>
      <c r="B566" s="219"/>
      <c r="C566" s="216"/>
      <c r="D566" s="111"/>
      <c r="E566" s="111"/>
      <c r="F566" s="218"/>
      <c r="G566" s="217"/>
      <c r="H566" s="218"/>
      <c r="I566" s="223"/>
      <c r="J566" s="269"/>
      <c r="K566" s="111"/>
      <c r="L566" s="111"/>
      <c r="M566" s="216"/>
      <c r="N566" s="270"/>
      <c r="O566" s="111"/>
      <c r="P566" s="111"/>
      <c r="Q566" s="218"/>
      <c r="R566" s="111"/>
    </row>
    <row r="567" ht="21.0" customHeight="1">
      <c r="A567" s="218"/>
      <c r="B567" s="219"/>
      <c r="C567" s="216"/>
      <c r="D567" s="111"/>
      <c r="E567" s="111"/>
      <c r="F567" s="218"/>
      <c r="G567" s="217"/>
      <c r="H567" s="218"/>
      <c r="I567" s="223"/>
      <c r="J567" s="269"/>
      <c r="K567" s="111"/>
      <c r="L567" s="111"/>
      <c r="M567" s="216"/>
      <c r="N567" s="270"/>
      <c r="O567" s="111"/>
      <c r="P567" s="111"/>
      <c r="Q567" s="218"/>
      <c r="R567" s="111"/>
    </row>
    <row r="568" ht="21.0" customHeight="1">
      <c r="A568" s="218"/>
      <c r="B568" s="219"/>
      <c r="C568" s="216"/>
      <c r="D568" s="111"/>
      <c r="E568" s="111"/>
      <c r="F568" s="218"/>
      <c r="G568" s="217"/>
      <c r="H568" s="218"/>
      <c r="I568" s="223"/>
      <c r="J568" s="269"/>
      <c r="K568" s="111"/>
      <c r="L568" s="111"/>
      <c r="M568" s="216"/>
      <c r="N568" s="270"/>
      <c r="O568" s="111"/>
      <c r="P568" s="111"/>
      <c r="Q568" s="218"/>
      <c r="R568" s="111"/>
    </row>
    <row r="569" ht="21.0" customHeight="1">
      <c r="A569" s="218"/>
      <c r="B569" s="219"/>
      <c r="C569" s="216"/>
      <c r="D569" s="111"/>
      <c r="E569" s="111"/>
      <c r="F569" s="218"/>
      <c r="G569" s="217"/>
      <c r="H569" s="218"/>
      <c r="I569" s="223"/>
      <c r="J569" s="269"/>
      <c r="K569" s="111"/>
      <c r="L569" s="111"/>
      <c r="M569" s="216"/>
      <c r="N569" s="270"/>
      <c r="O569" s="111"/>
      <c r="P569" s="111"/>
      <c r="Q569" s="218"/>
      <c r="R569" s="111"/>
    </row>
    <row r="570" ht="21.0" customHeight="1">
      <c r="A570" s="218"/>
      <c r="B570" s="219"/>
      <c r="C570" s="216"/>
      <c r="D570" s="111"/>
      <c r="E570" s="111"/>
      <c r="F570" s="218"/>
      <c r="G570" s="217"/>
      <c r="H570" s="218"/>
      <c r="I570" s="223"/>
      <c r="J570" s="269"/>
      <c r="K570" s="111"/>
      <c r="L570" s="111"/>
      <c r="M570" s="216"/>
      <c r="N570" s="270"/>
      <c r="O570" s="111"/>
      <c r="P570" s="111"/>
      <c r="Q570" s="218"/>
      <c r="R570" s="111"/>
    </row>
    <row r="571" ht="21.0" customHeight="1">
      <c r="A571" s="218"/>
      <c r="B571" s="219"/>
      <c r="C571" s="216"/>
      <c r="D571" s="111"/>
      <c r="E571" s="111"/>
      <c r="F571" s="218"/>
      <c r="G571" s="217"/>
      <c r="H571" s="218"/>
      <c r="I571" s="223"/>
      <c r="J571" s="269"/>
      <c r="K571" s="111"/>
      <c r="L571" s="111"/>
      <c r="M571" s="216"/>
      <c r="N571" s="270"/>
      <c r="O571" s="111"/>
      <c r="P571" s="111"/>
      <c r="Q571" s="218"/>
      <c r="R571" s="111"/>
    </row>
    <row r="572" ht="21.0" customHeight="1">
      <c r="A572" s="218"/>
      <c r="B572" s="219"/>
      <c r="C572" s="216"/>
      <c r="D572" s="111"/>
      <c r="E572" s="111"/>
      <c r="F572" s="218"/>
      <c r="G572" s="217"/>
      <c r="H572" s="218"/>
      <c r="I572" s="223"/>
      <c r="J572" s="269"/>
      <c r="K572" s="111"/>
      <c r="L572" s="111"/>
      <c r="M572" s="216"/>
      <c r="N572" s="270"/>
      <c r="O572" s="111"/>
      <c r="P572" s="111"/>
      <c r="Q572" s="218"/>
      <c r="R572" s="111"/>
    </row>
    <row r="573" ht="21.0" customHeight="1">
      <c r="A573" s="218"/>
      <c r="B573" s="219"/>
      <c r="C573" s="216"/>
      <c r="D573" s="111"/>
      <c r="E573" s="111"/>
      <c r="F573" s="218"/>
      <c r="G573" s="217"/>
      <c r="H573" s="218"/>
      <c r="I573" s="223"/>
      <c r="J573" s="269"/>
      <c r="K573" s="111"/>
      <c r="L573" s="111"/>
      <c r="M573" s="216"/>
      <c r="N573" s="270"/>
      <c r="O573" s="111"/>
      <c r="P573" s="111"/>
      <c r="Q573" s="218"/>
      <c r="R573" s="111"/>
    </row>
    <row r="574" ht="21.0" customHeight="1">
      <c r="A574" s="218"/>
      <c r="B574" s="219"/>
      <c r="C574" s="216"/>
      <c r="D574" s="111"/>
      <c r="E574" s="111"/>
      <c r="F574" s="218"/>
      <c r="G574" s="217"/>
      <c r="H574" s="218"/>
      <c r="I574" s="223"/>
      <c r="J574" s="269"/>
      <c r="K574" s="111"/>
      <c r="L574" s="111"/>
      <c r="M574" s="216"/>
      <c r="N574" s="270"/>
      <c r="O574" s="111"/>
      <c r="P574" s="111"/>
      <c r="Q574" s="218"/>
      <c r="R574" s="111"/>
    </row>
    <row r="575" ht="21.0" customHeight="1">
      <c r="A575" s="218"/>
      <c r="B575" s="219"/>
      <c r="C575" s="216"/>
      <c r="D575" s="111"/>
      <c r="E575" s="111"/>
      <c r="F575" s="218"/>
      <c r="G575" s="217"/>
      <c r="H575" s="218"/>
      <c r="I575" s="223"/>
      <c r="J575" s="269"/>
      <c r="K575" s="111"/>
      <c r="L575" s="111"/>
      <c r="M575" s="216"/>
      <c r="N575" s="270"/>
      <c r="O575" s="111"/>
      <c r="P575" s="111"/>
      <c r="Q575" s="218"/>
      <c r="R575" s="111"/>
    </row>
    <row r="576" ht="21.0" customHeight="1">
      <c r="A576" s="218"/>
      <c r="B576" s="219"/>
      <c r="C576" s="216"/>
      <c r="D576" s="111"/>
      <c r="E576" s="111"/>
      <c r="F576" s="218"/>
      <c r="G576" s="217"/>
      <c r="H576" s="218"/>
      <c r="I576" s="223"/>
      <c r="J576" s="269"/>
      <c r="K576" s="111"/>
      <c r="L576" s="111"/>
      <c r="M576" s="216"/>
      <c r="N576" s="270"/>
      <c r="O576" s="111"/>
      <c r="P576" s="111"/>
      <c r="Q576" s="218"/>
      <c r="R576" s="111"/>
    </row>
    <row r="577" ht="21.0" customHeight="1">
      <c r="A577" s="218"/>
      <c r="B577" s="219"/>
      <c r="C577" s="216"/>
      <c r="D577" s="111"/>
      <c r="E577" s="111"/>
      <c r="F577" s="218"/>
      <c r="G577" s="217"/>
      <c r="H577" s="218"/>
      <c r="I577" s="223"/>
      <c r="J577" s="269"/>
      <c r="K577" s="111"/>
      <c r="L577" s="111"/>
      <c r="M577" s="216"/>
      <c r="N577" s="270"/>
      <c r="O577" s="111"/>
      <c r="P577" s="111"/>
      <c r="Q577" s="218"/>
      <c r="R577" s="111"/>
    </row>
    <row r="578" ht="21.0" customHeight="1">
      <c r="A578" s="218"/>
      <c r="B578" s="219"/>
      <c r="C578" s="216"/>
      <c r="D578" s="111"/>
      <c r="E578" s="111"/>
      <c r="F578" s="218"/>
      <c r="G578" s="217"/>
      <c r="H578" s="218"/>
      <c r="I578" s="223"/>
      <c r="J578" s="269"/>
      <c r="K578" s="111"/>
      <c r="L578" s="111"/>
      <c r="M578" s="216"/>
      <c r="N578" s="270"/>
      <c r="O578" s="111"/>
      <c r="P578" s="111"/>
      <c r="Q578" s="218"/>
      <c r="R578" s="111"/>
    </row>
    <row r="579" ht="21.0" customHeight="1">
      <c r="A579" s="218"/>
      <c r="B579" s="219"/>
      <c r="C579" s="216"/>
      <c r="D579" s="111"/>
      <c r="E579" s="111"/>
      <c r="F579" s="218"/>
      <c r="G579" s="217"/>
      <c r="H579" s="218"/>
      <c r="I579" s="223"/>
      <c r="J579" s="269"/>
      <c r="K579" s="111"/>
      <c r="L579" s="111"/>
      <c r="M579" s="216"/>
      <c r="N579" s="270"/>
      <c r="O579" s="111"/>
      <c r="P579" s="111"/>
      <c r="Q579" s="218"/>
      <c r="R579" s="111"/>
    </row>
    <row r="580" ht="21.0" customHeight="1">
      <c r="A580" s="218"/>
      <c r="B580" s="219"/>
      <c r="C580" s="216"/>
      <c r="D580" s="111"/>
      <c r="E580" s="111"/>
      <c r="F580" s="218"/>
      <c r="G580" s="217"/>
      <c r="H580" s="218"/>
      <c r="I580" s="223"/>
      <c r="J580" s="269"/>
      <c r="K580" s="111"/>
      <c r="L580" s="111"/>
      <c r="M580" s="216"/>
      <c r="N580" s="270"/>
      <c r="O580" s="111"/>
      <c r="P580" s="111"/>
      <c r="Q580" s="218"/>
      <c r="R580" s="111"/>
    </row>
    <row r="581" ht="21.0" customHeight="1">
      <c r="A581" s="218"/>
      <c r="B581" s="219"/>
      <c r="C581" s="216"/>
      <c r="D581" s="111"/>
      <c r="E581" s="111"/>
      <c r="F581" s="218"/>
      <c r="G581" s="217"/>
      <c r="H581" s="218"/>
      <c r="I581" s="223"/>
      <c r="J581" s="269"/>
      <c r="K581" s="111"/>
      <c r="L581" s="111"/>
      <c r="M581" s="216"/>
      <c r="N581" s="270"/>
      <c r="O581" s="111"/>
      <c r="P581" s="111"/>
      <c r="Q581" s="218"/>
      <c r="R581" s="111"/>
    </row>
    <row r="582" ht="21.0" customHeight="1">
      <c r="A582" s="218"/>
      <c r="B582" s="219"/>
      <c r="C582" s="216"/>
      <c r="D582" s="111"/>
      <c r="E582" s="111"/>
      <c r="F582" s="218"/>
      <c r="G582" s="217"/>
      <c r="H582" s="218"/>
      <c r="I582" s="223"/>
      <c r="J582" s="269"/>
      <c r="K582" s="111"/>
      <c r="L582" s="111"/>
      <c r="M582" s="216"/>
      <c r="N582" s="270"/>
      <c r="O582" s="111"/>
      <c r="P582" s="111"/>
      <c r="Q582" s="218"/>
      <c r="R582" s="111"/>
    </row>
    <row r="583" ht="21.0" customHeight="1">
      <c r="A583" s="218"/>
      <c r="B583" s="219"/>
      <c r="C583" s="216"/>
      <c r="D583" s="111"/>
      <c r="E583" s="111"/>
      <c r="F583" s="218"/>
      <c r="G583" s="217"/>
      <c r="H583" s="218"/>
      <c r="I583" s="223"/>
      <c r="J583" s="269"/>
      <c r="K583" s="111"/>
      <c r="L583" s="111"/>
      <c r="M583" s="216"/>
      <c r="N583" s="270"/>
      <c r="O583" s="111"/>
      <c r="P583" s="111"/>
      <c r="Q583" s="218"/>
      <c r="R583" s="111"/>
    </row>
    <row r="584" ht="21.0" customHeight="1">
      <c r="A584" s="218"/>
      <c r="B584" s="219"/>
      <c r="C584" s="216"/>
      <c r="D584" s="111"/>
      <c r="E584" s="111"/>
      <c r="F584" s="218"/>
      <c r="G584" s="217"/>
      <c r="H584" s="218"/>
      <c r="I584" s="223"/>
      <c r="J584" s="269"/>
      <c r="K584" s="111"/>
      <c r="L584" s="111"/>
      <c r="M584" s="216"/>
      <c r="N584" s="270"/>
      <c r="O584" s="111"/>
      <c r="P584" s="111"/>
      <c r="Q584" s="218"/>
      <c r="R584" s="111"/>
    </row>
    <row r="585" ht="21.0" customHeight="1">
      <c r="A585" s="218"/>
      <c r="B585" s="219"/>
      <c r="C585" s="216"/>
      <c r="D585" s="111"/>
      <c r="E585" s="111"/>
      <c r="F585" s="218"/>
      <c r="G585" s="217"/>
      <c r="H585" s="218"/>
      <c r="I585" s="223"/>
      <c r="J585" s="269"/>
      <c r="K585" s="111"/>
      <c r="L585" s="111"/>
      <c r="M585" s="216"/>
      <c r="N585" s="270"/>
      <c r="O585" s="111"/>
      <c r="P585" s="111"/>
      <c r="Q585" s="218"/>
      <c r="R585" s="111"/>
    </row>
    <row r="586" ht="21.0" customHeight="1">
      <c r="A586" s="218"/>
      <c r="B586" s="219"/>
      <c r="C586" s="216"/>
      <c r="D586" s="111"/>
      <c r="E586" s="111"/>
      <c r="F586" s="218"/>
      <c r="G586" s="217"/>
      <c r="H586" s="218"/>
      <c r="I586" s="223"/>
      <c r="J586" s="269"/>
      <c r="K586" s="111"/>
      <c r="L586" s="111"/>
      <c r="M586" s="216"/>
      <c r="N586" s="270"/>
      <c r="O586" s="111"/>
      <c r="P586" s="111"/>
      <c r="Q586" s="218"/>
      <c r="R586" s="111"/>
    </row>
    <row r="587" ht="21.0" customHeight="1">
      <c r="A587" s="218"/>
      <c r="B587" s="219"/>
      <c r="C587" s="216"/>
      <c r="D587" s="111"/>
      <c r="E587" s="111"/>
      <c r="F587" s="218"/>
      <c r="G587" s="217"/>
      <c r="H587" s="218"/>
      <c r="I587" s="223"/>
      <c r="J587" s="269"/>
      <c r="K587" s="111"/>
      <c r="L587" s="111"/>
      <c r="M587" s="216"/>
      <c r="N587" s="270"/>
      <c r="O587" s="111"/>
      <c r="P587" s="111"/>
      <c r="Q587" s="218"/>
      <c r="R587" s="111"/>
    </row>
    <row r="588" ht="21.0" customHeight="1">
      <c r="A588" s="218"/>
      <c r="B588" s="219"/>
      <c r="C588" s="216"/>
      <c r="D588" s="111"/>
      <c r="E588" s="111"/>
      <c r="F588" s="218"/>
      <c r="G588" s="217"/>
      <c r="H588" s="218"/>
      <c r="I588" s="223"/>
      <c r="J588" s="269"/>
      <c r="K588" s="111"/>
      <c r="L588" s="111"/>
      <c r="M588" s="216"/>
      <c r="N588" s="270"/>
      <c r="O588" s="111"/>
      <c r="P588" s="111"/>
      <c r="Q588" s="218"/>
      <c r="R588" s="111"/>
    </row>
    <row r="589" ht="21.0" customHeight="1">
      <c r="A589" s="218"/>
      <c r="B589" s="219"/>
      <c r="C589" s="216"/>
      <c r="D589" s="111"/>
      <c r="E589" s="111"/>
      <c r="F589" s="218"/>
      <c r="G589" s="217"/>
      <c r="H589" s="218"/>
      <c r="I589" s="223"/>
      <c r="J589" s="269"/>
      <c r="K589" s="111"/>
      <c r="L589" s="111"/>
      <c r="M589" s="216"/>
      <c r="N589" s="270"/>
      <c r="O589" s="111"/>
      <c r="P589" s="111"/>
      <c r="Q589" s="218"/>
      <c r="R589" s="111"/>
    </row>
    <row r="590" ht="21.0" customHeight="1">
      <c r="A590" s="218"/>
      <c r="B590" s="219"/>
      <c r="C590" s="216"/>
      <c r="D590" s="111"/>
      <c r="E590" s="111"/>
      <c r="F590" s="218"/>
      <c r="G590" s="217"/>
      <c r="H590" s="218"/>
      <c r="I590" s="223"/>
      <c r="J590" s="269"/>
      <c r="K590" s="111"/>
      <c r="L590" s="111"/>
      <c r="M590" s="216"/>
      <c r="N590" s="270"/>
      <c r="O590" s="111"/>
      <c r="P590" s="111"/>
      <c r="Q590" s="218"/>
      <c r="R590" s="111"/>
    </row>
    <row r="591" ht="21.0" customHeight="1">
      <c r="A591" s="218"/>
      <c r="B591" s="219"/>
      <c r="C591" s="216"/>
      <c r="D591" s="111"/>
      <c r="E591" s="111"/>
      <c r="F591" s="218"/>
      <c r="G591" s="217"/>
      <c r="H591" s="218"/>
      <c r="I591" s="223"/>
      <c r="J591" s="269"/>
      <c r="K591" s="111"/>
      <c r="L591" s="111"/>
      <c r="M591" s="216"/>
      <c r="N591" s="270"/>
      <c r="O591" s="111"/>
      <c r="P591" s="111"/>
      <c r="Q591" s="218"/>
      <c r="R591" s="111"/>
    </row>
    <row r="592" ht="21.0" customHeight="1">
      <c r="A592" s="218"/>
      <c r="B592" s="219"/>
      <c r="C592" s="216"/>
      <c r="D592" s="111"/>
      <c r="E592" s="111"/>
      <c r="F592" s="218"/>
      <c r="G592" s="217"/>
      <c r="H592" s="218"/>
      <c r="I592" s="223"/>
      <c r="J592" s="269"/>
      <c r="K592" s="111"/>
      <c r="L592" s="111"/>
      <c r="M592" s="216"/>
      <c r="N592" s="270"/>
      <c r="O592" s="111"/>
      <c r="P592" s="111"/>
      <c r="Q592" s="218"/>
      <c r="R592" s="111"/>
    </row>
    <row r="593" ht="21.0" customHeight="1">
      <c r="A593" s="218"/>
      <c r="B593" s="219"/>
      <c r="C593" s="216"/>
      <c r="D593" s="111"/>
      <c r="E593" s="111"/>
      <c r="F593" s="218"/>
      <c r="G593" s="217"/>
      <c r="H593" s="218"/>
      <c r="I593" s="223"/>
      <c r="J593" s="269"/>
      <c r="K593" s="111"/>
      <c r="L593" s="111"/>
      <c r="M593" s="216"/>
      <c r="N593" s="270"/>
      <c r="O593" s="111"/>
      <c r="P593" s="111"/>
      <c r="Q593" s="218"/>
      <c r="R593" s="111"/>
    </row>
    <row r="594" ht="21.0" customHeight="1">
      <c r="A594" s="218"/>
      <c r="B594" s="219"/>
      <c r="C594" s="216"/>
      <c r="D594" s="111"/>
      <c r="E594" s="111"/>
      <c r="F594" s="218"/>
      <c r="G594" s="217"/>
      <c r="H594" s="218"/>
      <c r="I594" s="223"/>
      <c r="J594" s="269"/>
      <c r="K594" s="111"/>
      <c r="L594" s="111"/>
      <c r="M594" s="216"/>
      <c r="N594" s="270"/>
      <c r="O594" s="111"/>
      <c r="P594" s="111"/>
      <c r="Q594" s="218"/>
      <c r="R594" s="111"/>
    </row>
    <row r="595" ht="21.0" customHeight="1">
      <c r="A595" s="218"/>
      <c r="B595" s="219"/>
      <c r="C595" s="216"/>
      <c r="D595" s="111"/>
      <c r="E595" s="111"/>
      <c r="F595" s="218"/>
      <c r="G595" s="217"/>
      <c r="H595" s="218"/>
      <c r="I595" s="223"/>
      <c r="J595" s="269"/>
      <c r="K595" s="111"/>
      <c r="L595" s="111"/>
      <c r="M595" s="216"/>
      <c r="N595" s="270"/>
      <c r="O595" s="111"/>
      <c r="P595" s="111"/>
      <c r="Q595" s="218"/>
      <c r="R595" s="111"/>
    </row>
    <row r="596" ht="21.0" customHeight="1">
      <c r="A596" s="218"/>
      <c r="B596" s="219"/>
      <c r="C596" s="216"/>
      <c r="D596" s="111"/>
      <c r="E596" s="111"/>
      <c r="F596" s="218"/>
      <c r="G596" s="217"/>
      <c r="H596" s="218"/>
      <c r="I596" s="223"/>
      <c r="J596" s="269"/>
      <c r="K596" s="111"/>
      <c r="L596" s="111"/>
      <c r="M596" s="216"/>
      <c r="N596" s="270"/>
      <c r="O596" s="111"/>
      <c r="P596" s="111"/>
      <c r="Q596" s="218"/>
      <c r="R596" s="111"/>
    </row>
    <row r="597" ht="21.0" customHeight="1">
      <c r="A597" s="218"/>
      <c r="B597" s="219"/>
      <c r="C597" s="216"/>
      <c r="D597" s="111"/>
      <c r="E597" s="111"/>
      <c r="F597" s="218"/>
      <c r="G597" s="217"/>
      <c r="H597" s="218"/>
      <c r="I597" s="223"/>
      <c r="J597" s="269"/>
      <c r="K597" s="111"/>
      <c r="L597" s="111"/>
      <c r="M597" s="216"/>
      <c r="N597" s="270"/>
      <c r="O597" s="111"/>
      <c r="P597" s="111"/>
      <c r="Q597" s="218"/>
      <c r="R597" s="111"/>
    </row>
    <row r="598" ht="21.0" customHeight="1">
      <c r="A598" s="218"/>
      <c r="B598" s="219"/>
      <c r="C598" s="216"/>
      <c r="D598" s="111"/>
      <c r="E598" s="111"/>
      <c r="F598" s="218"/>
      <c r="G598" s="217"/>
      <c r="H598" s="218"/>
      <c r="I598" s="223"/>
      <c r="J598" s="269"/>
      <c r="K598" s="111"/>
      <c r="L598" s="111"/>
      <c r="M598" s="216"/>
      <c r="N598" s="270"/>
      <c r="O598" s="111"/>
      <c r="P598" s="111"/>
      <c r="Q598" s="218"/>
      <c r="R598" s="111"/>
    </row>
    <row r="599" ht="21.0" customHeight="1">
      <c r="A599" s="218"/>
      <c r="B599" s="219"/>
      <c r="C599" s="216"/>
      <c r="D599" s="111"/>
      <c r="E599" s="111"/>
      <c r="F599" s="218"/>
      <c r="G599" s="217"/>
      <c r="H599" s="218"/>
      <c r="I599" s="223"/>
      <c r="J599" s="269"/>
      <c r="K599" s="111"/>
      <c r="L599" s="111"/>
      <c r="M599" s="216"/>
      <c r="N599" s="270"/>
      <c r="O599" s="111"/>
      <c r="P599" s="111"/>
      <c r="Q599" s="218"/>
      <c r="R599" s="111"/>
    </row>
    <row r="600" ht="21.0" customHeight="1">
      <c r="A600" s="218"/>
      <c r="B600" s="219"/>
      <c r="C600" s="216"/>
      <c r="D600" s="111"/>
      <c r="E600" s="111"/>
      <c r="F600" s="218"/>
      <c r="G600" s="217"/>
      <c r="H600" s="218"/>
      <c r="I600" s="223"/>
      <c r="J600" s="269"/>
      <c r="K600" s="111"/>
      <c r="L600" s="111"/>
      <c r="M600" s="216"/>
      <c r="N600" s="270"/>
      <c r="O600" s="111"/>
      <c r="P600" s="111"/>
      <c r="Q600" s="218"/>
      <c r="R600" s="111"/>
    </row>
    <row r="601" ht="21.0" customHeight="1">
      <c r="A601" s="218"/>
      <c r="B601" s="219"/>
      <c r="C601" s="216"/>
      <c r="D601" s="111"/>
      <c r="E601" s="111"/>
      <c r="F601" s="218"/>
      <c r="G601" s="217"/>
      <c r="H601" s="218"/>
      <c r="I601" s="223"/>
      <c r="J601" s="269"/>
      <c r="K601" s="111"/>
      <c r="L601" s="111"/>
      <c r="M601" s="216"/>
      <c r="N601" s="270"/>
      <c r="O601" s="111"/>
      <c r="P601" s="111"/>
      <c r="Q601" s="218"/>
      <c r="R601" s="111"/>
    </row>
    <row r="602" ht="21.0" customHeight="1">
      <c r="A602" s="218"/>
      <c r="B602" s="219"/>
      <c r="C602" s="216"/>
      <c r="D602" s="111"/>
      <c r="E602" s="111"/>
      <c r="F602" s="218"/>
      <c r="G602" s="217"/>
      <c r="H602" s="218"/>
      <c r="I602" s="223"/>
      <c r="J602" s="269"/>
      <c r="K602" s="111"/>
      <c r="L602" s="111"/>
      <c r="M602" s="216"/>
      <c r="N602" s="270"/>
      <c r="O602" s="111"/>
      <c r="P602" s="111"/>
      <c r="Q602" s="218"/>
      <c r="R602" s="111"/>
    </row>
    <row r="603" ht="21.0" customHeight="1">
      <c r="A603" s="218"/>
      <c r="B603" s="219"/>
      <c r="C603" s="216"/>
      <c r="D603" s="111"/>
      <c r="E603" s="111"/>
      <c r="F603" s="218"/>
      <c r="G603" s="217"/>
      <c r="H603" s="218"/>
      <c r="I603" s="223"/>
      <c r="J603" s="269"/>
      <c r="K603" s="111"/>
      <c r="L603" s="111"/>
      <c r="M603" s="216"/>
      <c r="N603" s="270"/>
      <c r="O603" s="111"/>
      <c r="P603" s="111"/>
      <c r="Q603" s="218"/>
      <c r="R603" s="111"/>
    </row>
    <row r="604" ht="21.0" customHeight="1">
      <c r="A604" s="218"/>
      <c r="B604" s="219"/>
      <c r="C604" s="216"/>
      <c r="D604" s="111"/>
      <c r="E604" s="111"/>
      <c r="F604" s="218"/>
      <c r="G604" s="217"/>
      <c r="H604" s="218"/>
      <c r="I604" s="223"/>
      <c r="J604" s="269"/>
      <c r="K604" s="111"/>
      <c r="L604" s="111"/>
      <c r="M604" s="216"/>
      <c r="N604" s="270"/>
      <c r="O604" s="111"/>
      <c r="P604" s="111"/>
      <c r="Q604" s="218"/>
      <c r="R604" s="111"/>
    </row>
    <row r="605" ht="21.0" customHeight="1">
      <c r="A605" s="218"/>
      <c r="B605" s="219"/>
      <c r="C605" s="216"/>
      <c r="D605" s="111"/>
      <c r="E605" s="111"/>
      <c r="F605" s="218"/>
      <c r="G605" s="217"/>
      <c r="H605" s="218"/>
      <c r="I605" s="223"/>
      <c r="J605" s="269"/>
      <c r="K605" s="111"/>
      <c r="L605" s="111"/>
      <c r="M605" s="216"/>
      <c r="N605" s="270"/>
      <c r="O605" s="111"/>
      <c r="P605" s="111"/>
      <c r="Q605" s="218"/>
      <c r="R605" s="111"/>
    </row>
    <row r="606" ht="21.0" customHeight="1">
      <c r="A606" s="218"/>
      <c r="B606" s="219"/>
      <c r="C606" s="216"/>
      <c r="D606" s="111"/>
      <c r="E606" s="111"/>
      <c r="F606" s="218"/>
      <c r="G606" s="217"/>
      <c r="H606" s="218"/>
      <c r="I606" s="223"/>
      <c r="J606" s="269"/>
      <c r="K606" s="111"/>
      <c r="L606" s="111"/>
      <c r="M606" s="216"/>
      <c r="N606" s="270"/>
      <c r="O606" s="111"/>
      <c r="P606" s="111"/>
      <c r="Q606" s="218"/>
      <c r="R606" s="111"/>
    </row>
    <row r="607" ht="21.0" customHeight="1">
      <c r="A607" s="218"/>
      <c r="B607" s="219"/>
      <c r="C607" s="216"/>
      <c r="D607" s="111"/>
      <c r="E607" s="111"/>
      <c r="F607" s="218"/>
      <c r="G607" s="217"/>
      <c r="H607" s="218"/>
      <c r="I607" s="223"/>
      <c r="J607" s="269"/>
      <c r="K607" s="111"/>
      <c r="L607" s="111"/>
      <c r="M607" s="216"/>
      <c r="N607" s="270"/>
      <c r="O607" s="111"/>
      <c r="P607" s="111"/>
      <c r="Q607" s="218"/>
      <c r="R607" s="111"/>
    </row>
    <row r="608" ht="21.0" customHeight="1">
      <c r="A608" s="218"/>
      <c r="B608" s="219"/>
      <c r="C608" s="216"/>
      <c r="D608" s="111"/>
      <c r="E608" s="111"/>
      <c r="F608" s="218"/>
      <c r="G608" s="217"/>
      <c r="H608" s="218"/>
      <c r="I608" s="223"/>
      <c r="J608" s="269"/>
      <c r="K608" s="111"/>
      <c r="L608" s="111"/>
      <c r="M608" s="216"/>
      <c r="N608" s="270"/>
      <c r="O608" s="111"/>
      <c r="P608" s="111"/>
      <c r="Q608" s="218"/>
      <c r="R608" s="111"/>
    </row>
    <row r="609" ht="21.0" customHeight="1">
      <c r="A609" s="218"/>
      <c r="B609" s="219"/>
      <c r="C609" s="216"/>
      <c r="D609" s="111"/>
      <c r="E609" s="111"/>
      <c r="F609" s="218"/>
      <c r="G609" s="217"/>
      <c r="H609" s="218"/>
      <c r="I609" s="223"/>
      <c r="J609" s="269"/>
      <c r="K609" s="111"/>
      <c r="L609" s="111"/>
      <c r="M609" s="216"/>
      <c r="N609" s="270"/>
      <c r="O609" s="111"/>
      <c r="P609" s="111"/>
      <c r="Q609" s="218"/>
      <c r="R609" s="111"/>
    </row>
    <row r="610" ht="21.0" customHeight="1">
      <c r="A610" s="218"/>
      <c r="B610" s="219"/>
      <c r="C610" s="216"/>
      <c r="D610" s="111"/>
      <c r="E610" s="111"/>
      <c r="F610" s="218"/>
      <c r="G610" s="217"/>
      <c r="H610" s="218"/>
      <c r="I610" s="223"/>
      <c r="J610" s="269"/>
      <c r="K610" s="111"/>
      <c r="L610" s="111"/>
      <c r="M610" s="216"/>
      <c r="N610" s="270"/>
      <c r="O610" s="111"/>
      <c r="P610" s="111"/>
      <c r="Q610" s="218"/>
      <c r="R610" s="111"/>
    </row>
    <row r="611" ht="21.0" customHeight="1">
      <c r="A611" s="218"/>
      <c r="B611" s="219"/>
      <c r="C611" s="216"/>
      <c r="D611" s="111"/>
      <c r="E611" s="111"/>
      <c r="F611" s="218"/>
      <c r="G611" s="217"/>
      <c r="H611" s="218"/>
      <c r="I611" s="223"/>
      <c r="J611" s="269"/>
      <c r="K611" s="111"/>
      <c r="L611" s="111"/>
      <c r="M611" s="216"/>
      <c r="N611" s="270"/>
      <c r="O611" s="111"/>
      <c r="P611" s="111"/>
      <c r="Q611" s="218"/>
      <c r="R611" s="111"/>
    </row>
    <row r="612" ht="21.0" customHeight="1">
      <c r="A612" s="218"/>
      <c r="B612" s="219"/>
      <c r="C612" s="216"/>
      <c r="D612" s="111"/>
      <c r="E612" s="111"/>
      <c r="F612" s="218"/>
      <c r="G612" s="217"/>
      <c r="H612" s="218"/>
      <c r="I612" s="223"/>
      <c r="J612" s="269"/>
      <c r="K612" s="111"/>
      <c r="L612" s="111"/>
      <c r="M612" s="216"/>
      <c r="N612" s="270"/>
      <c r="O612" s="111"/>
      <c r="P612" s="111"/>
      <c r="Q612" s="218"/>
      <c r="R612" s="111"/>
    </row>
    <row r="613" ht="21.0" customHeight="1">
      <c r="A613" s="218"/>
      <c r="B613" s="219"/>
      <c r="C613" s="216"/>
      <c r="D613" s="111"/>
      <c r="E613" s="111"/>
      <c r="F613" s="218"/>
      <c r="G613" s="217"/>
      <c r="H613" s="218"/>
      <c r="I613" s="223"/>
      <c r="J613" s="269"/>
      <c r="K613" s="111"/>
      <c r="L613" s="111"/>
      <c r="M613" s="216"/>
      <c r="N613" s="270"/>
      <c r="O613" s="111"/>
      <c r="P613" s="111"/>
      <c r="Q613" s="218"/>
      <c r="R613" s="111"/>
    </row>
    <row r="614" ht="21.0" customHeight="1">
      <c r="A614" s="218"/>
      <c r="B614" s="219"/>
      <c r="C614" s="216"/>
      <c r="D614" s="111"/>
      <c r="E614" s="111"/>
      <c r="F614" s="218"/>
      <c r="G614" s="217"/>
      <c r="H614" s="218"/>
      <c r="I614" s="223"/>
      <c r="J614" s="269"/>
      <c r="K614" s="111"/>
      <c r="L614" s="111"/>
      <c r="M614" s="216"/>
      <c r="N614" s="270"/>
      <c r="O614" s="111"/>
      <c r="P614" s="111"/>
      <c r="Q614" s="218"/>
      <c r="R614" s="111"/>
    </row>
    <row r="615" ht="21.0" customHeight="1">
      <c r="A615" s="218"/>
      <c r="B615" s="219"/>
      <c r="C615" s="216"/>
      <c r="D615" s="111"/>
      <c r="E615" s="111"/>
      <c r="F615" s="218"/>
      <c r="G615" s="217"/>
      <c r="H615" s="218"/>
      <c r="I615" s="223"/>
      <c r="J615" s="269"/>
      <c r="K615" s="111"/>
      <c r="L615" s="111"/>
      <c r="M615" s="216"/>
      <c r="N615" s="270"/>
      <c r="O615" s="111"/>
      <c r="P615" s="111"/>
      <c r="Q615" s="218"/>
      <c r="R615" s="111"/>
    </row>
    <row r="616" ht="21.0" customHeight="1">
      <c r="A616" s="218"/>
      <c r="B616" s="219"/>
      <c r="C616" s="216"/>
      <c r="D616" s="111"/>
      <c r="E616" s="111"/>
      <c r="F616" s="218"/>
      <c r="G616" s="217"/>
      <c r="H616" s="218"/>
      <c r="I616" s="223"/>
      <c r="J616" s="269"/>
      <c r="K616" s="111"/>
      <c r="L616" s="111"/>
      <c r="M616" s="216"/>
      <c r="N616" s="270"/>
      <c r="O616" s="111"/>
      <c r="P616" s="111"/>
      <c r="Q616" s="218"/>
      <c r="R616" s="111"/>
    </row>
    <row r="617" ht="21.0" customHeight="1">
      <c r="A617" s="218"/>
      <c r="B617" s="219"/>
      <c r="C617" s="216"/>
      <c r="D617" s="111"/>
      <c r="E617" s="111"/>
      <c r="F617" s="218"/>
      <c r="G617" s="217"/>
      <c r="H617" s="218"/>
      <c r="I617" s="223"/>
      <c r="J617" s="269"/>
      <c r="K617" s="111"/>
      <c r="L617" s="111"/>
      <c r="M617" s="216"/>
      <c r="N617" s="270"/>
      <c r="O617" s="111"/>
      <c r="P617" s="111"/>
      <c r="Q617" s="218"/>
      <c r="R617" s="111"/>
    </row>
    <row r="618" ht="21.0" customHeight="1">
      <c r="A618" s="218"/>
      <c r="B618" s="219"/>
      <c r="C618" s="216"/>
      <c r="D618" s="111"/>
      <c r="E618" s="111"/>
      <c r="F618" s="218"/>
      <c r="G618" s="217"/>
      <c r="H618" s="218"/>
      <c r="I618" s="223"/>
      <c r="J618" s="269"/>
      <c r="K618" s="111"/>
      <c r="L618" s="111"/>
      <c r="M618" s="216"/>
      <c r="N618" s="270"/>
      <c r="O618" s="111"/>
      <c r="P618" s="111"/>
      <c r="Q618" s="218"/>
      <c r="R618" s="111"/>
    </row>
    <row r="619" ht="21.0" customHeight="1">
      <c r="A619" s="218"/>
      <c r="B619" s="219"/>
      <c r="C619" s="216"/>
      <c r="D619" s="111"/>
      <c r="E619" s="111"/>
      <c r="F619" s="218"/>
      <c r="G619" s="217"/>
      <c r="H619" s="218"/>
      <c r="I619" s="223"/>
      <c r="J619" s="269"/>
      <c r="K619" s="111"/>
      <c r="L619" s="111"/>
      <c r="M619" s="216"/>
      <c r="N619" s="270"/>
      <c r="O619" s="111"/>
      <c r="P619" s="111"/>
      <c r="Q619" s="218"/>
      <c r="R619" s="111"/>
    </row>
    <row r="620" ht="21.0" customHeight="1">
      <c r="A620" s="218"/>
      <c r="B620" s="219"/>
      <c r="C620" s="216"/>
      <c r="D620" s="111"/>
      <c r="E620" s="111"/>
      <c r="F620" s="218"/>
      <c r="G620" s="217"/>
      <c r="H620" s="218"/>
      <c r="I620" s="223"/>
      <c r="J620" s="269"/>
      <c r="K620" s="111"/>
      <c r="L620" s="111"/>
      <c r="M620" s="216"/>
      <c r="N620" s="270"/>
      <c r="O620" s="111"/>
      <c r="P620" s="111"/>
      <c r="Q620" s="218"/>
      <c r="R620" s="111"/>
    </row>
    <row r="621" ht="21.0" customHeight="1">
      <c r="A621" s="218"/>
      <c r="B621" s="219"/>
      <c r="C621" s="216"/>
      <c r="D621" s="111"/>
      <c r="E621" s="111"/>
      <c r="F621" s="218"/>
      <c r="G621" s="217"/>
      <c r="H621" s="218"/>
      <c r="I621" s="223"/>
      <c r="J621" s="269"/>
      <c r="K621" s="111"/>
      <c r="L621" s="111"/>
      <c r="M621" s="216"/>
      <c r="N621" s="270"/>
      <c r="O621" s="111"/>
      <c r="P621" s="111"/>
      <c r="Q621" s="218"/>
      <c r="R621" s="111"/>
    </row>
    <row r="622" ht="21.0" customHeight="1">
      <c r="A622" s="218"/>
      <c r="B622" s="219"/>
      <c r="C622" s="216"/>
      <c r="D622" s="111"/>
      <c r="E622" s="111"/>
      <c r="F622" s="218"/>
      <c r="G622" s="217"/>
      <c r="H622" s="218"/>
      <c r="I622" s="223"/>
      <c r="J622" s="269"/>
      <c r="K622" s="111"/>
      <c r="L622" s="111"/>
      <c r="M622" s="216"/>
      <c r="N622" s="270"/>
      <c r="O622" s="111"/>
      <c r="P622" s="111"/>
      <c r="Q622" s="218"/>
      <c r="R622" s="111"/>
    </row>
    <row r="623" ht="21.0" customHeight="1">
      <c r="A623" s="218"/>
      <c r="B623" s="219"/>
      <c r="C623" s="216"/>
      <c r="D623" s="111"/>
      <c r="E623" s="111"/>
      <c r="F623" s="218"/>
      <c r="G623" s="217"/>
      <c r="H623" s="218"/>
      <c r="I623" s="223"/>
      <c r="J623" s="269"/>
      <c r="K623" s="111"/>
      <c r="L623" s="111"/>
      <c r="M623" s="216"/>
      <c r="N623" s="270"/>
      <c r="O623" s="111"/>
      <c r="P623" s="111"/>
      <c r="Q623" s="218"/>
      <c r="R623" s="111"/>
    </row>
    <row r="624" ht="21.0" customHeight="1">
      <c r="A624" s="218"/>
      <c r="B624" s="219"/>
      <c r="C624" s="216"/>
      <c r="D624" s="111"/>
      <c r="E624" s="111"/>
      <c r="F624" s="218"/>
      <c r="G624" s="217"/>
      <c r="H624" s="218"/>
      <c r="I624" s="223"/>
      <c r="J624" s="269"/>
      <c r="K624" s="111"/>
      <c r="L624" s="111"/>
      <c r="M624" s="216"/>
      <c r="N624" s="270"/>
      <c r="O624" s="111"/>
      <c r="P624" s="111"/>
      <c r="Q624" s="218"/>
      <c r="R624" s="111"/>
    </row>
    <row r="625" ht="21.0" customHeight="1">
      <c r="A625" s="218"/>
      <c r="B625" s="219"/>
      <c r="C625" s="216"/>
      <c r="D625" s="111"/>
      <c r="E625" s="111"/>
      <c r="F625" s="218"/>
      <c r="G625" s="217"/>
      <c r="H625" s="218"/>
      <c r="I625" s="223"/>
      <c r="J625" s="269"/>
      <c r="K625" s="111"/>
      <c r="L625" s="111"/>
      <c r="M625" s="216"/>
      <c r="N625" s="270"/>
      <c r="O625" s="111"/>
      <c r="P625" s="111"/>
      <c r="Q625" s="218"/>
      <c r="R625" s="111"/>
    </row>
    <row r="626" ht="21.0" customHeight="1">
      <c r="A626" s="218"/>
      <c r="B626" s="219"/>
      <c r="C626" s="216"/>
      <c r="D626" s="111"/>
      <c r="E626" s="111"/>
      <c r="F626" s="218"/>
      <c r="G626" s="217"/>
      <c r="H626" s="218"/>
      <c r="I626" s="223"/>
      <c r="J626" s="269"/>
      <c r="K626" s="111"/>
      <c r="L626" s="111"/>
      <c r="M626" s="216"/>
      <c r="N626" s="270"/>
      <c r="O626" s="111"/>
      <c r="P626" s="111"/>
      <c r="Q626" s="218"/>
      <c r="R626" s="111"/>
    </row>
    <row r="627" ht="21.0" customHeight="1">
      <c r="A627" s="218"/>
      <c r="B627" s="219"/>
      <c r="C627" s="216"/>
      <c r="D627" s="111"/>
      <c r="E627" s="111"/>
      <c r="F627" s="218"/>
      <c r="G627" s="217"/>
      <c r="H627" s="218"/>
      <c r="I627" s="223"/>
      <c r="J627" s="269"/>
      <c r="K627" s="111"/>
      <c r="L627" s="111"/>
      <c r="M627" s="216"/>
      <c r="N627" s="270"/>
      <c r="O627" s="111"/>
      <c r="P627" s="111"/>
      <c r="Q627" s="218"/>
      <c r="R627" s="111"/>
    </row>
    <row r="628" ht="21.0" customHeight="1">
      <c r="A628" s="218"/>
      <c r="B628" s="219"/>
      <c r="C628" s="216"/>
      <c r="D628" s="111"/>
      <c r="E628" s="111"/>
      <c r="F628" s="218"/>
      <c r="G628" s="217"/>
      <c r="H628" s="218"/>
      <c r="I628" s="223"/>
      <c r="J628" s="269"/>
      <c r="K628" s="111"/>
      <c r="L628" s="111"/>
      <c r="M628" s="216"/>
      <c r="N628" s="270"/>
      <c r="O628" s="111"/>
      <c r="P628" s="111"/>
      <c r="Q628" s="218"/>
      <c r="R628" s="111"/>
    </row>
    <row r="629" ht="21.0" customHeight="1">
      <c r="A629" s="218"/>
      <c r="B629" s="219"/>
      <c r="C629" s="216"/>
      <c r="D629" s="111"/>
      <c r="E629" s="111"/>
      <c r="F629" s="218"/>
      <c r="G629" s="217"/>
      <c r="H629" s="218"/>
      <c r="I629" s="223"/>
      <c r="J629" s="269"/>
      <c r="K629" s="111"/>
      <c r="L629" s="111"/>
      <c r="M629" s="216"/>
      <c r="N629" s="270"/>
      <c r="O629" s="111"/>
      <c r="P629" s="111"/>
      <c r="Q629" s="218"/>
      <c r="R629" s="111"/>
    </row>
    <row r="630" ht="21.0" customHeight="1">
      <c r="A630" s="218"/>
      <c r="B630" s="219"/>
      <c r="C630" s="216"/>
      <c r="D630" s="111"/>
      <c r="E630" s="111"/>
      <c r="F630" s="218"/>
      <c r="G630" s="217"/>
      <c r="H630" s="218"/>
      <c r="I630" s="223"/>
      <c r="J630" s="269"/>
      <c r="K630" s="111"/>
      <c r="L630" s="111"/>
      <c r="M630" s="216"/>
      <c r="N630" s="270"/>
      <c r="O630" s="111"/>
      <c r="P630" s="111"/>
      <c r="Q630" s="218"/>
      <c r="R630" s="111"/>
    </row>
    <row r="631" ht="21.0" customHeight="1">
      <c r="A631" s="218"/>
      <c r="B631" s="219"/>
      <c r="C631" s="216"/>
      <c r="D631" s="111"/>
      <c r="E631" s="111"/>
      <c r="F631" s="218"/>
      <c r="G631" s="217"/>
      <c r="H631" s="218"/>
      <c r="I631" s="223"/>
      <c r="J631" s="269"/>
      <c r="K631" s="111"/>
      <c r="L631" s="111"/>
      <c r="M631" s="216"/>
      <c r="N631" s="270"/>
      <c r="O631" s="111"/>
      <c r="P631" s="111"/>
      <c r="Q631" s="218"/>
      <c r="R631" s="111"/>
    </row>
    <row r="632" ht="21.0" customHeight="1">
      <c r="A632" s="218"/>
      <c r="B632" s="219"/>
      <c r="C632" s="216"/>
      <c r="D632" s="111"/>
      <c r="E632" s="111"/>
      <c r="F632" s="218"/>
      <c r="G632" s="217"/>
      <c r="H632" s="218"/>
      <c r="I632" s="223"/>
      <c r="J632" s="269"/>
      <c r="K632" s="111"/>
      <c r="L632" s="111"/>
      <c r="M632" s="216"/>
      <c r="N632" s="270"/>
      <c r="O632" s="111"/>
      <c r="P632" s="111"/>
      <c r="Q632" s="218"/>
      <c r="R632" s="111"/>
    </row>
    <row r="633" ht="21.0" customHeight="1">
      <c r="A633" s="218"/>
      <c r="B633" s="219"/>
      <c r="C633" s="216"/>
      <c r="D633" s="111"/>
      <c r="E633" s="111"/>
      <c r="F633" s="218"/>
      <c r="G633" s="217"/>
      <c r="H633" s="218"/>
      <c r="I633" s="223"/>
      <c r="J633" s="269"/>
      <c r="K633" s="111"/>
      <c r="L633" s="111"/>
      <c r="M633" s="216"/>
      <c r="N633" s="270"/>
      <c r="O633" s="111"/>
      <c r="P633" s="111"/>
      <c r="Q633" s="218"/>
      <c r="R633" s="111"/>
    </row>
    <row r="634" ht="21.0" customHeight="1">
      <c r="A634" s="218"/>
      <c r="B634" s="219"/>
      <c r="C634" s="216"/>
      <c r="D634" s="111"/>
      <c r="E634" s="111"/>
      <c r="F634" s="218"/>
      <c r="G634" s="217"/>
      <c r="H634" s="218"/>
      <c r="I634" s="223"/>
      <c r="J634" s="269"/>
      <c r="K634" s="111"/>
      <c r="L634" s="111"/>
      <c r="M634" s="216"/>
      <c r="N634" s="270"/>
      <c r="O634" s="111"/>
      <c r="P634" s="111"/>
      <c r="Q634" s="218"/>
      <c r="R634" s="111"/>
    </row>
    <row r="635" ht="21.0" customHeight="1">
      <c r="A635" s="218"/>
      <c r="B635" s="219"/>
      <c r="C635" s="216"/>
      <c r="D635" s="111"/>
      <c r="E635" s="111"/>
      <c r="F635" s="218"/>
      <c r="G635" s="217"/>
      <c r="H635" s="218"/>
      <c r="I635" s="223"/>
      <c r="J635" s="269"/>
      <c r="K635" s="111"/>
      <c r="L635" s="111"/>
      <c r="M635" s="216"/>
      <c r="N635" s="270"/>
      <c r="O635" s="111"/>
      <c r="P635" s="111"/>
      <c r="Q635" s="218"/>
      <c r="R635" s="111"/>
    </row>
    <row r="636" ht="21.0" customHeight="1">
      <c r="A636" s="218"/>
      <c r="B636" s="219"/>
      <c r="C636" s="216"/>
      <c r="D636" s="111"/>
      <c r="E636" s="111"/>
      <c r="F636" s="218"/>
      <c r="G636" s="217"/>
      <c r="H636" s="218"/>
      <c r="I636" s="223"/>
      <c r="J636" s="269"/>
      <c r="K636" s="111"/>
      <c r="L636" s="111"/>
      <c r="M636" s="216"/>
      <c r="N636" s="270"/>
      <c r="O636" s="111"/>
      <c r="P636" s="111"/>
      <c r="Q636" s="218"/>
      <c r="R636" s="111"/>
    </row>
    <row r="637" ht="21.0" customHeight="1">
      <c r="A637" s="218"/>
      <c r="B637" s="219"/>
      <c r="C637" s="216"/>
      <c r="D637" s="111"/>
      <c r="E637" s="111"/>
      <c r="F637" s="218"/>
      <c r="G637" s="217"/>
      <c r="H637" s="218"/>
      <c r="I637" s="223"/>
      <c r="J637" s="269"/>
      <c r="K637" s="111"/>
      <c r="L637" s="111"/>
      <c r="M637" s="216"/>
      <c r="N637" s="270"/>
      <c r="O637" s="111"/>
      <c r="P637" s="111"/>
      <c r="Q637" s="218"/>
      <c r="R637" s="111"/>
    </row>
    <row r="638" ht="21.0" customHeight="1">
      <c r="A638" s="218"/>
      <c r="B638" s="219"/>
      <c r="C638" s="216"/>
      <c r="D638" s="111"/>
      <c r="E638" s="111"/>
      <c r="F638" s="218"/>
      <c r="G638" s="217"/>
      <c r="H638" s="218"/>
      <c r="I638" s="223"/>
      <c r="J638" s="269"/>
      <c r="K638" s="111"/>
      <c r="L638" s="111"/>
      <c r="M638" s="216"/>
      <c r="N638" s="270"/>
      <c r="O638" s="111"/>
      <c r="P638" s="111"/>
      <c r="Q638" s="218"/>
      <c r="R638" s="111"/>
    </row>
    <row r="639" ht="21.0" customHeight="1">
      <c r="A639" s="218"/>
      <c r="B639" s="219"/>
      <c r="C639" s="216"/>
      <c r="D639" s="111"/>
      <c r="E639" s="111"/>
      <c r="F639" s="218"/>
      <c r="G639" s="217"/>
      <c r="H639" s="218"/>
      <c r="I639" s="223"/>
      <c r="J639" s="269"/>
      <c r="K639" s="111"/>
      <c r="L639" s="111"/>
      <c r="M639" s="216"/>
      <c r="N639" s="270"/>
      <c r="O639" s="111"/>
      <c r="P639" s="111"/>
      <c r="Q639" s="218"/>
      <c r="R639" s="111"/>
    </row>
    <row r="640" ht="21.0" customHeight="1">
      <c r="A640" s="218"/>
      <c r="B640" s="219"/>
      <c r="C640" s="216"/>
      <c r="D640" s="111"/>
      <c r="E640" s="111"/>
      <c r="F640" s="218"/>
      <c r="G640" s="217"/>
      <c r="H640" s="218"/>
      <c r="I640" s="223"/>
      <c r="J640" s="269"/>
      <c r="K640" s="111"/>
      <c r="L640" s="111"/>
      <c r="M640" s="216"/>
      <c r="N640" s="270"/>
      <c r="O640" s="111"/>
      <c r="P640" s="111"/>
      <c r="Q640" s="218"/>
      <c r="R640" s="111"/>
    </row>
    <row r="641" ht="21.0" customHeight="1">
      <c r="A641" s="218"/>
      <c r="B641" s="219"/>
      <c r="C641" s="216"/>
      <c r="D641" s="111"/>
      <c r="E641" s="111"/>
      <c r="F641" s="218"/>
      <c r="G641" s="217"/>
      <c r="H641" s="218"/>
      <c r="I641" s="223"/>
      <c r="J641" s="269"/>
      <c r="K641" s="111"/>
      <c r="L641" s="111"/>
      <c r="M641" s="216"/>
      <c r="N641" s="270"/>
      <c r="O641" s="111"/>
      <c r="P641" s="111"/>
      <c r="Q641" s="218"/>
      <c r="R641" s="111"/>
    </row>
    <row r="642" ht="21.0" customHeight="1">
      <c r="A642" s="218"/>
      <c r="B642" s="219"/>
      <c r="C642" s="216"/>
      <c r="D642" s="111"/>
      <c r="E642" s="111"/>
      <c r="F642" s="218"/>
      <c r="G642" s="217"/>
      <c r="H642" s="218"/>
      <c r="I642" s="223"/>
      <c r="J642" s="269"/>
      <c r="K642" s="111"/>
      <c r="L642" s="111"/>
      <c r="M642" s="216"/>
      <c r="N642" s="270"/>
      <c r="O642" s="111"/>
      <c r="P642" s="111"/>
      <c r="Q642" s="218"/>
      <c r="R642" s="111"/>
    </row>
    <row r="643" ht="21.0" customHeight="1">
      <c r="A643" s="218"/>
      <c r="B643" s="219"/>
      <c r="C643" s="216"/>
      <c r="D643" s="111"/>
      <c r="E643" s="111"/>
      <c r="F643" s="218"/>
      <c r="G643" s="217"/>
      <c r="H643" s="218"/>
      <c r="I643" s="223"/>
      <c r="J643" s="269"/>
      <c r="K643" s="111"/>
      <c r="L643" s="111"/>
      <c r="M643" s="216"/>
      <c r="N643" s="270"/>
      <c r="O643" s="111"/>
      <c r="P643" s="111"/>
      <c r="Q643" s="218"/>
      <c r="R643" s="111"/>
    </row>
    <row r="644" ht="21.0" customHeight="1">
      <c r="A644" s="218"/>
      <c r="B644" s="219"/>
      <c r="C644" s="216"/>
      <c r="D644" s="111"/>
      <c r="E644" s="111"/>
      <c r="F644" s="218"/>
      <c r="G644" s="217"/>
      <c r="H644" s="218"/>
      <c r="I644" s="223"/>
      <c r="J644" s="269"/>
      <c r="K644" s="111"/>
      <c r="L644" s="111"/>
      <c r="M644" s="216"/>
      <c r="N644" s="270"/>
      <c r="O644" s="111"/>
      <c r="P644" s="111"/>
      <c r="Q644" s="218"/>
      <c r="R644" s="111"/>
    </row>
    <row r="645" ht="21.0" customHeight="1">
      <c r="A645" s="218"/>
      <c r="B645" s="219"/>
      <c r="C645" s="216"/>
      <c r="D645" s="111"/>
      <c r="E645" s="111"/>
      <c r="F645" s="218"/>
      <c r="G645" s="217"/>
      <c r="H645" s="218"/>
      <c r="I645" s="223"/>
      <c r="J645" s="269"/>
      <c r="K645" s="111"/>
      <c r="L645" s="111"/>
      <c r="M645" s="216"/>
      <c r="N645" s="270"/>
      <c r="O645" s="111"/>
      <c r="P645" s="111"/>
      <c r="Q645" s="218"/>
      <c r="R645" s="111"/>
    </row>
    <row r="646" ht="21.0" customHeight="1">
      <c r="A646" s="218"/>
      <c r="B646" s="219"/>
      <c r="C646" s="216"/>
      <c r="D646" s="111"/>
      <c r="E646" s="111"/>
      <c r="F646" s="218"/>
      <c r="G646" s="217"/>
      <c r="H646" s="218"/>
      <c r="I646" s="223"/>
      <c r="J646" s="269"/>
      <c r="K646" s="111"/>
      <c r="L646" s="111"/>
      <c r="M646" s="216"/>
      <c r="N646" s="270"/>
      <c r="O646" s="111"/>
      <c r="P646" s="111"/>
      <c r="Q646" s="218"/>
      <c r="R646" s="111"/>
    </row>
    <row r="647" ht="21.0" customHeight="1">
      <c r="A647" s="218"/>
      <c r="B647" s="219"/>
      <c r="C647" s="216"/>
      <c r="D647" s="111"/>
      <c r="E647" s="111"/>
      <c r="F647" s="218"/>
      <c r="G647" s="217"/>
      <c r="H647" s="218"/>
      <c r="I647" s="223"/>
      <c r="J647" s="269"/>
      <c r="K647" s="111"/>
      <c r="L647" s="111"/>
      <c r="M647" s="216"/>
      <c r="N647" s="270"/>
      <c r="O647" s="111"/>
      <c r="P647" s="111"/>
      <c r="Q647" s="218"/>
      <c r="R647" s="111"/>
    </row>
    <row r="648" ht="21.0" customHeight="1">
      <c r="A648" s="218"/>
      <c r="B648" s="219"/>
      <c r="C648" s="216"/>
      <c r="D648" s="111"/>
      <c r="E648" s="111"/>
      <c r="F648" s="218"/>
      <c r="G648" s="217"/>
      <c r="H648" s="218"/>
      <c r="I648" s="223"/>
      <c r="J648" s="269"/>
      <c r="K648" s="111"/>
      <c r="L648" s="111"/>
      <c r="M648" s="216"/>
      <c r="N648" s="270"/>
      <c r="O648" s="111"/>
      <c r="P648" s="111"/>
      <c r="Q648" s="218"/>
      <c r="R648" s="111"/>
    </row>
    <row r="649" ht="21.0" customHeight="1">
      <c r="A649" s="218"/>
      <c r="B649" s="219"/>
      <c r="C649" s="216"/>
      <c r="D649" s="111"/>
      <c r="E649" s="111"/>
      <c r="F649" s="218"/>
      <c r="G649" s="217"/>
      <c r="H649" s="218"/>
      <c r="I649" s="223"/>
      <c r="J649" s="269"/>
      <c r="K649" s="111"/>
      <c r="L649" s="111"/>
      <c r="M649" s="216"/>
      <c r="N649" s="270"/>
      <c r="O649" s="111"/>
      <c r="P649" s="111"/>
      <c r="Q649" s="218"/>
      <c r="R649" s="111"/>
    </row>
    <row r="650" ht="21.0" customHeight="1">
      <c r="A650" s="218"/>
      <c r="B650" s="219"/>
      <c r="C650" s="216"/>
      <c r="D650" s="111"/>
      <c r="E650" s="111"/>
      <c r="F650" s="218"/>
      <c r="G650" s="217"/>
      <c r="H650" s="218"/>
      <c r="I650" s="223"/>
      <c r="J650" s="269"/>
      <c r="K650" s="111"/>
      <c r="L650" s="111"/>
      <c r="M650" s="216"/>
      <c r="N650" s="270"/>
      <c r="O650" s="111"/>
      <c r="P650" s="111"/>
      <c r="Q650" s="218"/>
      <c r="R650" s="111"/>
    </row>
    <row r="651" ht="21.0" customHeight="1">
      <c r="A651" s="218"/>
      <c r="B651" s="219"/>
      <c r="C651" s="216"/>
      <c r="D651" s="111"/>
      <c r="E651" s="111"/>
      <c r="F651" s="218"/>
      <c r="G651" s="217"/>
      <c r="H651" s="218"/>
      <c r="I651" s="223"/>
      <c r="J651" s="269"/>
      <c r="K651" s="111"/>
      <c r="L651" s="111"/>
      <c r="M651" s="216"/>
      <c r="N651" s="270"/>
      <c r="O651" s="111"/>
      <c r="P651" s="111"/>
      <c r="Q651" s="218"/>
      <c r="R651" s="111"/>
    </row>
    <row r="652" ht="21.0" customHeight="1">
      <c r="A652" s="218"/>
      <c r="B652" s="219"/>
      <c r="C652" s="216"/>
      <c r="D652" s="111"/>
      <c r="E652" s="111"/>
      <c r="F652" s="218"/>
      <c r="G652" s="217"/>
      <c r="H652" s="218"/>
      <c r="I652" s="223"/>
      <c r="J652" s="269"/>
      <c r="K652" s="111"/>
      <c r="L652" s="111"/>
      <c r="M652" s="216"/>
      <c r="N652" s="270"/>
      <c r="O652" s="111"/>
      <c r="P652" s="111"/>
      <c r="Q652" s="218"/>
      <c r="R652" s="111"/>
    </row>
    <row r="653" ht="21.0" customHeight="1">
      <c r="A653" s="218"/>
      <c r="B653" s="219"/>
      <c r="C653" s="216"/>
      <c r="D653" s="111"/>
      <c r="E653" s="111"/>
      <c r="F653" s="218"/>
      <c r="G653" s="217"/>
      <c r="H653" s="218"/>
      <c r="I653" s="223"/>
      <c r="J653" s="269"/>
      <c r="K653" s="111"/>
      <c r="L653" s="111"/>
      <c r="M653" s="216"/>
      <c r="N653" s="270"/>
      <c r="O653" s="111"/>
      <c r="P653" s="111"/>
      <c r="Q653" s="218"/>
      <c r="R653" s="111"/>
    </row>
    <row r="654" ht="21.0" customHeight="1">
      <c r="A654" s="218"/>
      <c r="B654" s="219"/>
      <c r="C654" s="216"/>
      <c r="D654" s="111"/>
      <c r="E654" s="111"/>
      <c r="F654" s="218"/>
      <c r="G654" s="217"/>
      <c r="H654" s="218"/>
      <c r="I654" s="223"/>
      <c r="J654" s="269"/>
      <c r="K654" s="111"/>
      <c r="L654" s="111"/>
      <c r="M654" s="216"/>
      <c r="N654" s="270"/>
      <c r="O654" s="111"/>
      <c r="P654" s="111"/>
      <c r="Q654" s="218"/>
      <c r="R654" s="111"/>
    </row>
    <row r="655" ht="21.0" customHeight="1">
      <c r="A655" s="218"/>
      <c r="B655" s="219"/>
      <c r="C655" s="216"/>
      <c r="D655" s="111"/>
      <c r="E655" s="111"/>
      <c r="F655" s="218"/>
      <c r="G655" s="217"/>
      <c r="H655" s="218"/>
      <c r="I655" s="223"/>
      <c r="J655" s="269"/>
      <c r="K655" s="111"/>
      <c r="L655" s="111"/>
      <c r="M655" s="216"/>
      <c r="N655" s="270"/>
      <c r="O655" s="111"/>
      <c r="P655" s="111"/>
      <c r="Q655" s="218"/>
      <c r="R655" s="111"/>
    </row>
    <row r="656" ht="21.0" customHeight="1">
      <c r="A656" s="218"/>
      <c r="B656" s="219"/>
      <c r="C656" s="216"/>
      <c r="D656" s="111"/>
      <c r="E656" s="111"/>
      <c r="F656" s="218"/>
      <c r="G656" s="217"/>
      <c r="H656" s="218"/>
      <c r="I656" s="223"/>
      <c r="J656" s="269"/>
      <c r="K656" s="111"/>
      <c r="L656" s="111"/>
      <c r="M656" s="216"/>
      <c r="N656" s="270"/>
      <c r="O656" s="111"/>
      <c r="P656" s="111"/>
      <c r="Q656" s="218"/>
      <c r="R656" s="111"/>
    </row>
    <row r="657" ht="21.0" customHeight="1">
      <c r="A657" s="218"/>
      <c r="B657" s="219"/>
      <c r="C657" s="216"/>
      <c r="D657" s="111"/>
      <c r="E657" s="111"/>
      <c r="F657" s="218"/>
      <c r="G657" s="217"/>
      <c r="H657" s="218"/>
      <c r="I657" s="223"/>
      <c r="J657" s="269"/>
      <c r="K657" s="111"/>
      <c r="L657" s="111"/>
      <c r="M657" s="216"/>
      <c r="N657" s="270"/>
      <c r="O657" s="111"/>
      <c r="P657" s="111"/>
      <c r="Q657" s="218"/>
      <c r="R657" s="111"/>
    </row>
    <row r="658" ht="21.0" customHeight="1">
      <c r="A658" s="218"/>
      <c r="B658" s="219"/>
      <c r="C658" s="216"/>
      <c r="D658" s="111"/>
      <c r="E658" s="111"/>
      <c r="F658" s="218"/>
      <c r="G658" s="217"/>
      <c r="H658" s="218"/>
      <c r="I658" s="223"/>
      <c r="J658" s="269"/>
      <c r="K658" s="111"/>
      <c r="L658" s="111"/>
      <c r="M658" s="216"/>
      <c r="N658" s="270"/>
      <c r="O658" s="111"/>
      <c r="P658" s="111"/>
      <c r="Q658" s="218"/>
      <c r="R658" s="111"/>
    </row>
    <row r="659" ht="21.0" customHeight="1">
      <c r="A659" s="218"/>
      <c r="B659" s="219"/>
      <c r="C659" s="216"/>
      <c r="D659" s="111"/>
      <c r="E659" s="111"/>
      <c r="F659" s="218"/>
      <c r="G659" s="217"/>
      <c r="H659" s="218"/>
      <c r="I659" s="223"/>
      <c r="J659" s="269"/>
      <c r="K659" s="111"/>
      <c r="L659" s="111"/>
      <c r="M659" s="216"/>
      <c r="N659" s="270"/>
      <c r="O659" s="111"/>
      <c r="P659" s="111"/>
      <c r="Q659" s="218"/>
      <c r="R659" s="111"/>
    </row>
    <row r="660" ht="21.0" customHeight="1">
      <c r="A660" s="218"/>
      <c r="B660" s="219"/>
      <c r="C660" s="216"/>
      <c r="D660" s="111"/>
      <c r="E660" s="111"/>
      <c r="F660" s="218"/>
      <c r="G660" s="217"/>
      <c r="H660" s="218"/>
      <c r="I660" s="223"/>
      <c r="J660" s="269"/>
      <c r="K660" s="111"/>
      <c r="L660" s="111"/>
      <c r="M660" s="216"/>
      <c r="N660" s="270"/>
      <c r="O660" s="111"/>
      <c r="P660" s="111"/>
      <c r="Q660" s="218"/>
      <c r="R660" s="111"/>
    </row>
    <row r="661" ht="21.0" customHeight="1">
      <c r="A661" s="218"/>
      <c r="B661" s="219"/>
      <c r="C661" s="216"/>
      <c r="D661" s="111"/>
      <c r="E661" s="111"/>
      <c r="F661" s="218"/>
      <c r="G661" s="217"/>
      <c r="H661" s="218"/>
      <c r="I661" s="223"/>
      <c r="J661" s="269"/>
      <c r="K661" s="111"/>
      <c r="L661" s="111"/>
      <c r="M661" s="216"/>
      <c r="N661" s="270"/>
      <c r="O661" s="111"/>
      <c r="P661" s="111"/>
      <c r="Q661" s="218"/>
      <c r="R661" s="111"/>
    </row>
    <row r="662" ht="21.0" customHeight="1">
      <c r="A662" s="218"/>
      <c r="B662" s="219"/>
      <c r="C662" s="216"/>
      <c r="D662" s="111"/>
      <c r="E662" s="111"/>
      <c r="F662" s="218"/>
      <c r="G662" s="217"/>
      <c r="H662" s="218"/>
      <c r="I662" s="223"/>
      <c r="J662" s="269"/>
      <c r="K662" s="111"/>
      <c r="L662" s="111"/>
      <c r="M662" s="216"/>
      <c r="N662" s="270"/>
      <c r="O662" s="111"/>
      <c r="P662" s="111"/>
      <c r="Q662" s="218"/>
      <c r="R662" s="111"/>
    </row>
    <row r="663" ht="21.0" customHeight="1">
      <c r="A663" s="218"/>
      <c r="B663" s="219"/>
      <c r="C663" s="216"/>
      <c r="D663" s="111"/>
      <c r="E663" s="111"/>
      <c r="F663" s="218"/>
      <c r="G663" s="217"/>
      <c r="H663" s="218"/>
      <c r="I663" s="223"/>
      <c r="J663" s="269"/>
      <c r="K663" s="111"/>
      <c r="L663" s="111"/>
      <c r="M663" s="216"/>
      <c r="N663" s="270"/>
      <c r="O663" s="111"/>
      <c r="P663" s="111"/>
      <c r="Q663" s="218"/>
      <c r="R663" s="111"/>
    </row>
    <row r="664" ht="21.0" customHeight="1">
      <c r="A664" s="218"/>
      <c r="B664" s="219"/>
      <c r="C664" s="216"/>
      <c r="D664" s="111"/>
      <c r="E664" s="111"/>
      <c r="F664" s="218"/>
      <c r="G664" s="217"/>
      <c r="H664" s="218"/>
      <c r="I664" s="223"/>
      <c r="J664" s="269"/>
      <c r="K664" s="111"/>
      <c r="L664" s="111"/>
      <c r="M664" s="216"/>
      <c r="N664" s="270"/>
      <c r="O664" s="111"/>
      <c r="P664" s="111"/>
      <c r="Q664" s="218"/>
      <c r="R664" s="111"/>
    </row>
    <row r="665" ht="21.0" customHeight="1">
      <c r="A665" s="218"/>
      <c r="B665" s="219"/>
      <c r="C665" s="216"/>
      <c r="D665" s="111"/>
      <c r="E665" s="111"/>
      <c r="F665" s="218"/>
      <c r="G665" s="217"/>
      <c r="H665" s="218"/>
      <c r="I665" s="223"/>
      <c r="J665" s="269"/>
      <c r="K665" s="111"/>
      <c r="L665" s="111"/>
      <c r="M665" s="216"/>
      <c r="N665" s="270"/>
      <c r="O665" s="111"/>
      <c r="P665" s="111"/>
      <c r="Q665" s="218"/>
      <c r="R665" s="111"/>
    </row>
    <row r="666" ht="21.0" customHeight="1">
      <c r="A666" s="218"/>
      <c r="B666" s="219"/>
      <c r="C666" s="216"/>
      <c r="D666" s="111"/>
      <c r="E666" s="111"/>
      <c r="F666" s="218"/>
      <c r="G666" s="217"/>
      <c r="H666" s="218"/>
      <c r="I666" s="223"/>
      <c r="J666" s="269"/>
      <c r="K666" s="111"/>
      <c r="L666" s="111"/>
      <c r="M666" s="216"/>
      <c r="N666" s="270"/>
      <c r="O666" s="111"/>
      <c r="P666" s="111"/>
      <c r="Q666" s="218"/>
      <c r="R666" s="111"/>
    </row>
    <row r="667" ht="21.0" customHeight="1">
      <c r="A667" s="218"/>
      <c r="B667" s="219"/>
      <c r="C667" s="216"/>
      <c r="D667" s="111"/>
      <c r="E667" s="111"/>
      <c r="F667" s="218"/>
      <c r="G667" s="217"/>
      <c r="H667" s="218"/>
      <c r="I667" s="223"/>
      <c r="J667" s="269"/>
      <c r="K667" s="111"/>
      <c r="L667" s="111"/>
      <c r="M667" s="216"/>
      <c r="N667" s="270"/>
      <c r="O667" s="111"/>
      <c r="P667" s="111"/>
      <c r="Q667" s="218"/>
      <c r="R667" s="111"/>
    </row>
    <row r="668" ht="21.0" customHeight="1">
      <c r="A668" s="218"/>
      <c r="B668" s="219"/>
      <c r="C668" s="216"/>
      <c r="D668" s="111"/>
      <c r="E668" s="111"/>
      <c r="F668" s="218"/>
      <c r="G668" s="217"/>
      <c r="H668" s="218"/>
      <c r="I668" s="223"/>
      <c r="J668" s="269"/>
      <c r="K668" s="111"/>
      <c r="L668" s="111"/>
      <c r="M668" s="216"/>
      <c r="N668" s="270"/>
      <c r="O668" s="111"/>
      <c r="P668" s="111"/>
      <c r="Q668" s="218"/>
      <c r="R668" s="111"/>
    </row>
    <row r="669" ht="21.0" customHeight="1">
      <c r="A669" s="218"/>
      <c r="B669" s="219"/>
      <c r="C669" s="216"/>
      <c r="D669" s="111"/>
      <c r="E669" s="111"/>
      <c r="F669" s="218"/>
      <c r="G669" s="217"/>
      <c r="H669" s="218"/>
      <c r="I669" s="223"/>
      <c r="J669" s="269"/>
      <c r="K669" s="111"/>
      <c r="L669" s="111"/>
      <c r="M669" s="216"/>
      <c r="N669" s="270"/>
      <c r="O669" s="111"/>
      <c r="P669" s="111"/>
      <c r="Q669" s="218"/>
      <c r="R669" s="111"/>
    </row>
    <row r="670" ht="21.0" customHeight="1">
      <c r="A670" s="218"/>
      <c r="B670" s="219"/>
      <c r="C670" s="216"/>
      <c r="D670" s="111"/>
      <c r="E670" s="111"/>
      <c r="F670" s="218"/>
      <c r="G670" s="217"/>
      <c r="H670" s="218"/>
      <c r="I670" s="223"/>
      <c r="J670" s="269"/>
      <c r="K670" s="111"/>
      <c r="L670" s="111"/>
      <c r="M670" s="216"/>
      <c r="N670" s="270"/>
      <c r="O670" s="111"/>
      <c r="P670" s="111"/>
      <c r="Q670" s="218"/>
      <c r="R670" s="111"/>
    </row>
    <row r="671" ht="21.0" customHeight="1">
      <c r="A671" s="218"/>
      <c r="B671" s="219"/>
      <c r="C671" s="216"/>
      <c r="D671" s="111"/>
      <c r="E671" s="111"/>
      <c r="F671" s="218"/>
      <c r="G671" s="217"/>
      <c r="H671" s="218"/>
      <c r="I671" s="223"/>
      <c r="J671" s="269"/>
      <c r="K671" s="111"/>
      <c r="L671" s="111"/>
      <c r="M671" s="216"/>
      <c r="N671" s="270"/>
      <c r="O671" s="111"/>
      <c r="P671" s="111"/>
      <c r="Q671" s="218"/>
      <c r="R671" s="111"/>
    </row>
    <row r="672" ht="21.0" customHeight="1">
      <c r="A672" s="218"/>
      <c r="B672" s="219"/>
      <c r="C672" s="216"/>
      <c r="D672" s="111"/>
      <c r="E672" s="111"/>
      <c r="F672" s="218"/>
      <c r="G672" s="217"/>
      <c r="H672" s="218"/>
      <c r="I672" s="223"/>
      <c r="J672" s="269"/>
      <c r="K672" s="111"/>
      <c r="L672" s="111"/>
      <c r="M672" s="216"/>
      <c r="N672" s="270"/>
      <c r="O672" s="111"/>
      <c r="P672" s="111"/>
      <c r="Q672" s="218"/>
      <c r="R672" s="111"/>
    </row>
    <row r="673" ht="21.0" customHeight="1">
      <c r="A673" s="218"/>
      <c r="B673" s="219"/>
      <c r="C673" s="216"/>
      <c r="D673" s="111"/>
      <c r="E673" s="111"/>
      <c r="F673" s="218"/>
      <c r="G673" s="217"/>
      <c r="H673" s="218"/>
      <c r="I673" s="223"/>
      <c r="J673" s="269"/>
      <c r="K673" s="111"/>
      <c r="L673" s="111"/>
      <c r="M673" s="216"/>
      <c r="N673" s="270"/>
      <c r="O673" s="111"/>
      <c r="P673" s="111"/>
      <c r="Q673" s="218"/>
      <c r="R673" s="111"/>
    </row>
    <row r="674" ht="21.0" customHeight="1">
      <c r="A674" s="218"/>
      <c r="B674" s="219"/>
      <c r="C674" s="216"/>
      <c r="D674" s="111"/>
      <c r="E674" s="111"/>
      <c r="F674" s="218"/>
      <c r="G674" s="217"/>
      <c r="H674" s="218"/>
      <c r="I674" s="223"/>
      <c r="J674" s="269"/>
      <c r="K674" s="111"/>
      <c r="L674" s="111"/>
      <c r="M674" s="216"/>
      <c r="N674" s="270"/>
      <c r="O674" s="111"/>
      <c r="P674" s="111"/>
      <c r="Q674" s="218"/>
      <c r="R674" s="111"/>
    </row>
    <row r="675" ht="21.0" customHeight="1">
      <c r="A675" s="218"/>
      <c r="B675" s="219"/>
      <c r="C675" s="216"/>
      <c r="D675" s="111"/>
      <c r="E675" s="111"/>
      <c r="F675" s="218"/>
      <c r="G675" s="217"/>
      <c r="H675" s="218"/>
      <c r="I675" s="223"/>
      <c r="J675" s="269"/>
      <c r="K675" s="111"/>
      <c r="L675" s="111"/>
      <c r="M675" s="216"/>
      <c r="N675" s="270"/>
      <c r="O675" s="111"/>
      <c r="P675" s="111"/>
      <c r="Q675" s="218"/>
      <c r="R675" s="111"/>
    </row>
    <row r="676" ht="21.0" customHeight="1">
      <c r="A676" s="218"/>
      <c r="B676" s="219"/>
      <c r="C676" s="216"/>
      <c r="D676" s="111"/>
      <c r="E676" s="111"/>
      <c r="F676" s="218"/>
      <c r="G676" s="217"/>
      <c r="H676" s="218"/>
      <c r="I676" s="223"/>
      <c r="J676" s="269"/>
      <c r="K676" s="111"/>
      <c r="L676" s="111"/>
      <c r="M676" s="216"/>
      <c r="N676" s="270"/>
      <c r="O676" s="111"/>
      <c r="P676" s="111"/>
      <c r="Q676" s="218"/>
      <c r="R676" s="111"/>
    </row>
    <row r="677" ht="21.0" customHeight="1">
      <c r="A677" s="218"/>
      <c r="B677" s="219"/>
      <c r="C677" s="216"/>
      <c r="D677" s="111"/>
      <c r="E677" s="111"/>
      <c r="F677" s="218"/>
      <c r="G677" s="217"/>
      <c r="H677" s="218"/>
      <c r="I677" s="223"/>
      <c r="J677" s="269"/>
      <c r="K677" s="111"/>
      <c r="L677" s="111"/>
      <c r="M677" s="216"/>
      <c r="N677" s="270"/>
      <c r="O677" s="111"/>
      <c r="P677" s="111"/>
      <c r="Q677" s="218"/>
      <c r="R677" s="111"/>
    </row>
    <row r="678" ht="21.0" customHeight="1">
      <c r="A678" s="218"/>
      <c r="B678" s="219"/>
      <c r="C678" s="216"/>
      <c r="D678" s="111"/>
      <c r="E678" s="111"/>
      <c r="F678" s="218"/>
      <c r="G678" s="217"/>
      <c r="H678" s="218"/>
      <c r="I678" s="223"/>
      <c r="J678" s="269"/>
      <c r="K678" s="111"/>
      <c r="L678" s="111"/>
      <c r="M678" s="216"/>
      <c r="N678" s="270"/>
      <c r="O678" s="111"/>
      <c r="P678" s="111"/>
      <c r="Q678" s="218"/>
      <c r="R678" s="111"/>
    </row>
    <row r="679" ht="21.0" customHeight="1">
      <c r="A679" s="218"/>
      <c r="B679" s="219"/>
      <c r="C679" s="216"/>
      <c r="D679" s="111"/>
      <c r="E679" s="111"/>
      <c r="F679" s="218"/>
      <c r="G679" s="217"/>
      <c r="H679" s="218"/>
      <c r="I679" s="223"/>
      <c r="J679" s="269"/>
      <c r="K679" s="111"/>
      <c r="L679" s="111"/>
      <c r="M679" s="216"/>
      <c r="N679" s="270"/>
      <c r="O679" s="111"/>
      <c r="P679" s="111"/>
      <c r="Q679" s="218"/>
      <c r="R679" s="111"/>
    </row>
    <row r="680" ht="21.0" customHeight="1">
      <c r="A680" s="218"/>
      <c r="B680" s="219"/>
      <c r="C680" s="216"/>
      <c r="D680" s="111"/>
      <c r="E680" s="111"/>
      <c r="F680" s="218"/>
      <c r="G680" s="217"/>
      <c r="H680" s="218"/>
      <c r="I680" s="223"/>
      <c r="J680" s="269"/>
      <c r="K680" s="111"/>
      <c r="L680" s="111"/>
      <c r="M680" s="216"/>
      <c r="N680" s="270"/>
      <c r="O680" s="111"/>
      <c r="P680" s="111"/>
      <c r="Q680" s="218"/>
      <c r="R680" s="111"/>
    </row>
    <row r="681" ht="21.0" customHeight="1">
      <c r="A681" s="218"/>
      <c r="B681" s="219"/>
      <c r="C681" s="216"/>
      <c r="D681" s="111"/>
      <c r="E681" s="111"/>
      <c r="F681" s="218"/>
      <c r="G681" s="217"/>
      <c r="H681" s="218"/>
      <c r="I681" s="223"/>
      <c r="J681" s="269"/>
      <c r="K681" s="111"/>
      <c r="L681" s="111"/>
      <c r="M681" s="216"/>
      <c r="N681" s="270"/>
      <c r="O681" s="111"/>
      <c r="P681" s="111"/>
      <c r="Q681" s="218"/>
      <c r="R681" s="111"/>
    </row>
    <row r="682" ht="21.0" customHeight="1">
      <c r="A682" s="218"/>
      <c r="B682" s="219"/>
      <c r="C682" s="216"/>
      <c r="D682" s="111"/>
      <c r="E682" s="111"/>
      <c r="F682" s="218"/>
      <c r="G682" s="217"/>
      <c r="H682" s="218"/>
      <c r="I682" s="223"/>
      <c r="J682" s="269"/>
      <c r="K682" s="111"/>
      <c r="L682" s="111"/>
      <c r="M682" s="216"/>
      <c r="N682" s="270"/>
      <c r="O682" s="111"/>
      <c r="P682" s="111"/>
      <c r="Q682" s="218"/>
      <c r="R682" s="111"/>
    </row>
    <row r="683" ht="21.0" customHeight="1">
      <c r="A683" s="218"/>
      <c r="B683" s="219"/>
      <c r="C683" s="216"/>
      <c r="D683" s="111"/>
      <c r="E683" s="111"/>
      <c r="F683" s="218"/>
      <c r="G683" s="217"/>
      <c r="H683" s="218"/>
      <c r="I683" s="223"/>
      <c r="J683" s="269"/>
      <c r="K683" s="111"/>
      <c r="L683" s="111"/>
      <c r="M683" s="216"/>
      <c r="N683" s="270"/>
      <c r="O683" s="111"/>
      <c r="P683" s="111"/>
      <c r="Q683" s="218"/>
      <c r="R683" s="111"/>
    </row>
    <row r="684" ht="21.0" customHeight="1">
      <c r="A684" s="218"/>
      <c r="B684" s="219"/>
      <c r="C684" s="216"/>
      <c r="D684" s="111"/>
      <c r="E684" s="111"/>
      <c r="F684" s="218"/>
      <c r="G684" s="217"/>
      <c r="H684" s="218"/>
      <c r="I684" s="223"/>
      <c r="J684" s="269"/>
      <c r="K684" s="111"/>
      <c r="L684" s="111"/>
      <c r="M684" s="216"/>
      <c r="N684" s="270"/>
      <c r="O684" s="111"/>
      <c r="P684" s="111"/>
      <c r="Q684" s="218"/>
      <c r="R684" s="111"/>
    </row>
    <row r="685" ht="21.0" customHeight="1">
      <c r="A685" s="218"/>
      <c r="B685" s="219"/>
      <c r="C685" s="216"/>
      <c r="D685" s="111"/>
      <c r="E685" s="111"/>
      <c r="F685" s="218"/>
      <c r="G685" s="217"/>
      <c r="H685" s="218"/>
      <c r="I685" s="223"/>
      <c r="J685" s="269"/>
      <c r="K685" s="111"/>
      <c r="L685" s="111"/>
      <c r="M685" s="216"/>
      <c r="N685" s="270"/>
      <c r="O685" s="111"/>
      <c r="P685" s="111"/>
      <c r="Q685" s="218"/>
      <c r="R685" s="111"/>
    </row>
    <row r="686" ht="21.0" customHeight="1">
      <c r="A686" s="218"/>
      <c r="B686" s="219"/>
      <c r="C686" s="216"/>
      <c r="D686" s="111"/>
      <c r="E686" s="111"/>
      <c r="F686" s="218"/>
      <c r="G686" s="217"/>
      <c r="H686" s="218"/>
      <c r="I686" s="223"/>
      <c r="J686" s="269"/>
      <c r="K686" s="111"/>
      <c r="L686" s="111"/>
      <c r="M686" s="216"/>
      <c r="N686" s="270"/>
      <c r="O686" s="111"/>
      <c r="P686" s="111"/>
      <c r="Q686" s="218"/>
      <c r="R686" s="111"/>
    </row>
    <row r="687" ht="21.0" customHeight="1">
      <c r="A687" s="218"/>
      <c r="B687" s="219"/>
      <c r="C687" s="216"/>
      <c r="D687" s="111"/>
      <c r="E687" s="111"/>
      <c r="F687" s="218"/>
      <c r="G687" s="217"/>
      <c r="H687" s="218"/>
      <c r="I687" s="223"/>
      <c r="J687" s="269"/>
      <c r="K687" s="111"/>
      <c r="L687" s="111"/>
      <c r="M687" s="216"/>
      <c r="N687" s="270"/>
      <c r="O687" s="111"/>
      <c r="P687" s="111"/>
      <c r="Q687" s="218"/>
      <c r="R687" s="111"/>
    </row>
    <row r="688" ht="21.0" customHeight="1">
      <c r="A688" s="218"/>
      <c r="B688" s="219"/>
      <c r="C688" s="216"/>
      <c r="D688" s="111"/>
      <c r="E688" s="111"/>
      <c r="F688" s="218"/>
      <c r="G688" s="217"/>
      <c r="H688" s="218"/>
      <c r="I688" s="223"/>
      <c r="J688" s="269"/>
      <c r="K688" s="111"/>
      <c r="L688" s="111"/>
      <c r="M688" s="216"/>
      <c r="N688" s="270"/>
      <c r="O688" s="111"/>
      <c r="P688" s="111"/>
      <c r="Q688" s="218"/>
      <c r="R688" s="111"/>
    </row>
    <row r="689" ht="21.0" customHeight="1">
      <c r="A689" s="218"/>
      <c r="B689" s="219"/>
      <c r="C689" s="216"/>
      <c r="D689" s="111"/>
      <c r="E689" s="111"/>
      <c r="F689" s="218"/>
      <c r="G689" s="217"/>
      <c r="H689" s="218"/>
      <c r="I689" s="223"/>
      <c r="J689" s="269"/>
      <c r="K689" s="111"/>
      <c r="L689" s="111"/>
      <c r="M689" s="216"/>
      <c r="N689" s="270"/>
      <c r="O689" s="111"/>
      <c r="P689" s="111"/>
      <c r="Q689" s="218"/>
      <c r="R689" s="111"/>
    </row>
    <row r="690" ht="21.0" customHeight="1">
      <c r="A690" s="218"/>
      <c r="B690" s="219"/>
      <c r="C690" s="216"/>
      <c r="D690" s="111"/>
      <c r="E690" s="111"/>
      <c r="F690" s="218"/>
      <c r="G690" s="217"/>
      <c r="H690" s="218"/>
      <c r="I690" s="223"/>
      <c r="J690" s="269"/>
      <c r="K690" s="111"/>
      <c r="L690" s="111"/>
      <c r="M690" s="216"/>
      <c r="N690" s="270"/>
      <c r="O690" s="111"/>
      <c r="P690" s="111"/>
      <c r="Q690" s="218"/>
      <c r="R690" s="111"/>
    </row>
    <row r="691" ht="21.0" customHeight="1">
      <c r="A691" s="218"/>
      <c r="B691" s="219"/>
      <c r="C691" s="216"/>
      <c r="D691" s="111"/>
      <c r="E691" s="111"/>
      <c r="F691" s="218"/>
      <c r="G691" s="217"/>
      <c r="H691" s="218"/>
      <c r="I691" s="223"/>
      <c r="J691" s="269"/>
      <c r="K691" s="111"/>
      <c r="L691" s="111"/>
      <c r="M691" s="216"/>
      <c r="N691" s="270"/>
      <c r="O691" s="111"/>
      <c r="P691" s="111"/>
      <c r="Q691" s="218"/>
      <c r="R691" s="111"/>
    </row>
    <row r="692" ht="21.0" customHeight="1">
      <c r="A692" s="218"/>
      <c r="B692" s="219"/>
      <c r="C692" s="216"/>
      <c r="D692" s="111"/>
      <c r="E692" s="111"/>
      <c r="F692" s="218"/>
      <c r="G692" s="217"/>
      <c r="H692" s="218"/>
      <c r="I692" s="223"/>
      <c r="J692" s="269"/>
      <c r="K692" s="111"/>
      <c r="L692" s="111"/>
      <c r="M692" s="216"/>
      <c r="N692" s="270"/>
      <c r="O692" s="111"/>
      <c r="P692" s="111"/>
      <c r="Q692" s="218"/>
      <c r="R692" s="111"/>
    </row>
    <row r="693" ht="21.0" customHeight="1">
      <c r="A693" s="218"/>
      <c r="B693" s="219"/>
      <c r="C693" s="216"/>
      <c r="D693" s="111"/>
      <c r="E693" s="111"/>
      <c r="F693" s="218"/>
      <c r="G693" s="217"/>
      <c r="H693" s="218"/>
      <c r="I693" s="223"/>
      <c r="J693" s="269"/>
      <c r="K693" s="111"/>
      <c r="L693" s="111"/>
      <c r="M693" s="216"/>
      <c r="N693" s="270"/>
      <c r="O693" s="111"/>
      <c r="P693" s="111"/>
      <c r="Q693" s="218"/>
      <c r="R693" s="111"/>
    </row>
    <row r="694" ht="21.0" customHeight="1">
      <c r="A694" s="218"/>
      <c r="B694" s="219"/>
      <c r="C694" s="216"/>
      <c r="D694" s="111"/>
      <c r="E694" s="111"/>
      <c r="F694" s="218"/>
      <c r="G694" s="217"/>
      <c r="H694" s="218"/>
      <c r="I694" s="223"/>
      <c r="J694" s="269"/>
      <c r="K694" s="111"/>
      <c r="L694" s="111"/>
      <c r="M694" s="216"/>
      <c r="N694" s="270"/>
      <c r="O694" s="111"/>
      <c r="P694" s="111"/>
      <c r="Q694" s="218"/>
      <c r="R694" s="111"/>
    </row>
    <row r="695" ht="21.0" customHeight="1">
      <c r="A695" s="218"/>
      <c r="B695" s="219"/>
      <c r="C695" s="216"/>
      <c r="D695" s="111"/>
      <c r="E695" s="111"/>
      <c r="F695" s="218"/>
      <c r="G695" s="217"/>
      <c r="H695" s="218"/>
      <c r="I695" s="223"/>
      <c r="J695" s="269"/>
      <c r="K695" s="111"/>
      <c r="L695" s="111"/>
      <c r="M695" s="216"/>
      <c r="N695" s="270"/>
      <c r="O695" s="111"/>
      <c r="P695" s="111"/>
      <c r="Q695" s="218"/>
      <c r="R695" s="111"/>
    </row>
    <row r="696" ht="21.0" customHeight="1">
      <c r="A696" s="218"/>
      <c r="B696" s="219"/>
      <c r="C696" s="216"/>
      <c r="D696" s="111"/>
      <c r="E696" s="111"/>
      <c r="F696" s="218"/>
      <c r="G696" s="217"/>
      <c r="H696" s="218"/>
      <c r="I696" s="223"/>
      <c r="J696" s="269"/>
      <c r="K696" s="111"/>
      <c r="L696" s="111"/>
      <c r="M696" s="216"/>
      <c r="N696" s="270"/>
      <c r="O696" s="111"/>
      <c r="P696" s="111"/>
      <c r="Q696" s="218"/>
      <c r="R696" s="111"/>
    </row>
    <row r="697" ht="21.0" customHeight="1">
      <c r="A697" s="218"/>
      <c r="B697" s="219"/>
      <c r="C697" s="216"/>
      <c r="D697" s="111"/>
      <c r="E697" s="111"/>
      <c r="F697" s="218"/>
      <c r="G697" s="217"/>
      <c r="H697" s="218"/>
      <c r="I697" s="223"/>
      <c r="J697" s="269"/>
      <c r="K697" s="111"/>
      <c r="L697" s="111"/>
      <c r="M697" s="216"/>
      <c r="N697" s="270"/>
      <c r="O697" s="111"/>
      <c r="P697" s="111"/>
      <c r="Q697" s="218"/>
      <c r="R697" s="111"/>
    </row>
    <row r="698" ht="21.0" customHeight="1">
      <c r="A698" s="218"/>
      <c r="B698" s="219"/>
      <c r="C698" s="216"/>
      <c r="D698" s="111"/>
      <c r="E698" s="111"/>
      <c r="F698" s="218"/>
      <c r="G698" s="217"/>
      <c r="H698" s="218"/>
      <c r="I698" s="223"/>
      <c r="J698" s="269"/>
      <c r="K698" s="111"/>
      <c r="L698" s="111"/>
      <c r="M698" s="216"/>
      <c r="N698" s="270"/>
      <c r="O698" s="111"/>
      <c r="P698" s="111"/>
      <c r="Q698" s="218"/>
      <c r="R698" s="111"/>
    </row>
    <row r="699" ht="21.0" customHeight="1">
      <c r="A699" s="218"/>
      <c r="B699" s="219"/>
      <c r="C699" s="216"/>
      <c r="D699" s="111"/>
      <c r="E699" s="111"/>
      <c r="F699" s="218"/>
      <c r="G699" s="217"/>
      <c r="H699" s="218"/>
      <c r="I699" s="223"/>
      <c r="J699" s="269"/>
      <c r="K699" s="111"/>
      <c r="L699" s="111"/>
      <c r="M699" s="216"/>
      <c r="N699" s="270"/>
      <c r="O699" s="111"/>
      <c r="P699" s="111"/>
      <c r="Q699" s="218"/>
      <c r="R699" s="111"/>
    </row>
    <row r="700" ht="21.0" customHeight="1">
      <c r="A700" s="218"/>
      <c r="B700" s="219"/>
      <c r="C700" s="216"/>
      <c r="D700" s="111"/>
      <c r="E700" s="111"/>
      <c r="F700" s="218"/>
      <c r="G700" s="217"/>
      <c r="H700" s="218"/>
      <c r="I700" s="223"/>
      <c r="J700" s="269"/>
      <c r="K700" s="111"/>
      <c r="L700" s="111"/>
      <c r="M700" s="216"/>
      <c r="N700" s="270"/>
      <c r="O700" s="111"/>
      <c r="P700" s="111"/>
      <c r="Q700" s="218"/>
      <c r="R700" s="111"/>
    </row>
    <row r="701" ht="21.0" customHeight="1">
      <c r="A701" s="218"/>
      <c r="B701" s="219"/>
      <c r="C701" s="216"/>
      <c r="D701" s="111"/>
      <c r="E701" s="111"/>
      <c r="F701" s="218"/>
      <c r="G701" s="217"/>
      <c r="H701" s="218"/>
      <c r="I701" s="223"/>
      <c r="J701" s="269"/>
      <c r="K701" s="111"/>
      <c r="L701" s="111"/>
      <c r="M701" s="216"/>
      <c r="N701" s="270"/>
      <c r="O701" s="111"/>
      <c r="P701" s="111"/>
      <c r="Q701" s="218"/>
      <c r="R701" s="111"/>
    </row>
    <row r="702" ht="21.0" customHeight="1">
      <c r="A702" s="218"/>
      <c r="B702" s="219"/>
      <c r="C702" s="216"/>
      <c r="D702" s="111"/>
      <c r="E702" s="111"/>
      <c r="F702" s="218"/>
      <c r="G702" s="217"/>
      <c r="H702" s="218"/>
      <c r="I702" s="223"/>
      <c r="J702" s="269"/>
      <c r="K702" s="111"/>
      <c r="L702" s="111"/>
      <c r="M702" s="216"/>
      <c r="N702" s="270"/>
      <c r="O702" s="111"/>
      <c r="P702" s="111"/>
      <c r="Q702" s="218"/>
      <c r="R702" s="111"/>
    </row>
    <row r="703" ht="21.0" customHeight="1">
      <c r="A703" s="218"/>
      <c r="B703" s="219"/>
      <c r="C703" s="216"/>
      <c r="D703" s="111"/>
      <c r="E703" s="111"/>
      <c r="F703" s="218"/>
      <c r="G703" s="217"/>
      <c r="H703" s="218"/>
      <c r="I703" s="223"/>
      <c r="J703" s="269"/>
      <c r="K703" s="111"/>
      <c r="L703" s="111"/>
      <c r="M703" s="216"/>
      <c r="N703" s="270"/>
      <c r="O703" s="111"/>
      <c r="P703" s="111"/>
      <c r="Q703" s="218"/>
      <c r="R703" s="111"/>
    </row>
    <row r="704" ht="21.0" customHeight="1">
      <c r="A704" s="218"/>
      <c r="B704" s="219"/>
      <c r="C704" s="216"/>
      <c r="D704" s="111"/>
      <c r="E704" s="111"/>
      <c r="F704" s="218"/>
      <c r="G704" s="217"/>
      <c r="H704" s="218"/>
      <c r="I704" s="223"/>
      <c r="J704" s="269"/>
      <c r="K704" s="111"/>
      <c r="L704" s="111"/>
      <c r="M704" s="216"/>
      <c r="N704" s="270"/>
      <c r="O704" s="111"/>
      <c r="P704" s="111"/>
      <c r="Q704" s="218"/>
      <c r="R704" s="111"/>
    </row>
    <row r="705" ht="21.0" customHeight="1">
      <c r="A705" s="218"/>
      <c r="B705" s="219"/>
      <c r="C705" s="216"/>
      <c r="D705" s="111"/>
      <c r="E705" s="111"/>
      <c r="F705" s="218"/>
      <c r="G705" s="217"/>
      <c r="H705" s="218"/>
      <c r="I705" s="223"/>
      <c r="J705" s="269"/>
      <c r="K705" s="111"/>
      <c r="L705" s="111"/>
      <c r="M705" s="216"/>
      <c r="N705" s="270"/>
      <c r="O705" s="111"/>
      <c r="P705" s="111"/>
      <c r="Q705" s="218"/>
      <c r="R705" s="111"/>
    </row>
    <row r="706" ht="21.0" customHeight="1">
      <c r="A706" s="218"/>
      <c r="B706" s="219"/>
      <c r="C706" s="216"/>
      <c r="D706" s="111"/>
      <c r="E706" s="111"/>
      <c r="F706" s="218"/>
      <c r="G706" s="217"/>
      <c r="H706" s="218"/>
      <c r="I706" s="223"/>
      <c r="J706" s="269"/>
      <c r="K706" s="111"/>
      <c r="L706" s="111"/>
      <c r="M706" s="216"/>
      <c r="N706" s="270"/>
      <c r="O706" s="111"/>
      <c r="P706" s="111"/>
      <c r="Q706" s="218"/>
      <c r="R706" s="111"/>
    </row>
    <row r="707" ht="21.0" customHeight="1">
      <c r="A707" s="218"/>
      <c r="B707" s="219"/>
      <c r="C707" s="216"/>
      <c r="D707" s="111"/>
      <c r="E707" s="111"/>
      <c r="F707" s="218"/>
      <c r="G707" s="217"/>
      <c r="H707" s="218"/>
      <c r="I707" s="223"/>
      <c r="J707" s="269"/>
      <c r="K707" s="111"/>
      <c r="L707" s="111"/>
      <c r="M707" s="216"/>
      <c r="N707" s="270"/>
      <c r="O707" s="111"/>
      <c r="P707" s="111"/>
      <c r="Q707" s="218"/>
      <c r="R707" s="111"/>
    </row>
    <row r="708" ht="21.0" customHeight="1">
      <c r="A708" s="218"/>
      <c r="B708" s="219"/>
      <c r="C708" s="216"/>
      <c r="D708" s="111"/>
      <c r="E708" s="111"/>
      <c r="F708" s="218"/>
      <c r="G708" s="217"/>
      <c r="H708" s="218"/>
      <c r="I708" s="223"/>
      <c r="J708" s="269"/>
      <c r="K708" s="111"/>
      <c r="L708" s="111"/>
      <c r="M708" s="216"/>
      <c r="N708" s="270"/>
      <c r="O708" s="111"/>
      <c r="P708" s="111"/>
      <c r="Q708" s="218"/>
      <c r="R708" s="111"/>
    </row>
    <row r="709" ht="21.0" customHeight="1">
      <c r="A709" s="218"/>
      <c r="B709" s="219"/>
      <c r="C709" s="216"/>
      <c r="D709" s="111"/>
      <c r="E709" s="111"/>
      <c r="F709" s="218"/>
      <c r="G709" s="217"/>
      <c r="H709" s="218"/>
      <c r="I709" s="223"/>
      <c r="J709" s="269"/>
      <c r="K709" s="111"/>
      <c r="L709" s="111"/>
      <c r="M709" s="216"/>
      <c r="N709" s="270"/>
      <c r="O709" s="111"/>
      <c r="P709" s="111"/>
      <c r="Q709" s="218"/>
      <c r="R709" s="111"/>
    </row>
    <row r="710" ht="21.0" customHeight="1">
      <c r="A710" s="218"/>
      <c r="B710" s="219"/>
      <c r="C710" s="216"/>
      <c r="D710" s="111"/>
      <c r="E710" s="111"/>
      <c r="F710" s="218"/>
      <c r="G710" s="217"/>
      <c r="H710" s="218"/>
      <c r="I710" s="223"/>
      <c r="J710" s="269"/>
      <c r="K710" s="111"/>
      <c r="L710" s="111"/>
      <c r="M710" s="216"/>
      <c r="N710" s="270"/>
      <c r="O710" s="111"/>
      <c r="P710" s="111"/>
      <c r="Q710" s="218"/>
      <c r="R710" s="111"/>
    </row>
    <row r="711" ht="21.0" customHeight="1">
      <c r="A711" s="218"/>
      <c r="B711" s="219"/>
      <c r="C711" s="216"/>
      <c r="D711" s="111"/>
      <c r="E711" s="111"/>
      <c r="F711" s="218"/>
      <c r="G711" s="217"/>
      <c r="H711" s="218"/>
      <c r="I711" s="223"/>
      <c r="J711" s="269"/>
      <c r="K711" s="111"/>
      <c r="L711" s="111"/>
      <c r="M711" s="216"/>
      <c r="N711" s="270"/>
      <c r="O711" s="111"/>
      <c r="P711" s="111"/>
      <c r="Q711" s="218"/>
      <c r="R711" s="111"/>
    </row>
    <row r="712" ht="21.0" customHeight="1">
      <c r="A712" s="218"/>
      <c r="B712" s="219"/>
      <c r="C712" s="216"/>
      <c r="D712" s="111"/>
      <c r="E712" s="111"/>
      <c r="F712" s="218"/>
      <c r="G712" s="217"/>
      <c r="H712" s="218"/>
      <c r="I712" s="223"/>
      <c r="J712" s="269"/>
      <c r="K712" s="111"/>
      <c r="L712" s="111"/>
      <c r="M712" s="216"/>
      <c r="N712" s="270"/>
      <c r="O712" s="111"/>
      <c r="P712" s="111"/>
      <c r="Q712" s="218"/>
      <c r="R712" s="111"/>
    </row>
    <row r="713" ht="21.0" customHeight="1">
      <c r="A713" s="218"/>
      <c r="B713" s="219"/>
      <c r="C713" s="216"/>
      <c r="D713" s="111"/>
      <c r="E713" s="111"/>
      <c r="F713" s="218"/>
      <c r="G713" s="217"/>
      <c r="H713" s="218"/>
      <c r="I713" s="223"/>
      <c r="J713" s="269"/>
      <c r="K713" s="111"/>
      <c r="L713" s="111"/>
      <c r="M713" s="216"/>
      <c r="N713" s="270"/>
      <c r="O713" s="111"/>
      <c r="P713" s="111"/>
      <c r="Q713" s="218"/>
      <c r="R713" s="111"/>
    </row>
    <row r="714" ht="21.0" customHeight="1">
      <c r="A714" s="218"/>
      <c r="B714" s="219"/>
      <c r="C714" s="216"/>
      <c r="D714" s="111"/>
      <c r="E714" s="111"/>
      <c r="F714" s="218"/>
      <c r="G714" s="217"/>
      <c r="H714" s="218"/>
      <c r="I714" s="223"/>
      <c r="J714" s="269"/>
      <c r="K714" s="111"/>
      <c r="L714" s="111"/>
      <c r="M714" s="216"/>
      <c r="N714" s="270"/>
      <c r="O714" s="111"/>
      <c r="P714" s="111"/>
      <c r="Q714" s="218"/>
      <c r="R714" s="111"/>
    </row>
    <row r="715" ht="21.0" customHeight="1">
      <c r="A715" s="218"/>
      <c r="B715" s="219"/>
      <c r="C715" s="216"/>
      <c r="D715" s="111"/>
      <c r="E715" s="111"/>
      <c r="F715" s="218"/>
      <c r="G715" s="217"/>
      <c r="H715" s="218"/>
      <c r="I715" s="223"/>
      <c r="J715" s="269"/>
      <c r="K715" s="111"/>
      <c r="L715" s="111"/>
      <c r="M715" s="216"/>
      <c r="N715" s="270"/>
      <c r="O715" s="111"/>
      <c r="P715" s="111"/>
      <c r="Q715" s="218"/>
      <c r="R715" s="111"/>
    </row>
    <row r="716" ht="21.0" customHeight="1">
      <c r="A716" s="218"/>
      <c r="B716" s="219"/>
      <c r="C716" s="216"/>
      <c r="D716" s="111"/>
      <c r="E716" s="111"/>
      <c r="F716" s="218"/>
      <c r="G716" s="217"/>
      <c r="H716" s="218"/>
      <c r="I716" s="223"/>
      <c r="J716" s="269"/>
      <c r="K716" s="111"/>
      <c r="L716" s="111"/>
      <c r="M716" s="216"/>
      <c r="N716" s="270"/>
      <c r="O716" s="111"/>
      <c r="P716" s="111"/>
      <c r="Q716" s="218"/>
      <c r="R716" s="111"/>
    </row>
    <row r="717" ht="21.0" customHeight="1">
      <c r="A717" s="218"/>
      <c r="B717" s="219"/>
      <c r="C717" s="216"/>
      <c r="D717" s="111"/>
      <c r="E717" s="111"/>
      <c r="F717" s="218"/>
      <c r="G717" s="217"/>
      <c r="H717" s="218"/>
      <c r="I717" s="223"/>
      <c r="J717" s="269"/>
      <c r="K717" s="111"/>
      <c r="L717" s="111"/>
      <c r="M717" s="216"/>
      <c r="N717" s="270"/>
      <c r="O717" s="111"/>
      <c r="P717" s="111"/>
      <c r="Q717" s="218"/>
      <c r="R717" s="111"/>
    </row>
    <row r="718" ht="21.0" customHeight="1">
      <c r="A718" s="218"/>
      <c r="B718" s="219"/>
      <c r="C718" s="216"/>
      <c r="D718" s="111"/>
      <c r="E718" s="111"/>
      <c r="F718" s="218"/>
      <c r="G718" s="217"/>
      <c r="H718" s="218"/>
      <c r="I718" s="223"/>
      <c r="J718" s="269"/>
      <c r="K718" s="111"/>
      <c r="L718" s="111"/>
      <c r="M718" s="216"/>
      <c r="N718" s="270"/>
      <c r="O718" s="111"/>
      <c r="P718" s="111"/>
      <c r="Q718" s="218"/>
      <c r="R718" s="111"/>
    </row>
    <row r="719" ht="21.0" customHeight="1">
      <c r="A719" s="218"/>
      <c r="B719" s="219"/>
      <c r="C719" s="216"/>
      <c r="D719" s="111"/>
      <c r="E719" s="111"/>
      <c r="F719" s="218"/>
      <c r="G719" s="217"/>
      <c r="H719" s="218"/>
      <c r="I719" s="223"/>
      <c r="J719" s="269"/>
      <c r="K719" s="111"/>
      <c r="L719" s="111"/>
      <c r="M719" s="216"/>
      <c r="N719" s="270"/>
      <c r="O719" s="111"/>
      <c r="P719" s="111"/>
      <c r="Q719" s="218"/>
      <c r="R719" s="111"/>
    </row>
    <row r="720" ht="21.0" customHeight="1">
      <c r="A720" s="218"/>
      <c r="B720" s="219"/>
      <c r="C720" s="216"/>
      <c r="D720" s="111"/>
      <c r="E720" s="111"/>
      <c r="F720" s="218"/>
      <c r="G720" s="217"/>
      <c r="H720" s="218"/>
      <c r="I720" s="223"/>
      <c r="J720" s="269"/>
      <c r="K720" s="111"/>
      <c r="L720" s="111"/>
      <c r="M720" s="216"/>
      <c r="N720" s="270"/>
      <c r="O720" s="111"/>
      <c r="P720" s="111"/>
      <c r="Q720" s="218"/>
      <c r="R720" s="111"/>
    </row>
    <row r="721" ht="21.0" customHeight="1">
      <c r="A721" s="218"/>
      <c r="B721" s="219"/>
      <c r="C721" s="216"/>
      <c r="D721" s="111"/>
      <c r="E721" s="111"/>
      <c r="F721" s="218"/>
      <c r="G721" s="217"/>
      <c r="H721" s="218"/>
      <c r="I721" s="223"/>
      <c r="J721" s="269"/>
      <c r="K721" s="111"/>
      <c r="L721" s="111"/>
      <c r="M721" s="216"/>
      <c r="N721" s="270"/>
      <c r="O721" s="111"/>
      <c r="P721" s="111"/>
      <c r="Q721" s="218"/>
      <c r="R721" s="111"/>
    </row>
    <row r="722" ht="21.0" customHeight="1">
      <c r="A722" s="218"/>
      <c r="B722" s="219"/>
      <c r="C722" s="216"/>
      <c r="D722" s="111"/>
      <c r="E722" s="111"/>
      <c r="F722" s="218"/>
      <c r="G722" s="217"/>
      <c r="H722" s="218"/>
      <c r="I722" s="223"/>
      <c r="J722" s="269"/>
      <c r="K722" s="111"/>
      <c r="L722" s="111"/>
      <c r="M722" s="216"/>
      <c r="N722" s="270"/>
      <c r="O722" s="111"/>
      <c r="P722" s="111"/>
      <c r="Q722" s="218"/>
      <c r="R722" s="111"/>
    </row>
    <row r="723" ht="21.0" customHeight="1">
      <c r="A723" s="218"/>
      <c r="B723" s="219"/>
      <c r="C723" s="216"/>
      <c r="D723" s="111"/>
      <c r="E723" s="111"/>
      <c r="F723" s="218"/>
      <c r="G723" s="217"/>
      <c r="H723" s="218"/>
      <c r="I723" s="223"/>
      <c r="J723" s="269"/>
      <c r="K723" s="111"/>
      <c r="L723" s="111"/>
      <c r="M723" s="216"/>
      <c r="N723" s="270"/>
      <c r="O723" s="111"/>
      <c r="P723" s="111"/>
      <c r="Q723" s="218"/>
      <c r="R723" s="111"/>
    </row>
    <row r="724" ht="21.0" customHeight="1">
      <c r="A724" s="218"/>
      <c r="B724" s="219"/>
      <c r="C724" s="216"/>
      <c r="D724" s="111"/>
      <c r="E724" s="111"/>
      <c r="F724" s="218"/>
      <c r="G724" s="217"/>
      <c r="H724" s="218"/>
      <c r="I724" s="223"/>
      <c r="J724" s="269"/>
      <c r="K724" s="111"/>
      <c r="L724" s="111"/>
      <c r="M724" s="216"/>
      <c r="N724" s="270"/>
      <c r="O724" s="111"/>
      <c r="P724" s="111"/>
      <c r="Q724" s="218"/>
      <c r="R724" s="111"/>
    </row>
    <row r="725" ht="21.0" customHeight="1">
      <c r="A725" s="218"/>
      <c r="B725" s="219"/>
      <c r="C725" s="216"/>
      <c r="D725" s="111"/>
      <c r="E725" s="111"/>
      <c r="F725" s="218"/>
      <c r="G725" s="217"/>
      <c r="H725" s="218"/>
      <c r="I725" s="223"/>
      <c r="J725" s="269"/>
      <c r="K725" s="111"/>
      <c r="L725" s="111"/>
      <c r="M725" s="216"/>
      <c r="N725" s="270"/>
      <c r="O725" s="111"/>
      <c r="P725" s="111"/>
      <c r="Q725" s="218"/>
      <c r="R725" s="111"/>
    </row>
    <row r="726" ht="21.0" customHeight="1">
      <c r="A726" s="218"/>
      <c r="B726" s="219"/>
      <c r="C726" s="216"/>
      <c r="D726" s="111"/>
      <c r="E726" s="111"/>
      <c r="F726" s="218"/>
      <c r="G726" s="217"/>
      <c r="H726" s="218"/>
      <c r="I726" s="223"/>
      <c r="J726" s="269"/>
      <c r="K726" s="111"/>
      <c r="L726" s="111"/>
      <c r="M726" s="216"/>
      <c r="N726" s="270"/>
      <c r="O726" s="111"/>
      <c r="P726" s="111"/>
      <c r="Q726" s="218"/>
      <c r="R726" s="111"/>
    </row>
    <row r="727" ht="21.0" customHeight="1">
      <c r="A727" s="218"/>
      <c r="B727" s="219"/>
      <c r="C727" s="216"/>
      <c r="D727" s="111"/>
      <c r="E727" s="111"/>
      <c r="F727" s="218"/>
      <c r="G727" s="217"/>
      <c r="H727" s="218"/>
      <c r="I727" s="223"/>
      <c r="J727" s="269"/>
      <c r="K727" s="111"/>
      <c r="L727" s="111"/>
      <c r="M727" s="216"/>
      <c r="N727" s="270"/>
      <c r="O727" s="111"/>
      <c r="P727" s="111"/>
      <c r="Q727" s="218"/>
      <c r="R727" s="111"/>
    </row>
    <row r="728" ht="21.0" customHeight="1">
      <c r="A728" s="218"/>
      <c r="B728" s="219"/>
      <c r="C728" s="216"/>
      <c r="D728" s="111"/>
      <c r="E728" s="111"/>
      <c r="F728" s="218"/>
      <c r="G728" s="217"/>
      <c r="H728" s="218"/>
      <c r="I728" s="223"/>
      <c r="J728" s="269"/>
      <c r="K728" s="111"/>
      <c r="L728" s="111"/>
      <c r="M728" s="216"/>
      <c r="N728" s="270"/>
      <c r="O728" s="111"/>
      <c r="P728" s="111"/>
      <c r="Q728" s="218"/>
      <c r="R728" s="111"/>
    </row>
    <row r="729" ht="21.0" customHeight="1">
      <c r="A729" s="218"/>
      <c r="B729" s="219"/>
      <c r="C729" s="216"/>
      <c r="D729" s="111"/>
      <c r="E729" s="111"/>
      <c r="F729" s="218"/>
      <c r="G729" s="217"/>
      <c r="H729" s="218"/>
      <c r="I729" s="223"/>
      <c r="J729" s="269"/>
      <c r="K729" s="111"/>
      <c r="L729" s="111"/>
      <c r="M729" s="216"/>
      <c r="N729" s="270"/>
      <c r="O729" s="111"/>
      <c r="P729" s="111"/>
      <c r="Q729" s="218"/>
      <c r="R729" s="111"/>
    </row>
    <row r="730" ht="21.0" customHeight="1">
      <c r="A730" s="218"/>
      <c r="B730" s="219"/>
      <c r="C730" s="216"/>
      <c r="D730" s="111"/>
      <c r="E730" s="111"/>
      <c r="F730" s="218"/>
      <c r="G730" s="217"/>
      <c r="H730" s="218"/>
      <c r="I730" s="223"/>
      <c r="J730" s="269"/>
      <c r="K730" s="111"/>
      <c r="L730" s="111"/>
      <c r="M730" s="216"/>
      <c r="N730" s="270"/>
      <c r="O730" s="111"/>
      <c r="P730" s="111"/>
      <c r="Q730" s="218"/>
      <c r="R730" s="111"/>
    </row>
    <row r="731" ht="21.0" customHeight="1">
      <c r="A731" s="218"/>
      <c r="B731" s="219"/>
      <c r="C731" s="216"/>
      <c r="D731" s="111"/>
      <c r="E731" s="111"/>
      <c r="F731" s="218"/>
      <c r="G731" s="217"/>
      <c r="H731" s="218"/>
      <c r="I731" s="223"/>
      <c r="J731" s="269"/>
      <c r="K731" s="111"/>
      <c r="L731" s="111"/>
      <c r="M731" s="216"/>
      <c r="N731" s="270"/>
      <c r="O731" s="111"/>
      <c r="P731" s="111"/>
      <c r="Q731" s="218"/>
      <c r="R731" s="111"/>
    </row>
    <row r="732" ht="21.0" customHeight="1">
      <c r="A732" s="218"/>
      <c r="B732" s="219"/>
      <c r="C732" s="216"/>
      <c r="D732" s="111"/>
      <c r="E732" s="111"/>
      <c r="F732" s="218"/>
      <c r="G732" s="217"/>
      <c r="H732" s="218"/>
      <c r="I732" s="223"/>
      <c r="J732" s="269"/>
      <c r="K732" s="111"/>
      <c r="L732" s="111"/>
      <c r="M732" s="216"/>
      <c r="N732" s="270"/>
      <c r="O732" s="111"/>
      <c r="P732" s="111"/>
      <c r="Q732" s="218"/>
      <c r="R732" s="111"/>
    </row>
    <row r="733" ht="21.0" customHeight="1">
      <c r="A733" s="218"/>
      <c r="B733" s="219"/>
      <c r="C733" s="216"/>
      <c r="D733" s="111"/>
      <c r="E733" s="111"/>
      <c r="F733" s="218"/>
      <c r="G733" s="217"/>
      <c r="H733" s="218"/>
      <c r="I733" s="223"/>
      <c r="J733" s="269"/>
      <c r="K733" s="111"/>
      <c r="L733" s="111"/>
      <c r="M733" s="216"/>
      <c r="N733" s="270"/>
      <c r="O733" s="111"/>
      <c r="P733" s="111"/>
      <c r="Q733" s="218"/>
      <c r="R733" s="111"/>
    </row>
    <row r="734" ht="21.0" customHeight="1">
      <c r="A734" s="218"/>
      <c r="B734" s="219"/>
      <c r="C734" s="216"/>
      <c r="D734" s="111"/>
      <c r="E734" s="111"/>
      <c r="F734" s="218"/>
      <c r="G734" s="217"/>
      <c r="H734" s="218"/>
      <c r="I734" s="223"/>
      <c r="J734" s="269"/>
      <c r="K734" s="111"/>
      <c r="L734" s="111"/>
      <c r="M734" s="216"/>
      <c r="N734" s="270"/>
      <c r="O734" s="111"/>
      <c r="P734" s="111"/>
      <c r="Q734" s="218"/>
      <c r="R734" s="111"/>
    </row>
    <row r="735" ht="21.0" customHeight="1">
      <c r="A735" s="218"/>
      <c r="B735" s="219"/>
      <c r="C735" s="216"/>
      <c r="D735" s="111"/>
      <c r="E735" s="111"/>
      <c r="F735" s="218"/>
      <c r="G735" s="217"/>
      <c r="H735" s="218"/>
      <c r="I735" s="223"/>
      <c r="J735" s="269"/>
      <c r="K735" s="111"/>
      <c r="L735" s="111"/>
      <c r="M735" s="216"/>
      <c r="N735" s="270"/>
      <c r="O735" s="111"/>
      <c r="P735" s="111"/>
      <c r="Q735" s="218"/>
      <c r="R735" s="111"/>
    </row>
    <row r="736" ht="21.0" customHeight="1">
      <c r="A736" s="218"/>
      <c r="B736" s="219"/>
      <c r="C736" s="216"/>
      <c r="D736" s="111"/>
      <c r="E736" s="111"/>
      <c r="F736" s="218"/>
      <c r="G736" s="217"/>
      <c r="H736" s="218"/>
      <c r="I736" s="223"/>
      <c r="J736" s="269"/>
      <c r="K736" s="111"/>
      <c r="L736" s="111"/>
      <c r="M736" s="216"/>
      <c r="N736" s="270"/>
      <c r="O736" s="111"/>
      <c r="P736" s="111"/>
      <c r="Q736" s="218"/>
      <c r="R736" s="111"/>
    </row>
    <row r="737" ht="21.0" customHeight="1">
      <c r="A737" s="218"/>
      <c r="B737" s="219"/>
      <c r="C737" s="216"/>
      <c r="D737" s="111"/>
      <c r="E737" s="111"/>
      <c r="F737" s="218"/>
      <c r="G737" s="217"/>
      <c r="H737" s="218"/>
      <c r="I737" s="223"/>
      <c r="J737" s="269"/>
      <c r="K737" s="111"/>
      <c r="L737" s="111"/>
      <c r="M737" s="216"/>
      <c r="N737" s="270"/>
      <c r="O737" s="111"/>
      <c r="P737" s="111"/>
      <c r="Q737" s="218"/>
      <c r="R737" s="111"/>
    </row>
    <row r="738" ht="21.0" customHeight="1">
      <c r="A738" s="218"/>
      <c r="B738" s="219"/>
      <c r="C738" s="216"/>
      <c r="D738" s="111"/>
      <c r="E738" s="111"/>
      <c r="F738" s="218"/>
      <c r="G738" s="217"/>
      <c r="H738" s="218"/>
      <c r="I738" s="223"/>
      <c r="J738" s="269"/>
      <c r="K738" s="111"/>
      <c r="L738" s="111"/>
      <c r="M738" s="216"/>
      <c r="N738" s="270"/>
      <c r="O738" s="111"/>
      <c r="P738" s="111"/>
      <c r="Q738" s="218"/>
      <c r="R738" s="111"/>
    </row>
    <row r="739" ht="21.0" customHeight="1">
      <c r="A739" s="218"/>
      <c r="B739" s="219"/>
      <c r="C739" s="216"/>
      <c r="D739" s="111"/>
      <c r="E739" s="111"/>
      <c r="F739" s="218"/>
      <c r="G739" s="217"/>
      <c r="H739" s="218"/>
      <c r="I739" s="223"/>
      <c r="J739" s="269"/>
      <c r="K739" s="111"/>
      <c r="L739" s="111"/>
      <c r="M739" s="216"/>
      <c r="N739" s="270"/>
      <c r="O739" s="111"/>
      <c r="P739" s="111"/>
      <c r="Q739" s="218"/>
      <c r="R739" s="111"/>
    </row>
    <row r="740" ht="21.0" customHeight="1">
      <c r="A740" s="218"/>
      <c r="B740" s="219"/>
      <c r="C740" s="216"/>
      <c r="D740" s="111"/>
      <c r="E740" s="111"/>
      <c r="F740" s="218"/>
      <c r="G740" s="217"/>
      <c r="H740" s="218"/>
      <c r="I740" s="223"/>
      <c r="J740" s="269"/>
      <c r="K740" s="111"/>
      <c r="L740" s="111"/>
      <c r="M740" s="216"/>
      <c r="N740" s="270"/>
      <c r="O740" s="111"/>
      <c r="P740" s="111"/>
      <c r="Q740" s="218"/>
      <c r="R740" s="111"/>
    </row>
    <row r="741" ht="21.0" customHeight="1">
      <c r="A741" s="218"/>
      <c r="B741" s="219"/>
      <c r="C741" s="216"/>
      <c r="D741" s="111"/>
      <c r="E741" s="111"/>
      <c r="F741" s="218"/>
      <c r="G741" s="217"/>
      <c r="H741" s="218"/>
      <c r="I741" s="223"/>
      <c r="J741" s="269"/>
      <c r="K741" s="111"/>
      <c r="L741" s="111"/>
      <c r="M741" s="216"/>
      <c r="N741" s="270"/>
      <c r="O741" s="111"/>
      <c r="P741" s="111"/>
      <c r="Q741" s="218"/>
      <c r="R741" s="111"/>
    </row>
    <row r="742" ht="21.0" customHeight="1">
      <c r="A742" s="218"/>
      <c r="B742" s="219"/>
      <c r="C742" s="216"/>
      <c r="D742" s="111"/>
      <c r="E742" s="111"/>
      <c r="F742" s="218"/>
      <c r="G742" s="217"/>
      <c r="H742" s="218"/>
      <c r="I742" s="223"/>
      <c r="J742" s="269"/>
      <c r="K742" s="111"/>
      <c r="L742" s="111"/>
      <c r="M742" s="216"/>
      <c r="N742" s="270"/>
      <c r="O742" s="111"/>
      <c r="P742" s="111"/>
      <c r="Q742" s="218"/>
      <c r="R742" s="111"/>
    </row>
    <row r="743" ht="21.0" customHeight="1">
      <c r="A743" s="218"/>
      <c r="B743" s="219"/>
      <c r="C743" s="216"/>
      <c r="D743" s="111"/>
      <c r="E743" s="111"/>
      <c r="F743" s="218"/>
      <c r="G743" s="217"/>
      <c r="H743" s="218"/>
      <c r="I743" s="223"/>
      <c r="J743" s="269"/>
      <c r="K743" s="111"/>
      <c r="L743" s="111"/>
      <c r="M743" s="216"/>
      <c r="N743" s="270"/>
      <c r="O743" s="111"/>
      <c r="P743" s="111"/>
      <c r="Q743" s="218"/>
      <c r="R743" s="111"/>
    </row>
    <row r="744" ht="21.0" customHeight="1">
      <c r="A744" s="218"/>
      <c r="B744" s="219"/>
      <c r="C744" s="216"/>
      <c r="D744" s="111"/>
      <c r="E744" s="111"/>
      <c r="F744" s="218"/>
      <c r="G744" s="217"/>
      <c r="H744" s="218"/>
      <c r="I744" s="223"/>
      <c r="J744" s="269"/>
      <c r="K744" s="111"/>
      <c r="L744" s="111"/>
      <c r="M744" s="216"/>
      <c r="N744" s="270"/>
      <c r="O744" s="111"/>
      <c r="P744" s="111"/>
      <c r="Q744" s="218"/>
      <c r="R744" s="111"/>
    </row>
    <row r="745" ht="21.0" customHeight="1">
      <c r="A745" s="218"/>
      <c r="B745" s="219"/>
      <c r="C745" s="216"/>
      <c r="D745" s="111"/>
      <c r="E745" s="111"/>
      <c r="F745" s="218"/>
      <c r="G745" s="217"/>
      <c r="H745" s="218"/>
      <c r="I745" s="223"/>
      <c r="J745" s="269"/>
      <c r="K745" s="111"/>
      <c r="L745" s="111"/>
      <c r="M745" s="216"/>
      <c r="N745" s="270"/>
      <c r="O745" s="111"/>
      <c r="P745" s="111"/>
      <c r="Q745" s="218"/>
      <c r="R745" s="111"/>
    </row>
    <row r="746" ht="21.0" customHeight="1">
      <c r="A746" s="218"/>
      <c r="B746" s="219"/>
      <c r="C746" s="216"/>
      <c r="D746" s="111"/>
      <c r="E746" s="111"/>
      <c r="F746" s="218"/>
      <c r="G746" s="217"/>
      <c r="H746" s="218"/>
      <c r="I746" s="223"/>
      <c r="J746" s="269"/>
      <c r="K746" s="111"/>
      <c r="L746" s="111"/>
      <c r="M746" s="216"/>
      <c r="N746" s="270"/>
      <c r="O746" s="111"/>
      <c r="P746" s="111"/>
      <c r="Q746" s="218"/>
      <c r="R746" s="111"/>
    </row>
    <row r="747" ht="21.0" customHeight="1">
      <c r="A747" s="218"/>
      <c r="B747" s="219"/>
      <c r="C747" s="216"/>
      <c r="D747" s="111"/>
      <c r="E747" s="111"/>
      <c r="F747" s="218"/>
      <c r="G747" s="217"/>
      <c r="H747" s="218"/>
      <c r="I747" s="223"/>
      <c r="J747" s="269"/>
      <c r="K747" s="111"/>
      <c r="L747" s="111"/>
      <c r="M747" s="216"/>
      <c r="N747" s="270"/>
      <c r="O747" s="111"/>
      <c r="P747" s="111"/>
      <c r="Q747" s="218"/>
      <c r="R747" s="111"/>
    </row>
    <row r="748" ht="21.0" customHeight="1">
      <c r="A748" s="218"/>
      <c r="B748" s="219"/>
      <c r="C748" s="216"/>
      <c r="D748" s="111"/>
      <c r="E748" s="111"/>
      <c r="F748" s="218"/>
      <c r="G748" s="217"/>
      <c r="H748" s="218"/>
      <c r="I748" s="223"/>
      <c r="J748" s="269"/>
      <c r="K748" s="111"/>
      <c r="L748" s="111"/>
      <c r="M748" s="216"/>
      <c r="N748" s="270"/>
      <c r="O748" s="111"/>
      <c r="P748" s="111"/>
      <c r="Q748" s="218"/>
      <c r="R748" s="111"/>
    </row>
    <row r="749" ht="21.0" customHeight="1">
      <c r="A749" s="218"/>
      <c r="B749" s="219"/>
      <c r="C749" s="216"/>
      <c r="D749" s="111"/>
      <c r="E749" s="111"/>
      <c r="F749" s="218"/>
      <c r="G749" s="217"/>
      <c r="H749" s="218"/>
      <c r="I749" s="223"/>
      <c r="J749" s="269"/>
      <c r="K749" s="111"/>
      <c r="L749" s="111"/>
      <c r="M749" s="216"/>
      <c r="N749" s="270"/>
      <c r="O749" s="111"/>
      <c r="P749" s="111"/>
      <c r="Q749" s="218"/>
      <c r="R749" s="111"/>
    </row>
    <row r="750" ht="21.0" customHeight="1">
      <c r="A750" s="218"/>
      <c r="B750" s="219"/>
      <c r="C750" s="216"/>
      <c r="D750" s="111"/>
      <c r="E750" s="111"/>
      <c r="F750" s="218"/>
      <c r="G750" s="217"/>
      <c r="H750" s="218"/>
      <c r="I750" s="223"/>
      <c r="J750" s="269"/>
      <c r="K750" s="111"/>
      <c r="L750" s="111"/>
      <c r="M750" s="216"/>
      <c r="N750" s="270"/>
      <c r="O750" s="111"/>
      <c r="P750" s="111"/>
      <c r="Q750" s="218"/>
      <c r="R750" s="111"/>
    </row>
    <row r="751" ht="21.0" customHeight="1">
      <c r="A751" s="218"/>
      <c r="B751" s="219"/>
      <c r="C751" s="216"/>
      <c r="D751" s="111"/>
      <c r="E751" s="111"/>
      <c r="F751" s="218"/>
      <c r="G751" s="217"/>
      <c r="H751" s="218"/>
      <c r="I751" s="223"/>
      <c r="J751" s="269"/>
      <c r="K751" s="111"/>
      <c r="L751" s="111"/>
      <c r="M751" s="216"/>
      <c r="N751" s="270"/>
      <c r="O751" s="111"/>
      <c r="P751" s="111"/>
      <c r="Q751" s="218"/>
      <c r="R751" s="111"/>
    </row>
    <row r="752" ht="21.0" customHeight="1">
      <c r="A752" s="218"/>
      <c r="B752" s="219"/>
      <c r="C752" s="216"/>
      <c r="D752" s="111"/>
      <c r="E752" s="111"/>
      <c r="F752" s="218"/>
      <c r="G752" s="217"/>
      <c r="H752" s="218"/>
      <c r="I752" s="223"/>
      <c r="J752" s="269"/>
      <c r="K752" s="111"/>
      <c r="L752" s="111"/>
      <c r="M752" s="216"/>
      <c r="N752" s="270"/>
      <c r="O752" s="111"/>
      <c r="P752" s="111"/>
      <c r="Q752" s="218"/>
      <c r="R752" s="111"/>
    </row>
    <row r="753" ht="21.0" customHeight="1">
      <c r="A753" s="218"/>
      <c r="B753" s="219"/>
      <c r="C753" s="216"/>
      <c r="D753" s="111"/>
      <c r="E753" s="111"/>
      <c r="F753" s="218"/>
      <c r="G753" s="217"/>
      <c r="H753" s="218"/>
      <c r="I753" s="223"/>
      <c r="J753" s="269"/>
      <c r="K753" s="111"/>
      <c r="L753" s="111"/>
      <c r="M753" s="216"/>
      <c r="N753" s="270"/>
      <c r="O753" s="111"/>
      <c r="P753" s="111"/>
      <c r="Q753" s="218"/>
      <c r="R753" s="111"/>
    </row>
    <row r="754" ht="21.0" customHeight="1">
      <c r="A754" s="218"/>
      <c r="B754" s="219"/>
      <c r="C754" s="216"/>
      <c r="D754" s="111"/>
      <c r="E754" s="111"/>
      <c r="F754" s="218"/>
      <c r="G754" s="217"/>
      <c r="H754" s="218"/>
      <c r="I754" s="223"/>
      <c r="J754" s="269"/>
      <c r="K754" s="111"/>
      <c r="L754" s="111"/>
      <c r="M754" s="216"/>
      <c r="N754" s="270"/>
      <c r="O754" s="111"/>
      <c r="P754" s="111"/>
      <c r="Q754" s="218"/>
      <c r="R754" s="111"/>
    </row>
    <row r="755" ht="21.0" customHeight="1">
      <c r="A755" s="218"/>
      <c r="B755" s="219"/>
      <c r="C755" s="216"/>
      <c r="D755" s="111"/>
      <c r="E755" s="111"/>
      <c r="F755" s="218"/>
      <c r="G755" s="217"/>
      <c r="H755" s="218"/>
      <c r="I755" s="223"/>
      <c r="J755" s="269"/>
      <c r="K755" s="111"/>
      <c r="L755" s="111"/>
      <c r="M755" s="216"/>
      <c r="N755" s="270"/>
      <c r="O755" s="111"/>
      <c r="P755" s="111"/>
      <c r="Q755" s="218"/>
      <c r="R755" s="111"/>
    </row>
    <row r="756" ht="21.0" customHeight="1">
      <c r="A756" s="218"/>
      <c r="B756" s="219"/>
      <c r="C756" s="216"/>
      <c r="D756" s="111"/>
      <c r="E756" s="111"/>
      <c r="F756" s="218"/>
      <c r="G756" s="217"/>
      <c r="H756" s="218"/>
      <c r="I756" s="223"/>
      <c r="J756" s="269"/>
      <c r="K756" s="111"/>
      <c r="L756" s="111"/>
      <c r="M756" s="216"/>
      <c r="N756" s="270"/>
      <c r="O756" s="111"/>
      <c r="P756" s="111"/>
      <c r="Q756" s="218"/>
      <c r="R756" s="111"/>
    </row>
    <row r="757" ht="21.0" customHeight="1">
      <c r="A757" s="218"/>
      <c r="B757" s="219"/>
      <c r="C757" s="216"/>
      <c r="D757" s="111"/>
      <c r="E757" s="111"/>
      <c r="F757" s="218"/>
      <c r="G757" s="217"/>
      <c r="H757" s="218"/>
      <c r="I757" s="223"/>
      <c r="J757" s="269"/>
      <c r="K757" s="111"/>
      <c r="L757" s="111"/>
      <c r="M757" s="216"/>
      <c r="N757" s="270"/>
      <c r="O757" s="111"/>
      <c r="P757" s="111"/>
      <c r="Q757" s="218"/>
      <c r="R757" s="111"/>
    </row>
    <row r="758" ht="21.0" customHeight="1">
      <c r="A758" s="218"/>
      <c r="B758" s="219"/>
      <c r="C758" s="216"/>
      <c r="D758" s="111"/>
      <c r="E758" s="111"/>
      <c r="F758" s="218"/>
      <c r="G758" s="217"/>
      <c r="H758" s="218"/>
      <c r="I758" s="223"/>
      <c r="J758" s="269"/>
      <c r="K758" s="111"/>
      <c r="L758" s="111"/>
      <c r="M758" s="216"/>
      <c r="N758" s="270"/>
      <c r="O758" s="111"/>
      <c r="P758" s="111"/>
      <c r="Q758" s="218"/>
      <c r="R758" s="111"/>
    </row>
    <row r="759" ht="21.0" customHeight="1">
      <c r="A759" s="218"/>
      <c r="B759" s="219"/>
      <c r="C759" s="216"/>
      <c r="D759" s="111"/>
      <c r="E759" s="111"/>
      <c r="F759" s="218"/>
      <c r="G759" s="217"/>
      <c r="H759" s="218"/>
      <c r="I759" s="223"/>
      <c r="J759" s="269"/>
      <c r="K759" s="111"/>
      <c r="L759" s="111"/>
      <c r="M759" s="216"/>
      <c r="N759" s="270"/>
      <c r="O759" s="111"/>
      <c r="P759" s="111"/>
      <c r="Q759" s="218"/>
      <c r="R759" s="111"/>
    </row>
    <row r="760" ht="21.0" customHeight="1">
      <c r="A760" s="218"/>
      <c r="B760" s="219"/>
      <c r="C760" s="216"/>
      <c r="D760" s="111"/>
      <c r="E760" s="111"/>
      <c r="F760" s="218"/>
      <c r="G760" s="217"/>
      <c r="H760" s="218"/>
      <c r="I760" s="223"/>
      <c r="J760" s="269"/>
      <c r="K760" s="111"/>
      <c r="L760" s="111"/>
      <c r="M760" s="216"/>
      <c r="N760" s="270"/>
      <c r="O760" s="111"/>
      <c r="P760" s="111"/>
      <c r="Q760" s="218"/>
      <c r="R760" s="111"/>
    </row>
    <row r="761" ht="21.0" customHeight="1">
      <c r="A761" s="218"/>
      <c r="B761" s="219"/>
      <c r="C761" s="216"/>
      <c r="D761" s="111"/>
      <c r="E761" s="111"/>
      <c r="F761" s="218"/>
      <c r="G761" s="217"/>
      <c r="H761" s="218"/>
      <c r="I761" s="223"/>
      <c r="J761" s="269"/>
      <c r="K761" s="111"/>
      <c r="L761" s="111"/>
      <c r="M761" s="216"/>
      <c r="N761" s="270"/>
      <c r="O761" s="111"/>
      <c r="P761" s="111"/>
      <c r="Q761" s="218"/>
      <c r="R761" s="111"/>
    </row>
    <row r="762" ht="21.0" customHeight="1">
      <c r="A762" s="218"/>
      <c r="B762" s="219"/>
      <c r="C762" s="216"/>
      <c r="D762" s="111"/>
      <c r="E762" s="111"/>
      <c r="F762" s="218"/>
      <c r="G762" s="217"/>
      <c r="H762" s="218"/>
      <c r="I762" s="223"/>
      <c r="J762" s="269"/>
      <c r="K762" s="111"/>
      <c r="L762" s="111"/>
      <c r="M762" s="216"/>
      <c r="N762" s="270"/>
      <c r="O762" s="111"/>
      <c r="P762" s="111"/>
      <c r="Q762" s="218"/>
      <c r="R762" s="111"/>
    </row>
    <row r="763" ht="21.0" customHeight="1">
      <c r="A763" s="218"/>
      <c r="B763" s="219"/>
      <c r="C763" s="216"/>
      <c r="D763" s="111"/>
      <c r="E763" s="111"/>
      <c r="F763" s="218"/>
      <c r="G763" s="217"/>
      <c r="H763" s="218"/>
      <c r="I763" s="223"/>
      <c r="J763" s="269"/>
      <c r="K763" s="111"/>
      <c r="L763" s="111"/>
      <c r="M763" s="216"/>
      <c r="N763" s="270"/>
      <c r="O763" s="111"/>
      <c r="P763" s="111"/>
      <c r="Q763" s="218"/>
      <c r="R763" s="111"/>
    </row>
    <row r="764" ht="21.0" customHeight="1">
      <c r="A764" s="218"/>
      <c r="B764" s="219"/>
      <c r="C764" s="216"/>
      <c r="D764" s="111"/>
      <c r="E764" s="111"/>
      <c r="F764" s="218"/>
      <c r="G764" s="217"/>
      <c r="H764" s="218"/>
      <c r="I764" s="223"/>
      <c r="J764" s="269"/>
      <c r="K764" s="111"/>
      <c r="L764" s="111"/>
      <c r="M764" s="216"/>
      <c r="N764" s="270"/>
      <c r="O764" s="111"/>
      <c r="P764" s="111"/>
      <c r="Q764" s="218"/>
      <c r="R764" s="111"/>
    </row>
    <row r="765" ht="21.0" customHeight="1">
      <c r="A765" s="218"/>
      <c r="B765" s="219"/>
      <c r="C765" s="216"/>
      <c r="D765" s="111"/>
      <c r="E765" s="111"/>
      <c r="F765" s="218"/>
      <c r="G765" s="217"/>
      <c r="H765" s="218"/>
      <c r="I765" s="223"/>
      <c r="J765" s="269"/>
      <c r="K765" s="111"/>
      <c r="L765" s="111"/>
      <c r="M765" s="216"/>
      <c r="N765" s="270"/>
      <c r="O765" s="111"/>
      <c r="P765" s="111"/>
      <c r="Q765" s="218"/>
      <c r="R765" s="111"/>
    </row>
    <row r="766" ht="21.0" customHeight="1">
      <c r="A766" s="218"/>
      <c r="B766" s="219"/>
      <c r="C766" s="216"/>
      <c r="D766" s="111"/>
      <c r="E766" s="111"/>
      <c r="F766" s="218"/>
      <c r="G766" s="217"/>
      <c r="H766" s="218"/>
      <c r="I766" s="223"/>
      <c r="J766" s="269"/>
      <c r="K766" s="111"/>
      <c r="L766" s="111"/>
      <c r="M766" s="216"/>
      <c r="N766" s="270"/>
      <c r="O766" s="111"/>
      <c r="P766" s="111"/>
      <c r="Q766" s="218"/>
      <c r="R766" s="111"/>
    </row>
    <row r="767" ht="21.0" customHeight="1">
      <c r="A767" s="218"/>
      <c r="B767" s="219"/>
      <c r="C767" s="216"/>
      <c r="D767" s="111"/>
      <c r="E767" s="111"/>
      <c r="F767" s="218"/>
      <c r="G767" s="217"/>
      <c r="H767" s="218"/>
      <c r="I767" s="223"/>
      <c r="J767" s="269"/>
      <c r="K767" s="111"/>
      <c r="L767" s="111"/>
      <c r="M767" s="216"/>
      <c r="N767" s="270"/>
      <c r="O767" s="111"/>
      <c r="P767" s="111"/>
      <c r="Q767" s="218"/>
      <c r="R767" s="111"/>
    </row>
    <row r="768" ht="21.0" customHeight="1">
      <c r="A768" s="218"/>
      <c r="B768" s="219"/>
      <c r="C768" s="216"/>
      <c r="D768" s="111"/>
      <c r="E768" s="111"/>
      <c r="F768" s="218"/>
      <c r="G768" s="217"/>
      <c r="H768" s="218"/>
      <c r="I768" s="223"/>
      <c r="J768" s="269"/>
      <c r="K768" s="111"/>
      <c r="L768" s="111"/>
      <c r="M768" s="216"/>
      <c r="N768" s="270"/>
      <c r="O768" s="111"/>
      <c r="P768" s="111"/>
      <c r="Q768" s="218"/>
      <c r="R768" s="111"/>
    </row>
    <row r="769" ht="21.0" customHeight="1">
      <c r="A769" s="218"/>
      <c r="B769" s="219"/>
      <c r="C769" s="216"/>
      <c r="D769" s="111"/>
      <c r="E769" s="111"/>
      <c r="F769" s="218"/>
      <c r="G769" s="217"/>
      <c r="H769" s="218"/>
      <c r="I769" s="223"/>
      <c r="J769" s="269"/>
      <c r="K769" s="111"/>
      <c r="L769" s="111"/>
      <c r="M769" s="216"/>
      <c r="N769" s="270"/>
      <c r="O769" s="111"/>
      <c r="P769" s="111"/>
      <c r="Q769" s="218"/>
      <c r="R769" s="111"/>
    </row>
    <row r="770" ht="21.0" customHeight="1">
      <c r="A770" s="218"/>
      <c r="B770" s="219"/>
      <c r="C770" s="216"/>
      <c r="D770" s="111"/>
      <c r="E770" s="111"/>
      <c r="F770" s="218"/>
      <c r="G770" s="217"/>
      <c r="H770" s="218"/>
      <c r="I770" s="223"/>
      <c r="J770" s="269"/>
      <c r="K770" s="111"/>
      <c r="L770" s="111"/>
      <c r="M770" s="216"/>
      <c r="N770" s="270"/>
      <c r="O770" s="111"/>
      <c r="P770" s="111"/>
      <c r="Q770" s="218"/>
      <c r="R770" s="111"/>
    </row>
    <row r="771" ht="21.0" customHeight="1">
      <c r="A771" s="218"/>
      <c r="B771" s="219"/>
      <c r="C771" s="216"/>
      <c r="D771" s="111"/>
      <c r="E771" s="111"/>
      <c r="F771" s="218"/>
      <c r="G771" s="217"/>
      <c r="H771" s="218"/>
      <c r="I771" s="223"/>
      <c r="J771" s="269"/>
      <c r="K771" s="111"/>
      <c r="L771" s="111"/>
      <c r="M771" s="216"/>
      <c r="N771" s="270"/>
      <c r="O771" s="111"/>
      <c r="P771" s="111"/>
      <c r="Q771" s="218"/>
      <c r="R771" s="111"/>
    </row>
    <row r="772" ht="21.0" customHeight="1">
      <c r="A772" s="218"/>
      <c r="B772" s="219"/>
      <c r="C772" s="216"/>
      <c r="D772" s="111"/>
      <c r="E772" s="111"/>
      <c r="F772" s="218"/>
      <c r="G772" s="217"/>
      <c r="H772" s="218"/>
      <c r="I772" s="223"/>
      <c r="J772" s="269"/>
      <c r="K772" s="111"/>
      <c r="L772" s="111"/>
      <c r="M772" s="216"/>
      <c r="N772" s="270"/>
      <c r="O772" s="111"/>
      <c r="P772" s="111"/>
      <c r="Q772" s="218"/>
      <c r="R772" s="111"/>
    </row>
    <row r="773" ht="21.0" customHeight="1">
      <c r="A773" s="218"/>
      <c r="B773" s="219"/>
      <c r="C773" s="216"/>
      <c r="D773" s="111"/>
      <c r="E773" s="111"/>
      <c r="F773" s="218"/>
      <c r="G773" s="217"/>
      <c r="H773" s="218"/>
      <c r="I773" s="223"/>
      <c r="J773" s="269"/>
      <c r="K773" s="111"/>
      <c r="L773" s="111"/>
      <c r="M773" s="216"/>
      <c r="N773" s="270"/>
      <c r="O773" s="111"/>
      <c r="P773" s="111"/>
      <c r="Q773" s="218"/>
      <c r="R773" s="111"/>
    </row>
    <row r="774" ht="21.0" customHeight="1">
      <c r="A774" s="218"/>
      <c r="B774" s="219"/>
      <c r="C774" s="216"/>
      <c r="D774" s="111"/>
      <c r="E774" s="111"/>
      <c r="F774" s="218"/>
      <c r="G774" s="217"/>
      <c r="H774" s="218"/>
      <c r="I774" s="223"/>
      <c r="J774" s="269"/>
      <c r="K774" s="111"/>
      <c r="L774" s="111"/>
      <c r="M774" s="216"/>
      <c r="N774" s="270"/>
      <c r="O774" s="111"/>
      <c r="P774" s="111"/>
      <c r="Q774" s="218"/>
      <c r="R774" s="111"/>
    </row>
    <row r="775" ht="21.0" customHeight="1">
      <c r="A775" s="218"/>
      <c r="B775" s="219"/>
      <c r="C775" s="216"/>
      <c r="D775" s="111"/>
      <c r="E775" s="111"/>
      <c r="F775" s="218"/>
      <c r="G775" s="217"/>
      <c r="H775" s="218"/>
      <c r="I775" s="223"/>
      <c r="J775" s="269"/>
      <c r="K775" s="111"/>
      <c r="L775" s="111"/>
      <c r="M775" s="216"/>
      <c r="N775" s="270"/>
      <c r="O775" s="111"/>
      <c r="P775" s="111"/>
      <c r="Q775" s="218"/>
      <c r="R775" s="111"/>
    </row>
    <row r="776" ht="21.0" customHeight="1">
      <c r="A776" s="218"/>
      <c r="B776" s="219"/>
      <c r="C776" s="216"/>
      <c r="D776" s="111"/>
      <c r="E776" s="111"/>
      <c r="F776" s="218"/>
      <c r="G776" s="217"/>
      <c r="H776" s="218"/>
      <c r="I776" s="223"/>
      <c r="J776" s="269"/>
      <c r="K776" s="111"/>
      <c r="L776" s="111"/>
      <c r="M776" s="216"/>
      <c r="N776" s="270"/>
      <c r="O776" s="111"/>
      <c r="P776" s="111"/>
      <c r="Q776" s="218"/>
      <c r="R776" s="111"/>
    </row>
    <row r="777" ht="21.0" customHeight="1">
      <c r="A777" s="218"/>
      <c r="B777" s="219"/>
      <c r="C777" s="216"/>
      <c r="D777" s="111"/>
      <c r="E777" s="111"/>
      <c r="F777" s="218"/>
      <c r="G777" s="217"/>
      <c r="H777" s="218"/>
      <c r="I777" s="223"/>
      <c r="J777" s="269"/>
      <c r="K777" s="111"/>
      <c r="L777" s="111"/>
      <c r="M777" s="216"/>
      <c r="N777" s="270"/>
      <c r="O777" s="111"/>
      <c r="P777" s="111"/>
      <c r="Q777" s="218"/>
      <c r="R777" s="111"/>
    </row>
    <row r="778" ht="21.0" customHeight="1">
      <c r="A778" s="218"/>
      <c r="B778" s="219"/>
      <c r="C778" s="216"/>
      <c r="D778" s="111"/>
      <c r="E778" s="111"/>
      <c r="F778" s="218"/>
      <c r="G778" s="217"/>
      <c r="H778" s="218"/>
      <c r="I778" s="223"/>
      <c r="J778" s="269"/>
      <c r="K778" s="111"/>
      <c r="L778" s="111"/>
      <c r="M778" s="216"/>
      <c r="N778" s="270"/>
      <c r="O778" s="111"/>
      <c r="P778" s="111"/>
      <c r="Q778" s="218"/>
      <c r="R778" s="111"/>
    </row>
    <row r="779" ht="21.0" customHeight="1">
      <c r="A779" s="218"/>
      <c r="B779" s="219"/>
      <c r="C779" s="216"/>
      <c r="D779" s="111"/>
      <c r="E779" s="111"/>
      <c r="F779" s="218"/>
      <c r="G779" s="217"/>
      <c r="H779" s="218"/>
      <c r="I779" s="223"/>
      <c r="J779" s="269"/>
      <c r="K779" s="111"/>
      <c r="L779" s="111"/>
      <c r="M779" s="216"/>
      <c r="N779" s="270"/>
      <c r="O779" s="111"/>
      <c r="P779" s="111"/>
      <c r="Q779" s="218"/>
      <c r="R779" s="111"/>
    </row>
    <row r="780" ht="21.0" customHeight="1">
      <c r="A780" s="218"/>
      <c r="B780" s="219"/>
      <c r="C780" s="216"/>
      <c r="D780" s="111"/>
      <c r="E780" s="111"/>
      <c r="F780" s="218"/>
      <c r="G780" s="217"/>
      <c r="H780" s="218"/>
      <c r="I780" s="223"/>
      <c r="J780" s="269"/>
      <c r="K780" s="111"/>
      <c r="L780" s="111"/>
      <c r="M780" s="216"/>
      <c r="N780" s="270"/>
      <c r="O780" s="111"/>
      <c r="P780" s="111"/>
      <c r="Q780" s="218"/>
      <c r="R780" s="111"/>
    </row>
    <row r="781" ht="21.0" customHeight="1">
      <c r="A781" s="218"/>
      <c r="B781" s="219"/>
      <c r="C781" s="216"/>
      <c r="D781" s="111"/>
      <c r="E781" s="111"/>
      <c r="F781" s="218"/>
      <c r="G781" s="217"/>
      <c r="H781" s="218"/>
      <c r="I781" s="223"/>
      <c r="J781" s="269"/>
      <c r="K781" s="111"/>
      <c r="L781" s="111"/>
      <c r="M781" s="216"/>
      <c r="N781" s="270"/>
      <c r="O781" s="111"/>
      <c r="P781" s="111"/>
      <c r="Q781" s="218"/>
      <c r="R781" s="111"/>
    </row>
    <row r="782" ht="21.0" customHeight="1">
      <c r="A782" s="218"/>
      <c r="B782" s="219"/>
      <c r="C782" s="216"/>
      <c r="D782" s="111"/>
      <c r="E782" s="111"/>
      <c r="F782" s="218"/>
      <c r="G782" s="217"/>
      <c r="H782" s="218"/>
      <c r="I782" s="223"/>
      <c r="J782" s="269"/>
      <c r="K782" s="111"/>
      <c r="L782" s="111"/>
      <c r="M782" s="216"/>
      <c r="N782" s="270"/>
      <c r="O782" s="111"/>
      <c r="P782" s="111"/>
      <c r="Q782" s="218"/>
      <c r="R782" s="111"/>
    </row>
    <row r="783" ht="21.0" customHeight="1">
      <c r="A783" s="218"/>
      <c r="B783" s="219"/>
      <c r="C783" s="216"/>
      <c r="D783" s="111"/>
      <c r="E783" s="111"/>
      <c r="F783" s="218"/>
      <c r="G783" s="217"/>
      <c r="H783" s="218"/>
      <c r="I783" s="223"/>
      <c r="J783" s="269"/>
      <c r="K783" s="111"/>
      <c r="L783" s="111"/>
      <c r="M783" s="216"/>
      <c r="N783" s="270"/>
      <c r="O783" s="111"/>
      <c r="P783" s="111"/>
      <c r="Q783" s="218"/>
      <c r="R783" s="111"/>
    </row>
    <row r="784" ht="21.0" customHeight="1">
      <c r="A784" s="218"/>
      <c r="B784" s="219"/>
      <c r="C784" s="216"/>
      <c r="D784" s="111"/>
      <c r="E784" s="111"/>
      <c r="F784" s="218"/>
      <c r="G784" s="217"/>
      <c r="H784" s="218"/>
      <c r="I784" s="223"/>
      <c r="J784" s="269"/>
      <c r="K784" s="111"/>
      <c r="L784" s="111"/>
      <c r="M784" s="216"/>
      <c r="N784" s="270"/>
      <c r="O784" s="111"/>
      <c r="P784" s="111"/>
      <c r="Q784" s="218"/>
      <c r="R784" s="111"/>
    </row>
    <row r="785" ht="21.0" customHeight="1">
      <c r="A785" s="218"/>
      <c r="B785" s="219"/>
      <c r="C785" s="216"/>
      <c r="D785" s="111"/>
      <c r="E785" s="111"/>
      <c r="F785" s="218"/>
      <c r="G785" s="217"/>
      <c r="H785" s="218"/>
      <c r="I785" s="223"/>
      <c r="J785" s="269"/>
      <c r="K785" s="111"/>
      <c r="L785" s="111"/>
      <c r="M785" s="216"/>
      <c r="N785" s="270"/>
      <c r="O785" s="111"/>
      <c r="P785" s="111"/>
      <c r="Q785" s="218"/>
      <c r="R785" s="111"/>
    </row>
    <row r="786" ht="21.0" customHeight="1">
      <c r="A786" s="218"/>
      <c r="B786" s="219"/>
      <c r="C786" s="216"/>
      <c r="D786" s="111"/>
      <c r="E786" s="111"/>
      <c r="F786" s="218"/>
      <c r="G786" s="217"/>
      <c r="H786" s="218"/>
      <c r="I786" s="223"/>
      <c r="J786" s="269"/>
      <c r="K786" s="111"/>
      <c r="L786" s="111"/>
      <c r="M786" s="216"/>
      <c r="N786" s="270"/>
      <c r="O786" s="111"/>
      <c r="P786" s="111"/>
      <c r="Q786" s="218"/>
      <c r="R786" s="111"/>
    </row>
    <row r="787" ht="21.0" customHeight="1">
      <c r="A787" s="218"/>
      <c r="B787" s="219"/>
      <c r="C787" s="216"/>
      <c r="D787" s="111"/>
      <c r="E787" s="111"/>
      <c r="F787" s="218"/>
      <c r="G787" s="217"/>
      <c r="H787" s="218"/>
      <c r="I787" s="223"/>
      <c r="J787" s="269"/>
      <c r="K787" s="111"/>
      <c r="L787" s="111"/>
      <c r="M787" s="216"/>
      <c r="N787" s="270"/>
      <c r="O787" s="111"/>
      <c r="P787" s="111"/>
      <c r="Q787" s="218"/>
      <c r="R787" s="111"/>
    </row>
    <row r="788" ht="21.0" customHeight="1">
      <c r="A788" s="218"/>
      <c r="B788" s="219"/>
      <c r="C788" s="216"/>
      <c r="D788" s="111"/>
      <c r="E788" s="111"/>
      <c r="F788" s="218"/>
      <c r="G788" s="217"/>
      <c r="H788" s="218"/>
      <c r="I788" s="223"/>
      <c r="J788" s="269"/>
      <c r="K788" s="111"/>
      <c r="L788" s="111"/>
      <c r="M788" s="216"/>
      <c r="N788" s="270"/>
      <c r="O788" s="111"/>
      <c r="P788" s="111"/>
      <c r="Q788" s="218"/>
      <c r="R788" s="111"/>
    </row>
    <row r="789" ht="21.0" customHeight="1">
      <c r="A789" s="218"/>
      <c r="B789" s="219"/>
      <c r="C789" s="216"/>
      <c r="D789" s="111"/>
      <c r="E789" s="111"/>
      <c r="F789" s="218"/>
      <c r="G789" s="217"/>
      <c r="H789" s="218"/>
      <c r="I789" s="223"/>
      <c r="J789" s="269"/>
      <c r="K789" s="111"/>
      <c r="L789" s="111"/>
      <c r="M789" s="216"/>
      <c r="N789" s="270"/>
      <c r="O789" s="111"/>
      <c r="P789" s="111"/>
      <c r="Q789" s="218"/>
      <c r="R789" s="111"/>
    </row>
    <row r="790" ht="21.0" customHeight="1">
      <c r="A790" s="218"/>
      <c r="B790" s="219"/>
      <c r="C790" s="216"/>
      <c r="D790" s="111"/>
      <c r="E790" s="111"/>
      <c r="F790" s="218"/>
      <c r="G790" s="217"/>
      <c r="H790" s="218"/>
      <c r="I790" s="223"/>
      <c r="J790" s="269"/>
      <c r="K790" s="111"/>
      <c r="L790" s="111"/>
      <c r="M790" s="216"/>
      <c r="N790" s="270"/>
      <c r="O790" s="111"/>
      <c r="P790" s="111"/>
      <c r="Q790" s="218"/>
      <c r="R790" s="111"/>
    </row>
    <row r="791" ht="21.0" customHeight="1">
      <c r="A791" s="218"/>
      <c r="B791" s="219"/>
      <c r="C791" s="216"/>
      <c r="D791" s="111"/>
      <c r="E791" s="111"/>
      <c r="F791" s="218"/>
      <c r="G791" s="217"/>
      <c r="H791" s="218"/>
      <c r="I791" s="223"/>
      <c r="J791" s="269"/>
      <c r="K791" s="111"/>
      <c r="L791" s="111"/>
      <c r="M791" s="216"/>
      <c r="N791" s="270"/>
      <c r="O791" s="111"/>
      <c r="P791" s="111"/>
      <c r="Q791" s="218"/>
      <c r="R791" s="111"/>
    </row>
    <row r="792" ht="21.0" customHeight="1">
      <c r="A792" s="218"/>
      <c r="B792" s="219"/>
      <c r="C792" s="216"/>
      <c r="D792" s="111"/>
      <c r="E792" s="111"/>
      <c r="F792" s="218"/>
      <c r="G792" s="217"/>
      <c r="H792" s="218"/>
      <c r="I792" s="223"/>
      <c r="J792" s="269"/>
      <c r="K792" s="111"/>
      <c r="L792" s="111"/>
      <c r="M792" s="216"/>
      <c r="N792" s="270"/>
      <c r="O792" s="111"/>
      <c r="P792" s="111"/>
      <c r="Q792" s="218"/>
      <c r="R792" s="111"/>
    </row>
    <row r="793" ht="21.0" customHeight="1">
      <c r="A793" s="218"/>
      <c r="B793" s="219"/>
      <c r="C793" s="216"/>
      <c r="D793" s="111"/>
      <c r="E793" s="111"/>
      <c r="F793" s="218"/>
      <c r="G793" s="217"/>
      <c r="H793" s="218"/>
      <c r="I793" s="223"/>
      <c r="J793" s="269"/>
      <c r="K793" s="111"/>
      <c r="L793" s="111"/>
      <c r="M793" s="216"/>
      <c r="N793" s="270"/>
      <c r="O793" s="111"/>
      <c r="P793" s="111"/>
      <c r="Q793" s="218"/>
      <c r="R793" s="111"/>
    </row>
    <row r="794" ht="21.0" customHeight="1">
      <c r="A794" s="218"/>
      <c r="B794" s="219"/>
      <c r="C794" s="216"/>
      <c r="D794" s="111"/>
      <c r="E794" s="111"/>
      <c r="F794" s="218"/>
      <c r="G794" s="217"/>
      <c r="H794" s="218"/>
      <c r="I794" s="223"/>
      <c r="J794" s="269"/>
      <c r="K794" s="111"/>
      <c r="L794" s="111"/>
      <c r="M794" s="216"/>
      <c r="N794" s="270"/>
      <c r="O794" s="111"/>
      <c r="P794" s="111"/>
      <c r="Q794" s="218"/>
      <c r="R794" s="111"/>
    </row>
    <row r="795" ht="21.0" customHeight="1">
      <c r="A795" s="218"/>
      <c r="B795" s="219"/>
      <c r="C795" s="216"/>
      <c r="D795" s="111"/>
      <c r="E795" s="111"/>
      <c r="F795" s="218"/>
      <c r="G795" s="217"/>
      <c r="H795" s="218"/>
      <c r="I795" s="223"/>
      <c r="J795" s="269"/>
      <c r="K795" s="111"/>
      <c r="L795" s="111"/>
      <c r="M795" s="216"/>
      <c r="N795" s="270"/>
      <c r="O795" s="111"/>
      <c r="P795" s="111"/>
      <c r="Q795" s="218"/>
      <c r="R795" s="111"/>
    </row>
    <row r="796" ht="21.0" customHeight="1">
      <c r="A796" s="218"/>
      <c r="B796" s="219"/>
      <c r="C796" s="216"/>
      <c r="D796" s="111"/>
      <c r="E796" s="111"/>
      <c r="F796" s="218"/>
      <c r="G796" s="217"/>
      <c r="H796" s="218"/>
      <c r="I796" s="223"/>
      <c r="J796" s="269"/>
      <c r="K796" s="111"/>
      <c r="L796" s="111"/>
      <c r="M796" s="216"/>
      <c r="N796" s="270"/>
      <c r="O796" s="111"/>
      <c r="P796" s="111"/>
      <c r="Q796" s="218"/>
      <c r="R796" s="111"/>
    </row>
    <row r="797" ht="21.0" customHeight="1">
      <c r="A797" s="218"/>
      <c r="B797" s="219"/>
      <c r="C797" s="216"/>
      <c r="D797" s="111"/>
      <c r="E797" s="111"/>
      <c r="F797" s="218"/>
      <c r="G797" s="217"/>
      <c r="H797" s="218"/>
      <c r="I797" s="223"/>
      <c r="J797" s="269"/>
      <c r="K797" s="111"/>
      <c r="L797" s="111"/>
      <c r="M797" s="216"/>
      <c r="N797" s="270"/>
      <c r="O797" s="111"/>
      <c r="P797" s="111"/>
      <c r="Q797" s="218"/>
      <c r="R797" s="111"/>
    </row>
    <row r="798" ht="21.0" customHeight="1">
      <c r="A798" s="218"/>
      <c r="B798" s="219"/>
      <c r="C798" s="216"/>
      <c r="D798" s="111"/>
      <c r="E798" s="111"/>
      <c r="F798" s="218"/>
      <c r="G798" s="217"/>
      <c r="H798" s="218"/>
      <c r="I798" s="223"/>
      <c r="J798" s="269"/>
      <c r="K798" s="111"/>
      <c r="L798" s="111"/>
      <c r="M798" s="216"/>
      <c r="N798" s="270"/>
      <c r="O798" s="111"/>
      <c r="P798" s="111"/>
      <c r="Q798" s="218"/>
      <c r="R798" s="111"/>
    </row>
    <row r="799" ht="21.0" customHeight="1">
      <c r="A799" s="218"/>
      <c r="B799" s="219"/>
      <c r="C799" s="216"/>
      <c r="D799" s="111"/>
      <c r="E799" s="111"/>
      <c r="F799" s="218"/>
      <c r="G799" s="217"/>
      <c r="H799" s="218"/>
      <c r="I799" s="223"/>
      <c r="J799" s="269"/>
      <c r="K799" s="111"/>
      <c r="L799" s="111"/>
      <c r="M799" s="216"/>
      <c r="N799" s="270"/>
      <c r="O799" s="111"/>
      <c r="P799" s="111"/>
      <c r="Q799" s="218"/>
      <c r="R799" s="111"/>
    </row>
    <row r="800" ht="21.0" customHeight="1">
      <c r="A800" s="218"/>
      <c r="B800" s="219"/>
      <c r="C800" s="216"/>
      <c r="D800" s="111"/>
      <c r="E800" s="111"/>
      <c r="F800" s="218"/>
      <c r="G800" s="217"/>
      <c r="H800" s="218"/>
      <c r="I800" s="223"/>
      <c r="J800" s="269"/>
      <c r="K800" s="111"/>
      <c r="L800" s="111"/>
      <c r="M800" s="216"/>
      <c r="N800" s="270"/>
      <c r="O800" s="111"/>
      <c r="P800" s="111"/>
      <c r="Q800" s="218"/>
      <c r="R800" s="111"/>
    </row>
    <row r="801" ht="21.0" customHeight="1">
      <c r="A801" s="218"/>
      <c r="B801" s="219"/>
      <c r="C801" s="216"/>
      <c r="D801" s="111"/>
      <c r="E801" s="111"/>
      <c r="F801" s="218"/>
      <c r="G801" s="217"/>
      <c r="H801" s="218"/>
      <c r="I801" s="223"/>
      <c r="J801" s="269"/>
      <c r="K801" s="111"/>
      <c r="L801" s="111"/>
      <c r="M801" s="216"/>
      <c r="N801" s="270"/>
      <c r="O801" s="111"/>
      <c r="P801" s="111"/>
      <c r="Q801" s="218"/>
      <c r="R801" s="111"/>
    </row>
    <row r="802" ht="21.0" customHeight="1">
      <c r="A802" s="218"/>
      <c r="B802" s="219"/>
      <c r="C802" s="216"/>
      <c r="D802" s="111"/>
      <c r="E802" s="111"/>
      <c r="F802" s="218"/>
      <c r="G802" s="217"/>
      <c r="H802" s="218"/>
      <c r="I802" s="223"/>
      <c r="J802" s="269"/>
      <c r="K802" s="111"/>
      <c r="L802" s="111"/>
      <c r="M802" s="216"/>
      <c r="N802" s="270"/>
      <c r="O802" s="111"/>
      <c r="P802" s="111"/>
      <c r="Q802" s="218"/>
      <c r="R802" s="111"/>
    </row>
    <row r="803" ht="21.0" customHeight="1">
      <c r="A803" s="218"/>
      <c r="B803" s="219"/>
      <c r="C803" s="216"/>
      <c r="D803" s="111"/>
      <c r="E803" s="111"/>
      <c r="F803" s="218"/>
      <c r="G803" s="217"/>
      <c r="H803" s="218"/>
      <c r="I803" s="223"/>
      <c r="J803" s="269"/>
      <c r="K803" s="111"/>
      <c r="L803" s="111"/>
      <c r="M803" s="216"/>
      <c r="N803" s="270"/>
      <c r="O803" s="111"/>
      <c r="P803" s="111"/>
      <c r="Q803" s="218"/>
      <c r="R803" s="111"/>
    </row>
    <row r="804" ht="21.0" customHeight="1">
      <c r="A804" s="218"/>
      <c r="B804" s="219"/>
      <c r="C804" s="216"/>
      <c r="D804" s="111"/>
      <c r="E804" s="111"/>
      <c r="F804" s="218"/>
      <c r="G804" s="217"/>
      <c r="H804" s="218"/>
      <c r="I804" s="223"/>
      <c r="J804" s="269"/>
      <c r="K804" s="111"/>
      <c r="L804" s="111"/>
      <c r="M804" s="216"/>
      <c r="N804" s="270"/>
      <c r="O804" s="111"/>
      <c r="P804" s="111"/>
      <c r="Q804" s="218"/>
      <c r="R804" s="111"/>
    </row>
    <row r="805" ht="21.0" customHeight="1">
      <c r="A805" s="218"/>
      <c r="B805" s="219"/>
      <c r="C805" s="216"/>
      <c r="D805" s="111"/>
      <c r="E805" s="111"/>
      <c r="F805" s="218"/>
      <c r="G805" s="217"/>
      <c r="H805" s="218"/>
      <c r="I805" s="223"/>
      <c r="J805" s="269"/>
      <c r="K805" s="111"/>
      <c r="L805" s="111"/>
      <c r="M805" s="216"/>
      <c r="N805" s="270"/>
      <c r="O805" s="111"/>
      <c r="P805" s="111"/>
      <c r="Q805" s="218"/>
      <c r="R805" s="111"/>
    </row>
    <row r="806" ht="21.0" customHeight="1">
      <c r="A806" s="218"/>
      <c r="B806" s="219"/>
      <c r="C806" s="216"/>
      <c r="D806" s="111"/>
      <c r="E806" s="111"/>
      <c r="F806" s="218"/>
      <c r="G806" s="217"/>
      <c r="H806" s="218"/>
      <c r="I806" s="223"/>
      <c r="J806" s="269"/>
      <c r="K806" s="111"/>
      <c r="L806" s="111"/>
      <c r="M806" s="216"/>
      <c r="N806" s="270"/>
      <c r="O806" s="111"/>
      <c r="P806" s="111"/>
      <c r="Q806" s="218"/>
      <c r="R806" s="111"/>
    </row>
    <row r="807" ht="21.0" customHeight="1">
      <c r="A807" s="218"/>
      <c r="B807" s="219"/>
      <c r="C807" s="216"/>
      <c r="D807" s="111"/>
      <c r="E807" s="111"/>
      <c r="F807" s="218"/>
      <c r="G807" s="217"/>
      <c r="H807" s="218"/>
      <c r="I807" s="223"/>
      <c r="J807" s="269"/>
      <c r="K807" s="111"/>
      <c r="L807" s="111"/>
      <c r="M807" s="216"/>
      <c r="N807" s="270"/>
      <c r="O807" s="111"/>
      <c r="P807" s="111"/>
      <c r="Q807" s="218"/>
      <c r="R807" s="111"/>
    </row>
    <row r="808" ht="21.0" customHeight="1">
      <c r="A808" s="218"/>
      <c r="B808" s="219"/>
      <c r="C808" s="216"/>
      <c r="D808" s="111"/>
      <c r="E808" s="111"/>
      <c r="F808" s="218"/>
      <c r="G808" s="217"/>
      <c r="H808" s="218"/>
      <c r="I808" s="223"/>
      <c r="J808" s="269"/>
      <c r="K808" s="111"/>
      <c r="L808" s="111"/>
      <c r="M808" s="216"/>
      <c r="N808" s="270"/>
      <c r="O808" s="111"/>
      <c r="P808" s="111"/>
      <c r="Q808" s="218"/>
      <c r="R808" s="111"/>
    </row>
    <row r="809" ht="21.0" customHeight="1">
      <c r="A809" s="218"/>
      <c r="B809" s="219"/>
      <c r="C809" s="216"/>
      <c r="D809" s="111"/>
      <c r="E809" s="111"/>
      <c r="F809" s="218"/>
      <c r="G809" s="217"/>
      <c r="H809" s="218"/>
      <c r="I809" s="223"/>
      <c r="J809" s="269"/>
      <c r="K809" s="111"/>
      <c r="L809" s="111"/>
      <c r="M809" s="216"/>
      <c r="N809" s="270"/>
      <c r="O809" s="111"/>
      <c r="P809" s="111"/>
      <c r="Q809" s="218"/>
      <c r="R809" s="111"/>
    </row>
    <row r="810" ht="21.0" customHeight="1">
      <c r="A810" s="218"/>
      <c r="B810" s="219"/>
      <c r="C810" s="216"/>
      <c r="D810" s="111"/>
      <c r="E810" s="111"/>
      <c r="F810" s="218"/>
      <c r="G810" s="217"/>
      <c r="H810" s="218"/>
      <c r="I810" s="223"/>
      <c r="J810" s="269"/>
      <c r="K810" s="111"/>
      <c r="L810" s="111"/>
      <c r="M810" s="216"/>
      <c r="N810" s="270"/>
      <c r="O810" s="111"/>
      <c r="P810" s="111"/>
      <c r="Q810" s="218"/>
      <c r="R810" s="111"/>
    </row>
    <row r="811" ht="21.0" customHeight="1">
      <c r="A811" s="218"/>
      <c r="B811" s="219"/>
      <c r="C811" s="216"/>
      <c r="D811" s="111"/>
      <c r="E811" s="111"/>
      <c r="F811" s="218"/>
      <c r="G811" s="217"/>
      <c r="H811" s="218"/>
      <c r="I811" s="223"/>
      <c r="J811" s="269"/>
      <c r="K811" s="111"/>
      <c r="L811" s="111"/>
      <c r="M811" s="216"/>
      <c r="N811" s="270"/>
      <c r="O811" s="111"/>
      <c r="P811" s="111"/>
      <c r="Q811" s="218"/>
      <c r="R811" s="111"/>
    </row>
    <row r="812" ht="21.0" customHeight="1">
      <c r="A812" s="218"/>
      <c r="B812" s="219"/>
      <c r="C812" s="216"/>
      <c r="D812" s="111"/>
      <c r="E812" s="111"/>
      <c r="F812" s="218"/>
      <c r="G812" s="217"/>
      <c r="H812" s="218"/>
      <c r="I812" s="223"/>
      <c r="J812" s="269"/>
      <c r="K812" s="111"/>
      <c r="L812" s="111"/>
      <c r="M812" s="216"/>
      <c r="N812" s="270"/>
      <c r="O812" s="111"/>
      <c r="P812" s="111"/>
      <c r="Q812" s="218"/>
      <c r="R812" s="111"/>
    </row>
    <row r="813" ht="21.0" customHeight="1">
      <c r="A813" s="218"/>
      <c r="B813" s="219"/>
      <c r="C813" s="216"/>
      <c r="D813" s="111"/>
      <c r="E813" s="111"/>
      <c r="F813" s="218"/>
      <c r="G813" s="217"/>
      <c r="H813" s="218"/>
      <c r="I813" s="223"/>
      <c r="J813" s="269"/>
      <c r="K813" s="111"/>
      <c r="L813" s="111"/>
      <c r="M813" s="216"/>
      <c r="N813" s="270"/>
      <c r="O813" s="111"/>
      <c r="P813" s="111"/>
      <c r="Q813" s="218"/>
      <c r="R813" s="111"/>
    </row>
    <row r="814" ht="21.0" customHeight="1">
      <c r="A814" s="218"/>
      <c r="B814" s="219"/>
      <c r="C814" s="216"/>
      <c r="D814" s="111"/>
      <c r="E814" s="111"/>
      <c r="F814" s="218"/>
      <c r="G814" s="217"/>
      <c r="H814" s="218"/>
      <c r="I814" s="223"/>
      <c r="J814" s="269"/>
      <c r="K814" s="111"/>
      <c r="L814" s="111"/>
      <c r="M814" s="216"/>
      <c r="N814" s="270"/>
      <c r="O814" s="111"/>
      <c r="P814" s="111"/>
      <c r="Q814" s="218"/>
      <c r="R814" s="111"/>
    </row>
    <row r="815" ht="21.0" customHeight="1">
      <c r="A815" s="218"/>
      <c r="B815" s="219"/>
      <c r="C815" s="216"/>
      <c r="D815" s="111"/>
      <c r="E815" s="111"/>
      <c r="F815" s="218"/>
      <c r="G815" s="217"/>
      <c r="H815" s="218"/>
      <c r="I815" s="223"/>
      <c r="J815" s="269"/>
      <c r="K815" s="111"/>
      <c r="L815" s="111"/>
      <c r="M815" s="216"/>
      <c r="N815" s="270"/>
      <c r="O815" s="111"/>
      <c r="P815" s="111"/>
      <c r="Q815" s="218"/>
      <c r="R815" s="111"/>
    </row>
    <row r="816" ht="21.0" customHeight="1">
      <c r="A816" s="218"/>
      <c r="B816" s="219"/>
      <c r="C816" s="216"/>
      <c r="D816" s="111"/>
      <c r="E816" s="111"/>
      <c r="F816" s="218"/>
      <c r="G816" s="217"/>
      <c r="H816" s="218"/>
      <c r="I816" s="223"/>
      <c r="J816" s="269"/>
      <c r="K816" s="111"/>
      <c r="L816" s="111"/>
      <c r="M816" s="216"/>
      <c r="N816" s="270"/>
      <c r="O816" s="111"/>
      <c r="P816" s="111"/>
      <c r="Q816" s="218"/>
      <c r="R816" s="111"/>
    </row>
    <row r="817" ht="21.0" customHeight="1">
      <c r="A817" s="218"/>
      <c r="B817" s="219"/>
      <c r="C817" s="216"/>
      <c r="D817" s="111"/>
      <c r="E817" s="111"/>
      <c r="F817" s="218"/>
      <c r="G817" s="217"/>
      <c r="H817" s="218"/>
      <c r="I817" s="223"/>
      <c r="J817" s="269"/>
      <c r="K817" s="111"/>
      <c r="L817" s="111"/>
      <c r="M817" s="216"/>
      <c r="N817" s="270"/>
      <c r="O817" s="111"/>
      <c r="P817" s="111"/>
      <c r="Q817" s="218"/>
      <c r="R817" s="111"/>
    </row>
    <row r="818" ht="21.0" customHeight="1">
      <c r="A818" s="218"/>
      <c r="B818" s="219"/>
      <c r="C818" s="216"/>
      <c r="D818" s="111"/>
      <c r="E818" s="111"/>
      <c r="F818" s="218"/>
      <c r="G818" s="217"/>
      <c r="H818" s="218"/>
      <c r="I818" s="223"/>
      <c r="J818" s="269"/>
      <c r="K818" s="111"/>
      <c r="L818" s="111"/>
      <c r="M818" s="216"/>
      <c r="N818" s="270"/>
      <c r="O818" s="111"/>
      <c r="P818" s="111"/>
      <c r="Q818" s="218"/>
      <c r="R818" s="111"/>
    </row>
    <row r="819" ht="21.0" customHeight="1">
      <c r="A819" s="218"/>
      <c r="B819" s="219"/>
      <c r="C819" s="216"/>
      <c r="D819" s="111"/>
      <c r="E819" s="111"/>
      <c r="F819" s="218"/>
      <c r="G819" s="217"/>
      <c r="H819" s="218"/>
      <c r="I819" s="223"/>
      <c r="J819" s="269"/>
      <c r="K819" s="111"/>
      <c r="L819" s="111"/>
      <c r="M819" s="216"/>
      <c r="N819" s="270"/>
      <c r="O819" s="111"/>
      <c r="P819" s="111"/>
      <c r="Q819" s="218"/>
      <c r="R819" s="111"/>
    </row>
    <row r="820" ht="21.0" customHeight="1">
      <c r="A820" s="218"/>
      <c r="B820" s="219"/>
      <c r="C820" s="216"/>
      <c r="D820" s="111"/>
      <c r="E820" s="111"/>
      <c r="F820" s="218"/>
      <c r="G820" s="217"/>
      <c r="H820" s="218"/>
      <c r="I820" s="223"/>
      <c r="J820" s="269"/>
      <c r="K820" s="111"/>
      <c r="L820" s="111"/>
      <c r="M820" s="216"/>
      <c r="N820" s="270"/>
      <c r="O820" s="111"/>
      <c r="P820" s="111"/>
      <c r="Q820" s="218"/>
      <c r="R820" s="111"/>
    </row>
    <row r="821" ht="21.0" customHeight="1">
      <c r="A821" s="218"/>
      <c r="B821" s="219"/>
      <c r="C821" s="216"/>
      <c r="D821" s="111"/>
      <c r="E821" s="111"/>
      <c r="F821" s="218"/>
      <c r="G821" s="217"/>
      <c r="H821" s="218"/>
      <c r="I821" s="223"/>
      <c r="J821" s="269"/>
      <c r="K821" s="111"/>
      <c r="L821" s="111"/>
      <c r="M821" s="216"/>
      <c r="N821" s="270"/>
      <c r="O821" s="111"/>
      <c r="P821" s="111"/>
      <c r="Q821" s="218"/>
      <c r="R821" s="111"/>
    </row>
    <row r="822" ht="21.0" customHeight="1">
      <c r="A822" s="218"/>
      <c r="B822" s="219"/>
      <c r="C822" s="216"/>
      <c r="D822" s="111"/>
      <c r="E822" s="111"/>
      <c r="F822" s="218"/>
      <c r="G822" s="217"/>
      <c r="H822" s="218"/>
      <c r="I822" s="223"/>
      <c r="J822" s="269"/>
      <c r="K822" s="111"/>
      <c r="L822" s="111"/>
      <c r="M822" s="216"/>
      <c r="N822" s="270"/>
      <c r="O822" s="111"/>
      <c r="P822" s="111"/>
      <c r="Q822" s="218"/>
      <c r="R822" s="111"/>
    </row>
    <row r="823" ht="21.0" customHeight="1">
      <c r="A823" s="218"/>
      <c r="B823" s="219"/>
      <c r="C823" s="216"/>
      <c r="D823" s="111"/>
      <c r="E823" s="111"/>
      <c r="F823" s="218"/>
      <c r="G823" s="217"/>
      <c r="H823" s="218"/>
      <c r="I823" s="223"/>
      <c r="J823" s="269"/>
      <c r="K823" s="111"/>
      <c r="L823" s="111"/>
      <c r="M823" s="216"/>
      <c r="N823" s="270"/>
      <c r="O823" s="111"/>
      <c r="P823" s="111"/>
      <c r="Q823" s="218"/>
      <c r="R823" s="111"/>
    </row>
    <row r="824" ht="21.0" customHeight="1">
      <c r="A824" s="218"/>
      <c r="B824" s="219"/>
      <c r="C824" s="216"/>
      <c r="D824" s="111"/>
      <c r="E824" s="111"/>
      <c r="F824" s="218"/>
      <c r="G824" s="217"/>
      <c r="H824" s="218"/>
      <c r="I824" s="223"/>
      <c r="J824" s="269"/>
      <c r="K824" s="111"/>
      <c r="L824" s="111"/>
      <c r="M824" s="216"/>
      <c r="N824" s="270"/>
      <c r="O824" s="111"/>
      <c r="P824" s="111"/>
      <c r="Q824" s="218"/>
      <c r="R824" s="111"/>
    </row>
    <row r="825" ht="21.0" customHeight="1">
      <c r="A825" s="218"/>
      <c r="B825" s="219"/>
      <c r="C825" s="216"/>
      <c r="D825" s="111"/>
      <c r="E825" s="111"/>
      <c r="F825" s="218"/>
      <c r="G825" s="217"/>
      <c r="H825" s="218"/>
      <c r="I825" s="223"/>
      <c r="J825" s="269"/>
      <c r="K825" s="111"/>
      <c r="L825" s="111"/>
      <c r="M825" s="216"/>
      <c r="N825" s="270"/>
      <c r="O825" s="111"/>
      <c r="P825" s="111"/>
      <c r="Q825" s="218"/>
      <c r="R825" s="111"/>
    </row>
    <row r="826" ht="21.0" customHeight="1">
      <c r="A826" s="218"/>
      <c r="B826" s="219"/>
      <c r="C826" s="216"/>
      <c r="D826" s="111"/>
      <c r="E826" s="111"/>
      <c r="F826" s="218"/>
      <c r="G826" s="217"/>
      <c r="H826" s="218"/>
      <c r="I826" s="223"/>
      <c r="J826" s="269"/>
      <c r="K826" s="111"/>
      <c r="L826" s="111"/>
      <c r="M826" s="216"/>
      <c r="N826" s="270"/>
      <c r="O826" s="111"/>
      <c r="P826" s="111"/>
      <c r="Q826" s="218"/>
      <c r="R826" s="111"/>
    </row>
    <row r="827" ht="21.0" customHeight="1">
      <c r="A827" s="218"/>
      <c r="B827" s="219"/>
      <c r="C827" s="216"/>
      <c r="D827" s="111"/>
      <c r="E827" s="111"/>
      <c r="F827" s="218"/>
      <c r="G827" s="217"/>
      <c r="H827" s="218"/>
      <c r="I827" s="223"/>
      <c r="J827" s="269"/>
      <c r="K827" s="111"/>
      <c r="L827" s="111"/>
      <c r="M827" s="216"/>
      <c r="N827" s="270"/>
      <c r="O827" s="111"/>
      <c r="P827" s="111"/>
      <c r="Q827" s="218"/>
      <c r="R827" s="111"/>
    </row>
    <row r="828" ht="21.0" customHeight="1">
      <c r="A828" s="218"/>
      <c r="B828" s="219"/>
      <c r="C828" s="216"/>
      <c r="D828" s="111"/>
      <c r="E828" s="111"/>
      <c r="F828" s="218"/>
      <c r="G828" s="217"/>
      <c r="H828" s="218"/>
      <c r="I828" s="223"/>
      <c r="J828" s="269"/>
      <c r="K828" s="111"/>
      <c r="L828" s="111"/>
      <c r="M828" s="216"/>
      <c r="N828" s="270"/>
      <c r="O828" s="111"/>
      <c r="P828" s="111"/>
      <c r="Q828" s="218"/>
      <c r="R828" s="111"/>
    </row>
    <row r="829" ht="21.0" customHeight="1">
      <c r="A829" s="218"/>
      <c r="B829" s="219"/>
      <c r="C829" s="216"/>
      <c r="D829" s="111"/>
      <c r="E829" s="111"/>
      <c r="F829" s="218"/>
      <c r="G829" s="217"/>
      <c r="H829" s="218"/>
      <c r="I829" s="223"/>
      <c r="J829" s="269"/>
      <c r="K829" s="111"/>
      <c r="L829" s="111"/>
      <c r="M829" s="216"/>
      <c r="N829" s="270"/>
      <c r="O829" s="111"/>
      <c r="P829" s="111"/>
      <c r="Q829" s="218"/>
      <c r="R829" s="111"/>
    </row>
    <row r="830" ht="21.0" customHeight="1">
      <c r="A830" s="218"/>
      <c r="B830" s="219"/>
      <c r="C830" s="216"/>
      <c r="D830" s="111"/>
      <c r="E830" s="111"/>
      <c r="F830" s="218"/>
      <c r="G830" s="217"/>
      <c r="H830" s="218"/>
      <c r="I830" s="223"/>
      <c r="J830" s="269"/>
      <c r="K830" s="111"/>
      <c r="L830" s="111"/>
      <c r="M830" s="216"/>
      <c r="N830" s="270"/>
      <c r="O830" s="111"/>
      <c r="P830" s="111"/>
      <c r="Q830" s="218"/>
      <c r="R830" s="111"/>
    </row>
    <row r="831" ht="21.0" customHeight="1">
      <c r="A831" s="218"/>
      <c r="B831" s="219"/>
      <c r="C831" s="216"/>
      <c r="D831" s="111"/>
      <c r="E831" s="111"/>
      <c r="F831" s="218"/>
      <c r="G831" s="217"/>
      <c r="H831" s="218"/>
      <c r="I831" s="223"/>
      <c r="J831" s="269"/>
      <c r="K831" s="111"/>
      <c r="L831" s="111"/>
      <c r="M831" s="216"/>
      <c r="N831" s="270"/>
      <c r="O831" s="111"/>
      <c r="P831" s="111"/>
      <c r="Q831" s="218"/>
      <c r="R831" s="111"/>
    </row>
    <row r="832" ht="21.0" customHeight="1">
      <c r="A832" s="218"/>
      <c r="B832" s="219"/>
      <c r="C832" s="216"/>
      <c r="D832" s="111"/>
      <c r="E832" s="111"/>
      <c r="F832" s="218"/>
      <c r="G832" s="217"/>
      <c r="H832" s="218"/>
      <c r="I832" s="223"/>
      <c r="J832" s="269"/>
      <c r="K832" s="111"/>
      <c r="L832" s="111"/>
      <c r="M832" s="216"/>
      <c r="N832" s="270"/>
      <c r="O832" s="111"/>
      <c r="P832" s="111"/>
      <c r="Q832" s="218"/>
      <c r="R832" s="111"/>
    </row>
    <row r="833" ht="21.0" customHeight="1">
      <c r="A833" s="218"/>
      <c r="B833" s="219"/>
      <c r="C833" s="216"/>
      <c r="D833" s="111"/>
      <c r="E833" s="111"/>
      <c r="F833" s="218"/>
      <c r="G833" s="217"/>
      <c r="H833" s="218"/>
      <c r="I833" s="223"/>
      <c r="J833" s="269"/>
      <c r="K833" s="111"/>
      <c r="L833" s="111"/>
      <c r="M833" s="216"/>
      <c r="N833" s="270"/>
      <c r="O833" s="111"/>
      <c r="P833" s="111"/>
      <c r="Q833" s="218"/>
      <c r="R833" s="111"/>
    </row>
    <row r="834" ht="21.0" customHeight="1">
      <c r="A834" s="218"/>
      <c r="B834" s="219"/>
      <c r="C834" s="216"/>
      <c r="D834" s="111"/>
      <c r="E834" s="111"/>
      <c r="F834" s="218"/>
      <c r="G834" s="217"/>
      <c r="H834" s="218"/>
      <c r="I834" s="223"/>
      <c r="J834" s="269"/>
      <c r="K834" s="111"/>
      <c r="L834" s="111"/>
      <c r="M834" s="216"/>
      <c r="N834" s="270"/>
      <c r="O834" s="111"/>
      <c r="P834" s="111"/>
      <c r="Q834" s="218"/>
      <c r="R834" s="111"/>
    </row>
    <row r="835" ht="21.0" customHeight="1">
      <c r="A835" s="218"/>
      <c r="B835" s="219"/>
      <c r="C835" s="216"/>
      <c r="D835" s="111"/>
      <c r="E835" s="111"/>
      <c r="F835" s="218"/>
      <c r="G835" s="217"/>
      <c r="H835" s="218"/>
      <c r="I835" s="223"/>
      <c r="J835" s="269"/>
      <c r="K835" s="111"/>
      <c r="L835" s="111"/>
      <c r="M835" s="216"/>
      <c r="N835" s="270"/>
      <c r="O835" s="111"/>
      <c r="P835" s="111"/>
      <c r="Q835" s="218"/>
      <c r="R835" s="111"/>
    </row>
    <row r="836" ht="21.0" customHeight="1">
      <c r="A836" s="218"/>
      <c r="B836" s="219"/>
      <c r="C836" s="216"/>
      <c r="D836" s="111"/>
      <c r="E836" s="111"/>
      <c r="F836" s="218"/>
      <c r="G836" s="217"/>
      <c r="H836" s="218"/>
      <c r="I836" s="223"/>
      <c r="J836" s="269"/>
      <c r="K836" s="111"/>
      <c r="L836" s="111"/>
      <c r="M836" s="216"/>
      <c r="N836" s="270"/>
      <c r="O836" s="111"/>
      <c r="P836" s="111"/>
      <c r="Q836" s="218"/>
      <c r="R836" s="111"/>
    </row>
    <row r="837" ht="21.0" customHeight="1">
      <c r="A837" s="218"/>
      <c r="B837" s="219"/>
      <c r="C837" s="216"/>
      <c r="D837" s="111"/>
      <c r="E837" s="111"/>
      <c r="F837" s="218"/>
      <c r="G837" s="217"/>
      <c r="H837" s="218"/>
      <c r="I837" s="223"/>
      <c r="J837" s="269"/>
      <c r="K837" s="111"/>
      <c r="L837" s="111"/>
      <c r="M837" s="216"/>
      <c r="N837" s="270"/>
      <c r="O837" s="111"/>
      <c r="P837" s="111"/>
      <c r="Q837" s="218"/>
      <c r="R837" s="111"/>
    </row>
    <row r="838" ht="21.0" customHeight="1">
      <c r="A838" s="218"/>
      <c r="B838" s="219"/>
      <c r="C838" s="216"/>
      <c r="D838" s="111"/>
      <c r="E838" s="111"/>
      <c r="F838" s="218"/>
      <c r="G838" s="217"/>
      <c r="H838" s="218"/>
      <c r="I838" s="223"/>
      <c r="J838" s="269"/>
      <c r="K838" s="111"/>
      <c r="L838" s="111"/>
      <c r="M838" s="216"/>
      <c r="N838" s="270"/>
      <c r="O838" s="111"/>
      <c r="P838" s="111"/>
      <c r="Q838" s="218"/>
      <c r="R838" s="111"/>
    </row>
    <row r="839" ht="21.0" customHeight="1">
      <c r="A839" s="218"/>
      <c r="B839" s="219"/>
      <c r="C839" s="216"/>
      <c r="D839" s="111"/>
      <c r="E839" s="111"/>
      <c r="F839" s="218"/>
      <c r="G839" s="217"/>
      <c r="H839" s="218"/>
      <c r="I839" s="223"/>
      <c r="J839" s="269"/>
      <c r="K839" s="111"/>
      <c r="L839" s="111"/>
      <c r="M839" s="216"/>
      <c r="N839" s="270"/>
      <c r="O839" s="111"/>
      <c r="P839" s="111"/>
      <c r="Q839" s="218"/>
      <c r="R839" s="111"/>
    </row>
    <row r="840" ht="21.0" customHeight="1">
      <c r="A840" s="218"/>
      <c r="B840" s="219"/>
      <c r="C840" s="216"/>
      <c r="D840" s="111"/>
      <c r="E840" s="111"/>
      <c r="F840" s="218"/>
      <c r="G840" s="217"/>
      <c r="H840" s="218"/>
      <c r="I840" s="223"/>
      <c r="J840" s="269"/>
      <c r="K840" s="111"/>
      <c r="L840" s="111"/>
      <c r="M840" s="216"/>
      <c r="N840" s="270"/>
      <c r="O840" s="111"/>
      <c r="P840" s="111"/>
      <c r="Q840" s="218"/>
      <c r="R840" s="111"/>
    </row>
    <row r="841" ht="21.0" customHeight="1">
      <c r="A841" s="218"/>
      <c r="B841" s="219"/>
      <c r="C841" s="216"/>
      <c r="D841" s="111"/>
      <c r="E841" s="111"/>
      <c r="F841" s="218"/>
      <c r="G841" s="217"/>
      <c r="H841" s="218"/>
      <c r="I841" s="223"/>
      <c r="J841" s="269"/>
      <c r="K841" s="111"/>
      <c r="L841" s="111"/>
      <c r="M841" s="216"/>
      <c r="N841" s="270"/>
      <c r="O841" s="111"/>
      <c r="P841" s="111"/>
      <c r="Q841" s="218"/>
      <c r="R841" s="111"/>
    </row>
    <row r="842" ht="21.0" customHeight="1">
      <c r="A842" s="218"/>
      <c r="B842" s="219"/>
      <c r="C842" s="216"/>
      <c r="D842" s="111"/>
      <c r="E842" s="111"/>
      <c r="F842" s="218"/>
      <c r="G842" s="217"/>
      <c r="H842" s="218"/>
      <c r="I842" s="223"/>
      <c r="J842" s="269"/>
      <c r="K842" s="111"/>
      <c r="L842" s="111"/>
      <c r="M842" s="216"/>
      <c r="N842" s="270"/>
      <c r="O842" s="111"/>
      <c r="P842" s="111"/>
      <c r="Q842" s="218"/>
      <c r="R842" s="111"/>
    </row>
    <row r="843" ht="21.0" customHeight="1">
      <c r="A843" s="218"/>
      <c r="B843" s="219"/>
      <c r="C843" s="216"/>
      <c r="D843" s="111"/>
      <c r="E843" s="111"/>
      <c r="F843" s="218"/>
      <c r="G843" s="217"/>
      <c r="H843" s="218"/>
      <c r="I843" s="223"/>
      <c r="J843" s="269"/>
      <c r="K843" s="111"/>
      <c r="L843" s="111"/>
      <c r="M843" s="216"/>
      <c r="N843" s="270"/>
      <c r="O843" s="111"/>
      <c r="P843" s="111"/>
      <c r="Q843" s="218"/>
      <c r="R843" s="111"/>
    </row>
    <row r="844" ht="21.0" customHeight="1">
      <c r="A844" s="218"/>
      <c r="B844" s="219"/>
      <c r="C844" s="216"/>
      <c r="D844" s="111"/>
      <c r="E844" s="111"/>
      <c r="F844" s="218"/>
      <c r="G844" s="217"/>
      <c r="H844" s="218"/>
      <c r="I844" s="223"/>
      <c r="J844" s="269"/>
      <c r="K844" s="111"/>
      <c r="L844" s="111"/>
      <c r="M844" s="216"/>
      <c r="N844" s="270"/>
      <c r="O844" s="111"/>
      <c r="P844" s="111"/>
      <c r="Q844" s="218"/>
      <c r="R844" s="111"/>
    </row>
    <row r="845" ht="21.0" customHeight="1">
      <c r="A845" s="218"/>
      <c r="B845" s="219"/>
      <c r="C845" s="216"/>
      <c r="D845" s="111"/>
      <c r="E845" s="111"/>
      <c r="F845" s="218"/>
      <c r="G845" s="217"/>
      <c r="H845" s="218"/>
      <c r="I845" s="223"/>
      <c r="J845" s="269"/>
      <c r="K845" s="111"/>
      <c r="L845" s="111"/>
      <c r="M845" s="216"/>
      <c r="N845" s="270"/>
      <c r="O845" s="111"/>
      <c r="P845" s="111"/>
      <c r="Q845" s="218"/>
      <c r="R845" s="111"/>
    </row>
    <row r="846" ht="21.0" customHeight="1">
      <c r="A846" s="218"/>
      <c r="B846" s="219"/>
      <c r="C846" s="216"/>
      <c r="D846" s="111"/>
      <c r="E846" s="111"/>
      <c r="F846" s="218"/>
      <c r="G846" s="217"/>
      <c r="H846" s="218"/>
      <c r="I846" s="223"/>
      <c r="J846" s="269"/>
      <c r="K846" s="111"/>
      <c r="L846" s="111"/>
      <c r="M846" s="216"/>
      <c r="N846" s="270"/>
      <c r="O846" s="111"/>
      <c r="P846" s="111"/>
      <c r="Q846" s="218"/>
      <c r="R846" s="111"/>
    </row>
    <row r="847" ht="21.0" customHeight="1">
      <c r="A847" s="218"/>
      <c r="B847" s="219"/>
      <c r="C847" s="216"/>
      <c r="D847" s="111"/>
      <c r="E847" s="111"/>
      <c r="F847" s="218"/>
      <c r="G847" s="217"/>
      <c r="H847" s="218"/>
      <c r="I847" s="223"/>
      <c r="J847" s="269"/>
      <c r="K847" s="111"/>
      <c r="L847" s="111"/>
      <c r="M847" s="216"/>
      <c r="N847" s="270"/>
      <c r="O847" s="111"/>
      <c r="P847" s="111"/>
      <c r="Q847" s="218"/>
      <c r="R847" s="111"/>
    </row>
    <row r="848" ht="21.0" customHeight="1">
      <c r="A848" s="218"/>
      <c r="B848" s="219"/>
      <c r="C848" s="216"/>
      <c r="D848" s="111"/>
      <c r="E848" s="111"/>
      <c r="F848" s="218"/>
      <c r="G848" s="217"/>
      <c r="H848" s="218"/>
      <c r="I848" s="223"/>
      <c r="J848" s="269"/>
      <c r="K848" s="111"/>
      <c r="L848" s="111"/>
      <c r="M848" s="216"/>
      <c r="N848" s="270"/>
      <c r="O848" s="111"/>
      <c r="P848" s="111"/>
      <c r="Q848" s="218"/>
      <c r="R848" s="111"/>
    </row>
    <row r="849" ht="21.0" customHeight="1">
      <c r="A849" s="218"/>
      <c r="B849" s="219"/>
      <c r="C849" s="216"/>
      <c r="D849" s="111"/>
      <c r="E849" s="111"/>
      <c r="F849" s="218"/>
      <c r="G849" s="217"/>
      <c r="H849" s="218"/>
      <c r="I849" s="223"/>
      <c r="J849" s="269"/>
      <c r="K849" s="111"/>
      <c r="L849" s="111"/>
      <c r="M849" s="216"/>
      <c r="N849" s="270"/>
      <c r="O849" s="111"/>
      <c r="P849" s="111"/>
      <c r="Q849" s="218"/>
      <c r="R849" s="111"/>
    </row>
    <row r="850" ht="21.0" customHeight="1">
      <c r="A850" s="218"/>
      <c r="B850" s="219"/>
      <c r="C850" s="216"/>
      <c r="D850" s="111"/>
      <c r="E850" s="111"/>
      <c r="F850" s="218"/>
      <c r="G850" s="217"/>
      <c r="H850" s="218"/>
      <c r="I850" s="223"/>
      <c r="J850" s="269"/>
      <c r="K850" s="111"/>
      <c r="L850" s="111"/>
      <c r="M850" s="216"/>
      <c r="N850" s="270"/>
      <c r="O850" s="111"/>
      <c r="P850" s="111"/>
      <c r="Q850" s="218"/>
      <c r="R850" s="111"/>
    </row>
    <row r="851" ht="21.0" customHeight="1">
      <c r="A851" s="218"/>
      <c r="B851" s="219"/>
      <c r="C851" s="216"/>
      <c r="D851" s="111"/>
      <c r="E851" s="111"/>
      <c r="F851" s="218"/>
      <c r="G851" s="217"/>
      <c r="H851" s="218"/>
      <c r="I851" s="223"/>
      <c r="J851" s="269"/>
      <c r="K851" s="111"/>
      <c r="L851" s="111"/>
      <c r="M851" s="216"/>
      <c r="N851" s="270"/>
      <c r="O851" s="111"/>
      <c r="P851" s="111"/>
      <c r="Q851" s="218"/>
      <c r="R851" s="111"/>
    </row>
    <row r="852" ht="21.0" customHeight="1">
      <c r="A852" s="218"/>
      <c r="B852" s="219"/>
      <c r="C852" s="216"/>
      <c r="D852" s="111"/>
      <c r="E852" s="111"/>
      <c r="F852" s="218"/>
      <c r="G852" s="217"/>
      <c r="H852" s="218"/>
      <c r="I852" s="223"/>
      <c r="J852" s="269"/>
      <c r="K852" s="111"/>
      <c r="L852" s="111"/>
      <c r="M852" s="216"/>
      <c r="N852" s="270"/>
      <c r="O852" s="111"/>
      <c r="P852" s="111"/>
      <c r="Q852" s="218"/>
      <c r="R852" s="111"/>
    </row>
    <row r="853" ht="21.0" customHeight="1">
      <c r="A853" s="218"/>
      <c r="B853" s="219"/>
      <c r="C853" s="216"/>
      <c r="D853" s="111"/>
      <c r="E853" s="111"/>
      <c r="F853" s="218"/>
      <c r="G853" s="217"/>
      <c r="H853" s="218"/>
      <c r="I853" s="223"/>
      <c r="J853" s="269"/>
      <c r="K853" s="111"/>
      <c r="L853" s="111"/>
      <c r="M853" s="216"/>
      <c r="N853" s="270"/>
      <c r="O853" s="111"/>
      <c r="P853" s="111"/>
      <c r="Q853" s="218"/>
      <c r="R853" s="111"/>
    </row>
    <row r="854" ht="21.0" customHeight="1">
      <c r="A854" s="218"/>
      <c r="B854" s="219"/>
      <c r="C854" s="216"/>
      <c r="D854" s="111"/>
      <c r="E854" s="111"/>
      <c r="F854" s="218"/>
      <c r="G854" s="217"/>
      <c r="H854" s="218"/>
      <c r="I854" s="223"/>
      <c r="J854" s="269"/>
      <c r="K854" s="111"/>
      <c r="L854" s="111"/>
      <c r="M854" s="216"/>
      <c r="N854" s="270"/>
      <c r="O854" s="111"/>
      <c r="P854" s="111"/>
      <c r="Q854" s="218"/>
      <c r="R854" s="111"/>
    </row>
    <row r="855" ht="21.0" customHeight="1">
      <c r="A855" s="218"/>
      <c r="B855" s="219"/>
      <c r="C855" s="216"/>
      <c r="D855" s="111"/>
      <c r="E855" s="111"/>
      <c r="F855" s="218"/>
      <c r="G855" s="217"/>
      <c r="H855" s="218"/>
      <c r="I855" s="223"/>
      <c r="J855" s="269"/>
      <c r="K855" s="111"/>
      <c r="L855" s="111"/>
      <c r="M855" s="216"/>
      <c r="N855" s="270"/>
      <c r="O855" s="111"/>
      <c r="P855" s="111"/>
      <c r="Q855" s="218"/>
      <c r="R855" s="111"/>
    </row>
    <row r="856" ht="21.0" customHeight="1">
      <c r="A856" s="218"/>
      <c r="B856" s="219"/>
      <c r="C856" s="216"/>
      <c r="D856" s="111"/>
      <c r="E856" s="111"/>
      <c r="F856" s="218"/>
      <c r="G856" s="217"/>
      <c r="H856" s="218"/>
      <c r="I856" s="223"/>
      <c r="J856" s="269"/>
      <c r="K856" s="111"/>
      <c r="L856" s="111"/>
      <c r="M856" s="216"/>
      <c r="N856" s="270"/>
      <c r="O856" s="111"/>
      <c r="P856" s="111"/>
      <c r="Q856" s="218"/>
      <c r="R856" s="111"/>
    </row>
    <row r="857" ht="21.0" customHeight="1">
      <c r="A857" s="218"/>
      <c r="B857" s="219"/>
      <c r="C857" s="216"/>
      <c r="D857" s="111"/>
      <c r="E857" s="111"/>
      <c r="F857" s="218"/>
      <c r="G857" s="217"/>
      <c r="H857" s="218"/>
      <c r="I857" s="223"/>
      <c r="J857" s="269"/>
      <c r="K857" s="111"/>
      <c r="L857" s="111"/>
      <c r="M857" s="216"/>
      <c r="N857" s="270"/>
      <c r="O857" s="111"/>
      <c r="P857" s="111"/>
      <c r="Q857" s="218"/>
      <c r="R857" s="111"/>
    </row>
    <row r="858" ht="21.0" customHeight="1">
      <c r="A858" s="218"/>
      <c r="B858" s="219"/>
      <c r="C858" s="216"/>
      <c r="D858" s="111"/>
      <c r="E858" s="111"/>
      <c r="F858" s="218"/>
      <c r="G858" s="217"/>
      <c r="H858" s="218"/>
      <c r="I858" s="223"/>
      <c r="J858" s="269"/>
      <c r="K858" s="111"/>
      <c r="L858" s="111"/>
      <c r="M858" s="216"/>
      <c r="N858" s="270"/>
      <c r="O858" s="111"/>
      <c r="P858" s="111"/>
      <c r="Q858" s="218"/>
      <c r="R858" s="111"/>
    </row>
    <row r="859" ht="21.0" customHeight="1">
      <c r="A859" s="218"/>
      <c r="B859" s="219"/>
      <c r="C859" s="216"/>
      <c r="D859" s="111"/>
      <c r="E859" s="111"/>
      <c r="F859" s="218"/>
      <c r="G859" s="217"/>
      <c r="H859" s="218"/>
      <c r="I859" s="223"/>
      <c r="J859" s="269"/>
      <c r="K859" s="111"/>
      <c r="L859" s="111"/>
      <c r="M859" s="216"/>
      <c r="N859" s="270"/>
      <c r="O859" s="111"/>
      <c r="P859" s="111"/>
      <c r="Q859" s="218"/>
      <c r="R859" s="111"/>
    </row>
    <row r="860" ht="21.0" customHeight="1">
      <c r="A860" s="218"/>
      <c r="B860" s="219"/>
      <c r="C860" s="216"/>
      <c r="D860" s="111"/>
      <c r="E860" s="111"/>
      <c r="F860" s="218"/>
      <c r="G860" s="217"/>
      <c r="H860" s="218"/>
      <c r="I860" s="223"/>
      <c r="J860" s="269"/>
      <c r="K860" s="111"/>
      <c r="L860" s="111"/>
      <c r="M860" s="216"/>
      <c r="N860" s="270"/>
      <c r="O860" s="111"/>
      <c r="P860" s="111"/>
      <c r="Q860" s="218"/>
      <c r="R860" s="111"/>
    </row>
    <row r="861" ht="21.0" customHeight="1">
      <c r="A861" s="218"/>
      <c r="B861" s="219"/>
      <c r="C861" s="216"/>
      <c r="D861" s="111"/>
      <c r="E861" s="111"/>
      <c r="F861" s="218"/>
      <c r="G861" s="217"/>
      <c r="H861" s="218"/>
      <c r="I861" s="223"/>
      <c r="J861" s="269"/>
      <c r="K861" s="111"/>
      <c r="L861" s="111"/>
      <c r="M861" s="216"/>
      <c r="N861" s="270"/>
      <c r="O861" s="111"/>
      <c r="P861" s="111"/>
      <c r="Q861" s="218"/>
      <c r="R861" s="111"/>
    </row>
    <row r="862" ht="21.0" customHeight="1">
      <c r="A862" s="218"/>
      <c r="B862" s="219"/>
      <c r="C862" s="216"/>
      <c r="D862" s="111"/>
      <c r="E862" s="111"/>
      <c r="F862" s="218"/>
      <c r="G862" s="217"/>
      <c r="H862" s="218"/>
      <c r="I862" s="223"/>
      <c r="J862" s="269"/>
      <c r="K862" s="111"/>
      <c r="L862" s="111"/>
      <c r="M862" s="216"/>
      <c r="N862" s="270"/>
      <c r="O862" s="111"/>
      <c r="P862" s="111"/>
      <c r="Q862" s="218"/>
      <c r="R862" s="111"/>
    </row>
    <row r="863" ht="21.0" customHeight="1">
      <c r="A863" s="218"/>
      <c r="B863" s="219"/>
      <c r="C863" s="216"/>
      <c r="D863" s="111"/>
      <c r="E863" s="111"/>
      <c r="F863" s="218"/>
      <c r="G863" s="217"/>
      <c r="H863" s="218"/>
      <c r="I863" s="223"/>
      <c r="J863" s="269"/>
      <c r="K863" s="111"/>
      <c r="L863" s="111"/>
      <c r="M863" s="216"/>
      <c r="N863" s="270"/>
      <c r="O863" s="111"/>
      <c r="P863" s="111"/>
      <c r="Q863" s="218"/>
      <c r="R863" s="111"/>
    </row>
    <row r="864" ht="21.0" customHeight="1">
      <c r="A864" s="218"/>
      <c r="B864" s="219"/>
      <c r="C864" s="216"/>
      <c r="D864" s="111"/>
      <c r="E864" s="111"/>
      <c r="F864" s="218"/>
      <c r="G864" s="217"/>
      <c r="H864" s="218"/>
      <c r="I864" s="223"/>
      <c r="J864" s="269"/>
      <c r="K864" s="111"/>
      <c r="L864" s="111"/>
      <c r="M864" s="216"/>
      <c r="N864" s="270"/>
      <c r="O864" s="111"/>
      <c r="P864" s="111"/>
      <c r="Q864" s="218"/>
      <c r="R864" s="111"/>
    </row>
    <row r="865" ht="21.0" customHeight="1">
      <c r="A865" s="218"/>
      <c r="B865" s="219"/>
      <c r="C865" s="216"/>
      <c r="D865" s="111"/>
      <c r="E865" s="111"/>
      <c r="F865" s="218"/>
      <c r="G865" s="217"/>
      <c r="H865" s="218"/>
      <c r="I865" s="223"/>
      <c r="J865" s="269"/>
      <c r="K865" s="111"/>
      <c r="L865" s="111"/>
      <c r="M865" s="216"/>
      <c r="N865" s="270"/>
      <c r="O865" s="111"/>
      <c r="P865" s="111"/>
      <c r="Q865" s="218"/>
      <c r="R865" s="111"/>
    </row>
    <row r="866" ht="21.0" customHeight="1">
      <c r="A866" s="218"/>
      <c r="B866" s="219"/>
      <c r="C866" s="216"/>
      <c r="D866" s="111"/>
      <c r="E866" s="111"/>
      <c r="F866" s="218"/>
      <c r="G866" s="217"/>
      <c r="H866" s="218"/>
      <c r="I866" s="223"/>
      <c r="J866" s="269"/>
      <c r="K866" s="111"/>
      <c r="L866" s="111"/>
      <c r="M866" s="216"/>
      <c r="N866" s="270"/>
      <c r="O866" s="111"/>
      <c r="P866" s="111"/>
      <c r="Q866" s="218"/>
      <c r="R866" s="111"/>
    </row>
    <row r="867" ht="21.0" customHeight="1">
      <c r="A867" s="218"/>
      <c r="B867" s="219"/>
      <c r="C867" s="216"/>
      <c r="D867" s="111"/>
      <c r="E867" s="111"/>
      <c r="F867" s="218"/>
      <c r="G867" s="217"/>
      <c r="H867" s="218"/>
      <c r="I867" s="223"/>
      <c r="J867" s="269"/>
      <c r="K867" s="111"/>
      <c r="L867" s="111"/>
      <c r="M867" s="216"/>
      <c r="N867" s="270"/>
      <c r="O867" s="111"/>
      <c r="P867" s="111"/>
      <c r="Q867" s="218"/>
      <c r="R867" s="111"/>
    </row>
    <row r="868" ht="21.0" customHeight="1">
      <c r="A868" s="218"/>
      <c r="B868" s="219"/>
      <c r="C868" s="216"/>
      <c r="D868" s="111"/>
      <c r="E868" s="111"/>
      <c r="F868" s="218"/>
      <c r="G868" s="217"/>
      <c r="H868" s="218"/>
      <c r="I868" s="223"/>
      <c r="J868" s="269"/>
      <c r="K868" s="111"/>
      <c r="L868" s="111"/>
      <c r="M868" s="216"/>
      <c r="N868" s="270"/>
      <c r="O868" s="111"/>
      <c r="P868" s="111"/>
      <c r="Q868" s="218"/>
      <c r="R868" s="111"/>
    </row>
    <row r="869" ht="21.0" customHeight="1">
      <c r="A869" s="218"/>
      <c r="B869" s="219"/>
      <c r="C869" s="216"/>
      <c r="D869" s="111"/>
      <c r="E869" s="111"/>
      <c r="F869" s="218"/>
      <c r="G869" s="217"/>
      <c r="H869" s="218"/>
      <c r="I869" s="223"/>
      <c r="J869" s="269"/>
      <c r="K869" s="111"/>
      <c r="L869" s="111"/>
      <c r="M869" s="216"/>
      <c r="N869" s="270"/>
      <c r="O869" s="111"/>
      <c r="P869" s="111"/>
      <c r="Q869" s="218"/>
      <c r="R869" s="111"/>
    </row>
    <row r="870" ht="21.0" customHeight="1">
      <c r="A870" s="218"/>
      <c r="B870" s="219"/>
      <c r="C870" s="216"/>
      <c r="D870" s="111"/>
      <c r="E870" s="111"/>
      <c r="F870" s="218"/>
      <c r="G870" s="217"/>
      <c r="H870" s="218"/>
      <c r="I870" s="223"/>
      <c r="J870" s="269"/>
      <c r="K870" s="111"/>
      <c r="L870" s="111"/>
      <c r="M870" s="216"/>
      <c r="N870" s="270"/>
      <c r="O870" s="111"/>
      <c r="P870" s="111"/>
      <c r="Q870" s="218"/>
      <c r="R870" s="111"/>
    </row>
    <row r="871" ht="21.0" customHeight="1">
      <c r="A871" s="218"/>
      <c r="B871" s="219"/>
      <c r="C871" s="216"/>
      <c r="D871" s="111"/>
      <c r="E871" s="111"/>
      <c r="F871" s="218"/>
      <c r="G871" s="217"/>
      <c r="H871" s="218"/>
      <c r="I871" s="223"/>
      <c r="J871" s="269"/>
      <c r="K871" s="111"/>
      <c r="L871" s="111"/>
      <c r="M871" s="216"/>
      <c r="N871" s="270"/>
      <c r="O871" s="111"/>
      <c r="P871" s="111"/>
      <c r="Q871" s="218"/>
      <c r="R871" s="111"/>
    </row>
    <row r="872" ht="21.0" customHeight="1">
      <c r="A872" s="218"/>
      <c r="B872" s="219"/>
      <c r="C872" s="216"/>
      <c r="D872" s="111"/>
      <c r="E872" s="111"/>
      <c r="F872" s="218"/>
      <c r="G872" s="217"/>
      <c r="H872" s="218"/>
      <c r="I872" s="223"/>
      <c r="J872" s="269"/>
      <c r="K872" s="111"/>
      <c r="L872" s="111"/>
      <c r="M872" s="216"/>
      <c r="N872" s="270"/>
      <c r="O872" s="111"/>
      <c r="P872" s="111"/>
      <c r="Q872" s="218"/>
      <c r="R872" s="111"/>
    </row>
    <row r="873" ht="21.0" customHeight="1">
      <c r="A873" s="218"/>
      <c r="B873" s="219"/>
      <c r="C873" s="216"/>
      <c r="D873" s="111"/>
      <c r="E873" s="111"/>
      <c r="F873" s="218"/>
      <c r="G873" s="217"/>
      <c r="H873" s="218"/>
      <c r="I873" s="223"/>
      <c r="J873" s="269"/>
      <c r="K873" s="111"/>
      <c r="L873" s="111"/>
      <c r="M873" s="216"/>
      <c r="N873" s="270"/>
      <c r="O873" s="111"/>
      <c r="P873" s="111"/>
      <c r="Q873" s="218"/>
      <c r="R873" s="111"/>
    </row>
    <row r="874" ht="21.0" customHeight="1">
      <c r="A874" s="218"/>
      <c r="B874" s="219"/>
      <c r="C874" s="216"/>
      <c r="D874" s="111"/>
      <c r="E874" s="111"/>
      <c r="F874" s="218"/>
      <c r="G874" s="217"/>
      <c r="H874" s="218"/>
      <c r="I874" s="223"/>
      <c r="J874" s="269"/>
      <c r="K874" s="111"/>
      <c r="L874" s="111"/>
      <c r="M874" s="216"/>
      <c r="N874" s="270"/>
      <c r="O874" s="111"/>
      <c r="P874" s="111"/>
      <c r="Q874" s="218"/>
      <c r="R874" s="111"/>
    </row>
    <row r="875" ht="21.0" customHeight="1">
      <c r="A875" s="218"/>
      <c r="B875" s="219"/>
      <c r="C875" s="216"/>
      <c r="D875" s="111"/>
      <c r="E875" s="111"/>
      <c r="F875" s="218"/>
      <c r="G875" s="217"/>
      <c r="H875" s="218"/>
      <c r="I875" s="223"/>
      <c r="J875" s="269"/>
      <c r="K875" s="111"/>
      <c r="L875" s="111"/>
      <c r="M875" s="216"/>
      <c r="N875" s="270"/>
      <c r="O875" s="111"/>
      <c r="P875" s="111"/>
      <c r="Q875" s="218"/>
      <c r="R875" s="111"/>
    </row>
    <row r="876" ht="21.0" customHeight="1">
      <c r="A876" s="218"/>
      <c r="B876" s="219"/>
      <c r="C876" s="216"/>
      <c r="D876" s="111"/>
      <c r="E876" s="111"/>
      <c r="F876" s="218"/>
      <c r="G876" s="217"/>
      <c r="H876" s="218"/>
      <c r="I876" s="223"/>
      <c r="J876" s="269"/>
      <c r="K876" s="111"/>
      <c r="L876" s="111"/>
      <c r="M876" s="216"/>
      <c r="N876" s="270"/>
      <c r="O876" s="111"/>
      <c r="P876" s="111"/>
      <c r="Q876" s="218"/>
      <c r="R876" s="111"/>
    </row>
    <row r="877" ht="21.0" customHeight="1">
      <c r="A877" s="218"/>
      <c r="B877" s="219"/>
      <c r="C877" s="216"/>
      <c r="D877" s="111"/>
      <c r="E877" s="111"/>
      <c r="F877" s="218"/>
      <c r="G877" s="217"/>
      <c r="H877" s="218"/>
      <c r="I877" s="223"/>
      <c r="J877" s="269"/>
      <c r="K877" s="111"/>
      <c r="L877" s="111"/>
      <c r="M877" s="216"/>
      <c r="N877" s="270"/>
      <c r="O877" s="111"/>
      <c r="P877" s="111"/>
      <c r="Q877" s="218"/>
      <c r="R877" s="111"/>
    </row>
    <row r="878" ht="21.0" customHeight="1">
      <c r="A878" s="218"/>
      <c r="B878" s="219"/>
      <c r="C878" s="216"/>
      <c r="D878" s="111"/>
      <c r="E878" s="111"/>
      <c r="F878" s="218"/>
      <c r="G878" s="217"/>
      <c r="H878" s="218"/>
      <c r="I878" s="223"/>
      <c r="J878" s="269"/>
      <c r="K878" s="111"/>
      <c r="L878" s="111"/>
      <c r="M878" s="216"/>
      <c r="N878" s="270"/>
      <c r="O878" s="111"/>
      <c r="P878" s="111"/>
      <c r="Q878" s="218"/>
      <c r="R878" s="111"/>
    </row>
    <row r="879" ht="21.0" customHeight="1">
      <c r="A879" s="218"/>
      <c r="B879" s="219"/>
      <c r="C879" s="216"/>
      <c r="D879" s="111"/>
      <c r="E879" s="111"/>
      <c r="F879" s="218"/>
      <c r="G879" s="217"/>
      <c r="H879" s="218"/>
      <c r="I879" s="223"/>
      <c r="J879" s="269"/>
      <c r="K879" s="111"/>
      <c r="L879" s="111"/>
      <c r="M879" s="216"/>
      <c r="N879" s="270"/>
      <c r="O879" s="111"/>
      <c r="P879" s="111"/>
      <c r="Q879" s="218"/>
      <c r="R879" s="111"/>
    </row>
    <row r="880" ht="21.0" customHeight="1">
      <c r="A880" s="218"/>
      <c r="B880" s="219"/>
      <c r="C880" s="216"/>
      <c r="D880" s="111"/>
      <c r="E880" s="111"/>
      <c r="F880" s="218"/>
      <c r="G880" s="217"/>
      <c r="H880" s="218"/>
      <c r="I880" s="223"/>
      <c r="J880" s="269"/>
      <c r="K880" s="111"/>
      <c r="L880" s="111"/>
      <c r="M880" s="216"/>
      <c r="N880" s="270"/>
      <c r="O880" s="111"/>
      <c r="P880" s="111"/>
      <c r="Q880" s="218"/>
      <c r="R880" s="111"/>
    </row>
    <row r="881" ht="21.0" customHeight="1">
      <c r="A881" s="218"/>
      <c r="B881" s="219"/>
      <c r="C881" s="216"/>
      <c r="D881" s="111"/>
      <c r="E881" s="111"/>
      <c r="F881" s="218"/>
      <c r="G881" s="217"/>
      <c r="H881" s="218"/>
      <c r="I881" s="223"/>
      <c r="J881" s="269"/>
      <c r="K881" s="111"/>
      <c r="L881" s="111"/>
      <c r="M881" s="216"/>
      <c r="N881" s="270"/>
      <c r="O881" s="111"/>
      <c r="P881" s="111"/>
      <c r="Q881" s="218"/>
      <c r="R881" s="111"/>
    </row>
    <row r="882" ht="21.0" customHeight="1">
      <c r="A882" s="218"/>
      <c r="B882" s="219"/>
      <c r="C882" s="216"/>
      <c r="D882" s="111"/>
      <c r="E882" s="111"/>
      <c r="F882" s="218"/>
      <c r="G882" s="217"/>
      <c r="H882" s="218"/>
      <c r="I882" s="223"/>
      <c r="J882" s="269"/>
      <c r="K882" s="111"/>
      <c r="L882" s="111"/>
      <c r="M882" s="216"/>
      <c r="N882" s="270"/>
      <c r="O882" s="111"/>
      <c r="P882" s="111"/>
      <c r="Q882" s="218"/>
      <c r="R882" s="111"/>
    </row>
    <row r="883" ht="21.0" customHeight="1">
      <c r="A883" s="218"/>
      <c r="B883" s="219"/>
      <c r="C883" s="216"/>
      <c r="D883" s="111"/>
      <c r="E883" s="111"/>
      <c r="F883" s="218"/>
      <c r="G883" s="217"/>
      <c r="H883" s="218"/>
      <c r="I883" s="223"/>
      <c r="J883" s="269"/>
      <c r="K883" s="111"/>
      <c r="L883" s="111"/>
      <c r="M883" s="216"/>
      <c r="N883" s="270"/>
      <c r="O883" s="111"/>
      <c r="P883" s="111"/>
      <c r="Q883" s="218"/>
      <c r="R883" s="111"/>
    </row>
    <row r="884" ht="21.0" customHeight="1">
      <c r="A884" s="218"/>
      <c r="B884" s="219"/>
      <c r="C884" s="216"/>
      <c r="D884" s="111"/>
      <c r="E884" s="111"/>
      <c r="F884" s="218"/>
      <c r="G884" s="217"/>
      <c r="H884" s="218"/>
      <c r="I884" s="223"/>
      <c r="J884" s="269"/>
      <c r="K884" s="111"/>
      <c r="L884" s="111"/>
      <c r="M884" s="216"/>
      <c r="N884" s="270"/>
      <c r="O884" s="111"/>
      <c r="P884" s="111"/>
      <c r="Q884" s="218"/>
      <c r="R884" s="111"/>
    </row>
    <row r="885" ht="21.0" customHeight="1">
      <c r="A885" s="218"/>
      <c r="B885" s="219"/>
      <c r="C885" s="216"/>
      <c r="D885" s="111"/>
      <c r="E885" s="111"/>
      <c r="F885" s="218"/>
      <c r="G885" s="217"/>
      <c r="H885" s="218"/>
      <c r="I885" s="223"/>
      <c r="J885" s="269"/>
      <c r="K885" s="111"/>
      <c r="L885" s="111"/>
      <c r="M885" s="216"/>
      <c r="N885" s="270"/>
      <c r="O885" s="111"/>
      <c r="P885" s="111"/>
      <c r="Q885" s="218"/>
      <c r="R885" s="111"/>
    </row>
    <row r="886" ht="21.0" customHeight="1">
      <c r="A886" s="218"/>
      <c r="B886" s="219"/>
      <c r="C886" s="216"/>
      <c r="D886" s="111"/>
      <c r="E886" s="111"/>
      <c r="F886" s="218"/>
      <c r="G886" s="217"/>
      <c r="H886" s="218"/>
      <c r="I886" s="223"/>
      <c r="J886" s="269"/>
      <c r="K886" s="111"/>
      <c r="L886" s="111"/>
      <c r="M886" s="216"/>
      <c r="N886" s="270"/>
      <c r="O886" s="111"/>
      <c r="P886" s="111"/>
      <c r="Q886" s="218"/>
      <c r="R886" s="111"/>
    </row>
    <row r="887" ht="21.0" customHeight="1">
      <c r="A887" s="218"/>
      <c r="B887" s="219"/>
      <c r="C887" s="216"/>
      <c r="D887" s="111"/>
      <c r="E887" s="111"/>
      <c r="F887" s="218"/>
      <c r="G887" s="217"/>
      <c r="H887" s="218"/>
      <c r="I887" s="223"/>
      <c r="J887" s="269"/>
      <c r="K887" s="111"/>
      <c r="L887" s="111"/>
      <c r="M887" s="216"/>
      <c r="N887" s="270"/>
      <c r="O887" s="111"/>
      <c r="P887" s="111"/>
      <c r="Q887" s="218"/>
      <c r="R887" s="111"/>
    </row>
    <row r="888" ht="21.0" customHeight="1">
      <c r="A888" s="218"/>
      <c r="B888" s="219"/>
      <c r="C888" s="216"/>
      <c r="D888" s="111"/>
      <c r="E888" s="111"/>
      <c r="F888" s="218"/>
      <c r="G888" s="217"/>
      <c r="H888" s="218"/>
      <c r="I888" s="223"/>
      <c r="J888" s="269"/>
      <c r="K888" s="111"/>
      <c r="L888" s="111"/>
      <c r="M888" s="216"/>
      <c r="N888" s="270"/>
      <c r="O888" s="111"/>
      <c r="P888" s="111"/>
      <c r="Q888" s="218"/>
      <c r="R888" s="111"/>
    </row>
    <row r="889" ht="21.0" customHeight="1">
      <c r="A889" s="218"/>
      <c r="B889" s="219"/>
      <c r="C889" s="216"/>
      <c r="D889" s="111"/>
      <c r="E889" s="111"/>
      <c r="F889" s="218"/>
      <c r="G889" s="217"/>
      <c r="H889" s="218"/>
      <c r="I889" s="223"/>
      <c r="J889" s="269"/>
      <c r="K889" s="111"/>
      <c r="L889" s="111"/>
      <c r="M889" s="216"/>
      <c r="N889" s="270"/>
      <c r="O889" s="111"/>
      <c r="P889" s="111"/>
      <c r="Q889" s="218"/>
      <c r="R889" s="111"/>
    </row>
    <row r="890" ht="21.0" customHeight="1">
      <c r="A890" s="218"/>
      <c r="B890" s="219"/>
      <c r="C890" s="216"/>
      <c r="D890" s="111"/>
      <c r="E890" s="111"/>
      <c r="F890" s="218"/>
      <c r="G890" s="217"/>
      <c r="H890" s="218"/>
      <c r="I890" s="223"/>
      <c r="J890" s="269"/>
      <c r="K890" s="111"/>
      <c r="L890" s="111"/>
      <c r="M890" s="216"/>
      <c r="N890" s="270"/>
      <c r="O890" s="111"/>
      <c r="P890" s="111"/>
      <c r="Q890" s="218"/>
      <c r="R890" s="111"/>
    </row>
    <row r="891" ht="21.0" customHeight="1">
      <c r="A891" s="218"/>
      <c r="B891" s="219"/>
      <c r="C891" s="216"/>
      <c r="D891" s="111"/>
      <c r="E891" s="111"/>
      <c r="F891" s="218"/>
      <c r="G891" s="217"/>
      <c r="H891" s="218"/>
      <c r="I891" s="223"/>
      <c r="J891" s="269"/>
      <c r="K891" s="111"/>
      <c r="L891" s="111"/>
      <c r="M891" s="216"/>
      <c r="N891" s="270"/>
      <c r="O891" s="111"/>
      <c r="P891" s="111"/>
      <c r="Q891" s="218"/>
      <c r="R891" s="111"/>
    </row>
    <row r="892" ht="21.0" customHeight="1">
      <c r="A892" s="218"/>
      <c r="B892" s="219"/>
      <c r="C892" s="216"/>
      <c r="D892" s="111"/>
      <c r="E892" s="111"/>
      <c r="F892" s="218"/>
      <c r="G892" s="217"/>
      <c r="H892" s="218"/>
      <c r="I892" s="223"/>
      <c r="J892" s="269"/>
      <c r="K892" s="111"/>
      <c r="L892" s="111"/>
      <c r="M892" s="216"/>
      <c r="N892" s="270"/>
      <c r="O892" s="111"/>
      <c r="P892" s="111"/>
      <c r="Q892" s="218"/>
      <c r="R892" s="111"/>
    </row>
    <row r="893" ht="21.0" customHeight="1">
      <c r="A893" s="218"/>
      <c r="B893" s="219"/>
      <c r="C893" s="216"/>
      <c r="D893" s="111"/>
      <c r="E893" s="111"/>
      <c r="F893" s="218"/>
      <c r="G893" s="217"/>
      <c r="H893" s="218"/>
      <c r="I893" s="223"/>
      <c r="J893" s="269"/>
      <c r="K893" s="111"/>
      <c r="L893" s="111"/>
      <c r="M893" s="216"/>
      <c r="N893" s="270"/>
      <c r="O893" s="111"/>
      <c r="P893" s="111"/>
      <c r="Q893" s="218"/>
      <c r="R893" s="111"/>
    </row>
    <row r="894" ht="21.0" customHeight="1">
      <c r="A894" s="218"/>
      <c r="B894" s="219"/>
      <c r="C894" s="216"/>
      <c r="D894" s="111"/>
      <c r="E894" s="111"/>
      <c r="F894" s="218"/>
      <c r="G894" s="217"/>
      <c r="H894" s="218"/>
      <c r="I894" s="223"/>
      <c r="J894" s="269"/>
      <c r="K894" s="111"/>
      <c r="L894" s="111"/>
      <c r="M894" s="216"/>
      <c r="N894" s="270"/>
      <c r="O894" s="111"/>
      <c r="P894" s="111"/>
      <c r="Q894" s="218"/>
      <c r="R894" s="111"/>
    </row>
    <row r="895" ht="21.0" customHeight="1">
      <c r="A895" s="218"/>
      <c r="B895" s="219"/>
      <c r="C895" s="216"/>
      <c r="D895" s="111"/>
      <c r="E895" s="111"/>
      <c r="F895" s="218"/>
      <c r="G895" s="217"/>
      <c r="H895" s="218"/>
      <c r="I895" s="223"/>
      <c r="J895" s="269"/>
      <c r="K895" s="111"/>
      <c r="L895" s="111"/>
      <c r="M895" s="216"/>
      <c r="N895" s="270"/>
      <c r="O895" s="111"/>
      <c r="P895" s="111"/>
      <c r="Q895" s="218"/>
      <c r="R895" s="111"/>
    </row>
    <row r="896" ht="21.0" customHeight="1">
      <c r="A896" s="218"/>
      <c r="B896" s="219"/>
      <c r="C896" s="216"/>
      <c r="D896" s="111"/>
      <c r="E896" s="111"/>
      <c r="F896" s="218"/>
      <c r="G896" s="217"/>
      <c r="H896" s="218"/>
      <c r="I896" s="223"/>
      <c r="J896" s="269"/>
      <c r="K896" s="111"/>
      <c r="L896" s="111"/>
      <c r="M896" s="216"/>
      <c r="N896" s="270"/>
      <c r="O896" s="111"/>
      <c r="P896" s="111"/>
      <c r="Q896" s="218"/>
      <c r="R896" s="111"/>
    </row>
    <row r="897" ht="21.0" customHeight="1">
      <c r="A897" s="218"/>
      <c r="B897" s="219"/>
      <c r="C897" s="216"/>
      <c r="D897" s="111"/>
      <c r="E897" s="111"/>
      <c r="F897" s="218"/>
      <c r="G897" s="217"/>
      <c r="H897" s="218"/>
      <c r="I897" s="223"/>
      <c r="J897" s="269"/>
      <c r="K897" s="111"/>
      <c r="L897" s="111"/>
      <c r="M897" s="216"/>
      <c r="N897" s="270"/>
      <c r="O897" s="111"/>
      <c r="P897" s="111"/>
      <c r="Q897" s="218"/>
      <c r="R897" s="111"/>
    </row>
    <row r="898" ht="21.0" customHeight="1">
      <c r="A898" s="218"/>
      <c r="B898" s="219"/>
      <c r="C898" s="216"/>
      <c r="D898" s="111"/>
      <c r="E898" s="111"/>
      <c r="F898" s="218"/>
      <c r="G898" s="217"/>
      <c r="H898" s="218"/>
      <c r="I898" s="223"/>
      <c r="J898" s="269"/>
      <c r="K898" s="111"/>
      <c r="L898" s="111"/>
      <c r="M898" s="216"/>
      <c r="N898" s="270"/>
      <c r="O898" s="111"/>
      <c r="P898" s="111"/>
      <c r="Q898" s="218"/>
      <c r="R898" s="111"/>
    </row>
    <row r="899" ht="21.0" customHeight="1">
      <c r="A899" s="218"/>
      <c r="B899" s="219"/>
      <c r="C899" s="216"/>
      <c r="D899" s="111"/>
      <c r="E899" s="111"/>
      <c r="F899" s="218"/>
      <c r="G899" s="217"/>
      <c r="H899" s="218"/>
      <c r="I899" s="223"/>
      <c r="J899" s="269"/>
      <c r="K899" s="111"/>
      <c r="L899" s="111"/>
      <c r="M899" s="216"/>
      <c r="N899" s="270"/>
      <c r="O899" s="111"/>
      <c r="P899" s="111"/>
      <c r="Q899" s="218"/>
      <c r="R899" s="111"/>
    </row>
    <row r="900" ht="21.0" customHeight="1">
      <c r="A900" s="218"/>
      <c r="B900" s="219"/>
      <c r="C900" s="216"/>
      <c r="D900" s="111"/>
      <c r="E900" s="111"/>
      <c r="F900" s="218"/>
      <c r="G900" s="217"/>
      <c r="H900" s="218"/>
      <c r="I900" s="223"/>
      <c r="J900" s="269"/>
      <c r="K900" s="111"/>
      <c r="L900" s="111"/>
      <c r="M900" s="216"/>
      <c r="N900" s="270"/>
      <c r="O900" s="111"/>
      <c r="P900" s="111"/>
      <c r="Q900" s="218"/>
      <c r="R900" s="111"/>
    </row>
    <row r="901" ht="21.0" customHeight="1">
      <c r="A901" s="218"/>
      <c r="B901" s="219"/>
      <c r="C901" s="216"/>
      <c r="D901" s="111"/>
      <c r="E901" s="111"/>
      <c r="F901" s="218"/>
      <c r="G901" s="217"/>
      <c r="H901" s="218"/>
      <c r="I901" s="223"/>
      <c r="J901" s="269"/>
      <c r="K901" s="111"/>
      <c r="L901" s="111"/>
      <c r="M901" s="216"/>
      <c r="N901" s="270"/>
      <c r="O901" s="111"/>
      <c r="P901" s="111"/>
      <c r="Q901" s="218"/>
      <c r="R901" s="111"/>
    </row>
    <row r="902" ht="21.0" customHeight="1">
      <c r="A902" s="218"/>
      <c r="B902" s="219"/>
      <c r="C902" s="216"/>
      <c r="D902" s="111"/>
      <c r="E902" s="111"/>
      <c r="F902" s="218"/>
      <c r="G902" s="217"/>
      <c r="H902" s="218"/>
      <c r="I902" s="223"/>
      <c r="J902" s="269"/>
      <c r="K902" s="111"/>
      <c r="L902" s="111"/>
      <c r="M902" s="216"/>
      <c r="N902" s="270"/>
      <c r="O902" s="111"/>
      <c r="P902" s="111"/>
      <c r="Q902" s="218"/>
      <c r="R902" s="111"/>
    </row>
    <row r="903" ht="21.0" customHeight="1">
      <c r="A903" s="218"/>
      <c r="B903" s="219"/>
      <c r="C903" s="216"/>
      <c r="D903" s="111"/>
      <c r="E903" s="111"/>
      <c r="F903" s="218"/>
      <c r="G903" s="217"/>
      <c r="H903" s="218"/>
      <c r="I903" s="223"/>
      <c r="J903" s="269"/>
      <c r="K903" s="111"/>
      <c r="L903" s="111"/>
      <c r="M903" s="216"/>
      <c r="N903" s="270"/>
      <c r="O903" s="111"/>
      <c r="P903" s="111"/>
      <c r="Q903" s="218"/>
      <c r="R903" s="111"/>
    </row>
    <row r="904" ht="21.0" customHeight="1">
      <c r="A904" s="218"/>
      <c r="B904" s="219"/>
      <c r="C904" s="216"/>
      <c r="D904" s="111"/>
      <c r="E904" s="111"/>
      <c r="F904" s="218"/>
      <c r="G904" s="217"/>
      <c r="H904" s="218"/>
      <c r="I904" s="223"/>
      <c r="J904" s="269"/>
      <c r="K904" s="111"/>
      <c r="L904" s="111"/>
      <c r="M904" s="216"/>
      <c r="N904" s="270"/>
      <c r="O904" s="111"/>
      <c r="P904" s="111"/>
      <c r="Q904" s="218"/>
      <c r="R904" s="111"/>
    </row>
    <row r="905" ht="21.0" customHeight="1">
      <c r="A905" s="218"/>
      <c r="B905" s="219"/>
      <c r="C905" s="216"/>
      <c r="D905" s="111"/>
      <c r="E905" s="111"/>
      <c r="F905" s="218"/>
      <c r="G905" s="217"/>
      <c r="H905" s="218"/>
      <c r="I905" s="223"/>
      <c r="J905" s="269"/>
      <c r="K905" s="111"/>
      <c r="L905" s="111"/>
      <c r="M905" s="216"/>
      <c r="N905" s="270"/>
      <c r="O905" s="111"/>
      <c r="P905" s="111"/>
      <c r="Q905" s="218"/>
      <c r="R905" s="111"/>
    </row>
    <row r="906" ht="21.0" customHeight="1">
      <c r="A906" s="218"/>
      <c r="B906" s="219"/>
      <c r="C906" s="216"/>
      <c r="D906" s="111"/>
      <c r="E906" s="111"/>
      <c r="F906" s="218"/>
      <c r="G906" s="217"/>
      <c r="H906" s="218"/>
      <c r="I906" s="223"/>
      <c r="J906" s="269"/>
      <c r="K906" s="111"/>
      <c r="L906" s="111"/>
      <c r="M906" s="216"/>
      <c r="N906" s="270"/>
      <c r="O906" s="111"/>
      <c r="P906" s="111"/>
      <c r="Q906" s="218"/>
      <c r="R906" s="111"/>
    </row>
    <row r="907" ht="21.0" customHeight="1">
      <c r="A907" s="218"/>
      <c r="B907" s="219"/>
      <c r="C907" s="216"/>
      <c r="D907" s="111"/>
      <c r="E907" s="111"/>
      <c r="F907" s="218"/>
      <c r="G907" s="217"/>
      <c r="H907" s="218"/>
      <c r="I907" s="223"/>
      <c r="J907" s="269"/>
      <c r="K907" s="111"/>
      <c r="L907" s="111"/>
      <c r="M907" s="216"/>
      <c r="N907" s="270"/>
      <c r="O907" s="111"/>
      <c r="P907" s="111"/>
      <c r="Q907" s="218"/>
      <c r="R907" s="111"/>
    </row>
    <row r="908" ht="21.0" customHeight="1">
      <c r="A908" s="218"/>
      <c r="B908" s="219"/>
      <c r="C908" s="216"/>
      <c r="D908" s="111"/>
      <c r="E908" s="111"/>
      <c r="F908" s="218"/>
      <c r="G908" s="217"/>
      <c r="H908" s="218"/>
      <c r="I908" s="223"/>
      <c r="J908" s="269"/>
      <c r="K908" s="111"/>
      <c r="L908" s="111"/>
      <c r="M908" s="216"/>
      <c r="N908" s="270"/>
      <c r="O908" s="111"/>
      <c r="P908" s="111"/>
      <c r="Q908" s="218"/>
      <c r="R908" s="111"/>
    </row>
    <row r="909" ht="21.0" customHeight="1">
      <c r="A909" s="218"/>
      <c r="B909" s="219"/>
      <c r="C909" s="216"/>
      <c r="D909" s="111"/>
      <c r="E909" s="111"/>
      <c r="F909" s="218"/>
      <c r="G909" s="217"/>
      <c r="H909" s="218"/>
      <c r="I909" s="223"/>
      <c r="J909" s="269"/>
      <c r="K909" s="111"/>
      <c r="L909" s="111"/>
      <c r="M909" s="216"/>
      <c r="N909" s="270"/>
      <c r="O909" s="111"/>
      <c r="P909" s="111"/>
      <c r="Q909" s="218"/>
      <c r="R909" s="111"/>
    </row>
    <row r="910" ht="21.0" customHeight="1">
      <c r="A910" s="218"/>
      <c r="B910" s="219"/>
      <c r="C910" s="216"/>
      <c r="D910" s="111"/>
      <c r="E910" s="111"/>
      <c r="F910" s="218"/>
      <c r="G910" s="217"/>
      <c r="H910" s="218"/>
      <c r="I910" s="223"/>
      <c r="J910" s="269"/>
      <c r="K910" s="111"/>
      <c r="L910" s="111"/>
      <c r="M910" s="216"/>
      <c r="N910" s="270"/>
      <c r="O910" s="111"/>
      <c r="P910" s="111"/>
      <c r="Q910" s="218"/>
      <c r="R910" s="111"/>
    </row>
    <row r="911" ht="21.0" customHeight="1">
      <c r="A911" s="218"/>
      <c r="B911" s="219"/>
      <c r="C911" s="216"/>
      <c r="D911" s="111"/>
      <c r="E911" s="111"/>
      <c r="F911" s="218"/>
      <c r="G911" s="217"/>
      <c r="H911" s="218"/>
      <c r="I911" s="223"/>
      <c r="J911" s="269"/>
      <c r="K911" s="111"/>
      <c r="L911" s="111"/>
      <c r="M911" s="216"/>
      <c r="N911" s="270"/>
      <c r="O911" s="111"/>
      <c r="P911" s="111"/>
      <c r="Q911" s="218"/>
      <c r="R911" s="111"/>
    </row>
    <row r="912" ht="21.0" customHeight="1">
      <c r="A912" s="218"/>
      <c r="B912" s="219"/>
      <c r="C912" s="216"/>
      <c r="D912" s="111"/>
      <c r="E912" s="111"/>
      <c r="F912" s="218"/>
      <c r="G912" s="217"/>
      <c r="H912" s="218"/>
      <c r="I912" s="223"/>
      <c r="J912" s="269"/>
      <c r="K912" s="111"/>
      <c r="L912" s="111"/>
      <c r="M912" s="216"/>
      <c r="N912" s="270"/>
      <c r="O912" s="111"/>
      <c r="P912" s="111"/>
      <c r="Q912" s="218"/>
      <c r="R912" s="111"/>
    </row>
    <row r="913" ht="21.0" customHeight="1">
      <c r="A913" s="218"/>
      <c r="B913" s="219"/>
      <c r="C913" s="216"/>
      <c r="D913" s="111"/>
      <c r="E913" s="111"/>
      <c r="F913" s="218"/>
      <c r="G913" s="217"/>
      <c r="H913" s="218"/>
      <c r="I913" s="223"/>
      <c r="J913" s="269"/>
      <c r="K913" s="111"/>
      <c r="L913" s="111"/>
      <c r="M913" s="216"/>
      <c r="N913" s="270"/>
      <c r="O913" s="111"/>
      <c r="P913" s="111"/>
      <c r="Q913" s="218"/>
      <c r="R913" s="111"/>
    </row>
    <row r="914" ht="21.0" customHeight="1">
      <c r="A914" s="218"/>
      <c r="B914" s="219"/>
      <c r="C914" s="216"/>
      <c r="D914" s="111"/>
      <c r="E914" s="111"/>
      <c r="F914" s="218"/>
      <c r="G914" s="217"/>
      <c r="H914" s="218"/>
      <c r="I914" s="223"/>
      <c r="J914" s="269"/>
      <c r="K914" s="111"/>
      <c r="L914" s="111"/>
      <c r="M914" s="216"/>
      <c r="N914" s="270"/>
      <c r="O914" s="111"/>
      <c r="P914" s="111"/>
      <c r="Q914" s="218"/>
      <c r="R914" s="111"/>
    </row>
    <row r="915" ht="21.0" customHeight="1">
      <c r="A915" s="218"/>
      <c r="B915" s="219"/>
      <c r="C915" s="216"/>
      <c r="D915" s="111"/>
      <c r="E915" s="111"/>
      <c r="F915" s="218"/>
      <c r="G915" s="217"/>
      <c r="H915" s="218"/>
      <c r="I915" s="223"/>
      <c r="J915" s="269"/>
      <c r="K915" s="111"/>
      <c r="L915" s="111"/>
      <c r="M915" s="216"/>
      <c r="N915" s="270"/>
      <c r="O915" s="111"/>
      <c r="P915" s="111"/>
      <c r="Q915" s="218"/>
      <c r="R915" s="111"/>
    </row>
    <row r="916" ht="21.0" customHeight="1">
      <c r="A916" s="218"/>
      <c r="B916" s="219"/>
      <c r="C916" s="216"/>
      <c r="D916" s="111"/>
      <c r="E916" s="111"/>
      <c r="F916" s="218"/>
      <c r="G916" s="217"/>
      <c r="H916" s="218"/>
      <c r="I916" s="223"/>
      <c r="J916" s="269"/>
      <c r="K916" s="111"/>
      <c r="L916" s="111"/>
      <c r="M916" s="216"/>
      <c r="N916" s="270"/>
      <c r="O916" s="111"/>
      <c r="P916" s="111"/>
      <c r="Q916" s="218"/>
      <c r="R916" s="111"/>
    </row>
    <row r="917" ht="21.0" customHeight="1">
      <c r="A917" s="218"/>
      <c r="B917" s="219"/>
      <c r="C917" s="216"/>
      <c r="D917" s="111"/>
      <c r="E917" s="111"/>
      <c r="F917" s="218"/>
      <c r="G917" s="217"/>
      <c r="H917" s="218"/>
      <c r="I917" s="223"/>
      <c r="J917" s="269"/>
      <c r="K917" s="111"/>
      <c r="L917" s="111"/>
      <c r="M917" s="216"/>
      <c r="N917" s="270"/>
      <c r="O917" s="111"/>
      <c r="P917" s="111"/>
      <c r="Q917" s="218"/>
      <c r="R917" s="111"/>
    </row>
    <row r="918" ht="21.0" customHeight="1">
      <c r="A918" s="218"/>
      <c r="B918" s="219"/>
      <c r="C918" s="216"/>
      <c r="D918" s="111"/>
      <c r="E918" s="111"/>
      <c r="F918" s="218"/>
      <c r="G918" s="217"/>
      <c r="H918" s="218"/>
      <c r="I918" s="223"/>
      <c r="J918" s="269"/>
      <c r="K918" s="111"/>
      <c r="L918" s="111"/>
      <c r="M918" s="216"/>
      <c r="N918" s="270"/>
      <c r="O918" s="111"/>
      <c r="P918" s="111"/>
      <c r="Q918" s="218"/>
      <c r="R918" s="111"/>
    </row>
    <row r="919" ht="21.0" customHeight="1">
      <c r="A919" s="218"/>
      <c r="B919" s="219"/>
      <c r="C919" s="216"/>
      <c r="D919" s="111"/>
      <c r="E919" s="111"/>
      <c r="F919" s="218"/>
      <c r="G919" s="217"/>
      <c r="H919" s="218"/>
      <c r="I919" s="223"/>
      <c r="J919" s="269"/>
      <c r="K919" s="111"/>
      <c r="L919" s="111"/>
      <c r="M919" s="216"/>
      <c r="N919" s="270"/>
      <c r="O919" s="111"/>
      <c r="P919" s="111"/>
      <c r="Q919" s="218"/>
      <c r="R919" s="111"/>
    </row>
    <row r="920" ht="21.0" customHeight="1">
      <c r="A920" s="218"/>
      <c r="B920" s="219"/>
      <c r="C920" s="216"/>
      <c r="D920" s="111"/>
      <c r="E920" s="111"/>
      <c r="F920" s="218"/>
      <c r="G920" s="217"/>
      <c r="H920" s="218"/>
      <c r="I920" s="223"/>
      <c r="J920" s="269"/>
      <c r="K920" s="111"/>
      <c r="L920" s="111"/>
      <c r="M920" s="216"/>
      <c r="N920" s="270"/>
      <c r="O920" s="111"/>
      <c r="P920" s="111"/>
      <c r="Q920" s="218"/>
      <c r="R920" s="111"/>
    </row>
    <row r="921" ht="21.0" customHeight="1">
      <c r="A921" s="218"/>
      <c r="B921" s="219"/>
      <c r="C921" s="216"/>
      <c r="D921" s="111"/>
      <c r="E921" s="111"/>
      <c r="F921" s="218"/>
      <c r="G921" s="217"/>
      <c r="H921" s="218"/>
      <c r="I921" s="223"/>
      <c r="J921" s="269"/>
      <c r="K921" s="111"/>
      <c r="L921" s="111"/>
      <c r="M921" s="216"/>
      <c r="N921" s="270"/>
      <c r="O921" s="111"/>
      <c r="P921" s="111"/>
      <c r="Q921" s="218"/>
      <c r="R921" s="111"/>
    </row>
    <row r="922" ht="21.0" customHeight="1">
      <c r="A922" s="218"/>
      <c r="B922" s="219"/>
      <c r="C922" s="216"/>
      <c r="D922" s="111"/>
      <c r="E922" s="111"/>
      <c r="F922" s="218"/>
      <c r="G922" s="217"/>
      <c r="H922" s="218"/>
      <c r="I922" s="223"/>
      <c r="J922" s="269"/>
      <c r="K922" s="111"/>
      <c r="L922" s="111"/>
      <c r="M922" s="216"/>
      <c r="N922" s="270"/>
      <c r="O922" s="111"/>
      <c r="P922" s="111"/>
      <c r="Q922" s="218"/>
      <c r="R922" s="111"/>
    </row>
    <row r="923" ht="21.0" customHeight="1">
      <c r="A923" s="218"/>
      <c r="B923" s="219"/>
      <c r="C923" s="216"/>
      <c r="D923" s="111"/>
      <c r="E923" s="111"/>
      <c r="F923" s="218"/>
      <c r="G923" s="217"/>
      <c r="H923" s="218"/>
      <c r="I923" s="223"/>
      <c r="J923" s="269"/>
      <c r="K923" s="111"/>
      <c r="L923" s="111"/>
      <c r="M923" s="216"/>
      <c r="N923" s="270"/>
      <c r="O923" s="111"/>
      <c r="P923" s="111"/>
      <c r="Q923" s="218"/>
      <c r="R923" s="111"/>
    </row>
    <row r="924" ht="21.0" customHeight="1">
      <c r="A924" s="218"/>
      <c r="B924" s="219"/>
      <c r="C924" s="216"/>
      <c r="D924" s="111"/>
      <c r="E924" s="111"/>
      <c r="F924" s="218"/>
      <c r="G924" s="217"/>
      <c r="H924" s="218"/>
      <c r="I924" s="223"/>
      <c r="J924" s="269"/>
      <c r="K924" s="111"/>
      <c r="L924" s="111"/>
      <c r="M924" s="216"/>
      <c r="N924" s="270"/>
      <c r="O924" s="111"/>
      <c r="P924" s="111"/>
      <c r="Q924" s="218"/>
      <c r="R924" s="111"/>
    </row>
    <row r="925" ht="21.0" customHeight="1">
      <c r="A925" s="218"/>
      <c r="B925" s="219"/>
      <c r="C925" s="216"/>
      <c r="D925" s="111"/>
      <c r="E925" s="111"/>
      <c r="F925" s="218"/>
      <c r="G925" s="217"/>
      <c r="H925" s="218"/>
      <c r="I925" s="223"/>
      <c r="J925" s="269"/>
      <c r="K925" s="111"/>
      <c r="L925" s="111"/>
      <c r="M925" s="216"/>
      <c r="N925" s="270"/>
      <c r="O925" s="111"/>
      <c r="P925" s="111"/>
      <c r="Q925" s="218"/>
      <c r="R925" s="111"/>
    </row>
    <row r="926" ht="21.0" customHeight="1">
      <c r="A926" s="218"/>
      <c r="B926" s="219"/>
      <c r="C926" s="216"/>
      <c r="D926" s="111"/>
      <c r="E926" s="111"/>
      <c r="F926" s="218"/>
      <c r="G926" s="217"/>
      <c r="H926" s="218"/>
      <c r="I926" s="223"/>
      <c r="J926" s="269"/>
      <c r="K926" s="111"/>
      <c r="L926" s="111"/>
      <c r="M926" s="216"/>
      <c r="N926" s="270"/>
      <c r="O926" s="111"/>
      <c r="P926" s="111"/>
      <c r="Q926" s="218"/>
      <c r="R926" s="111"/>
    </row>
    <row r="927" ht="21.0" customHeight="1">
      <c r="A927" s="218"/>
      <c r="B927" s="219"/>
      <c r="C927" s="216"/>
      <c r="D927" s="111"/>
      <c r="E927" s="111"/>
      <c r="F927" s="218"/>
      <c r="G927" s="217"/>
      <c r="H927" s="218"/>
      <c r="I927" s="223"/>
      <c r="J927" s="269"/>
      <c r="K927" s="111"/>
      <c r="L927" s="111"/>
      <c r="M927" s="216"/>
      <c r="N927" s="270"/>
      <c r="O927" s="111"/>
      <c r="P927" s="111"/>
      <c r="Q927" s="218"/>
      <c r="R927" s="111"/>
    </row>
    <row r="928" ht="21.0" customHeight="1">
      <c r="A928" s="218"/>
      <c r="B928" s="219"/>
      <c r="C928" s="216"/>
      <c r="D928" s="111"/>
      <c r="E928" s="111"/>
      <c r="F928" s="218"/>
      <c r="G928" s="217"/>
      <c r="H928" s="218"/>
      <c r="I928" s="223"/>
      <c r="J928" s="269"/>
      <c r="K928" s="111"/>
      <c r="L928" s="111"/>
      <c r="M928" s="216"/>
      <c r="N928" s="270"/>
      <c r="O928" s="111"/>
      <c r="P928" s="111"/>
      <c r="Q928" s="218"/>
      <c r="R928" s="111"/>
    </row>
    <row r="929" ht="21.0" customHeight="1">
      <c r="A929" s="218"/>
      <c r="B929" s="219"/>
      <c r="C929" s="216"/>
      <c r="D929" s="111"/>
      <c r="E929" s="111"/>
      <c r="F929" s="218"/>
      <c r="G929" s="217"/>
      <c r="H929" s="218"/>
      <c r="I929" s="223"/>
      <c r="J929" s="269"/>
      <c r="K929" s="111"/>
      <c r="L929" s="111"/>
      <c r="M929" s="216"/>
      <c r="N929" s="270"/>
      <c r="O929" s="111"/>
      <c r="P929" s="111"/>
      <c r="Q929" s="218"/>
      <c r="R929" s="111"/>
    </row>
    <row r="930" ht="21.0" customHeight="1">
      <c r="A930" s="218"/>
      <c r="B930" s="219"/>
      <c r="C930" s="216"/>
      <c r="D930" s="111"/>
      <c r="E930" s="111"/>
      <c r="F930" s="218"/>
      <c r="G930" s="217"/>
      <c r="H930" s="218"/>
      <c r="I930" s="223"/>
      <c r="J930" s="269"/>
      <c r="K930" s="111"/>
      <c r="L930" s="111"/>
      <c r="M930" s="216"/>
      <c r="N930" s="270"/>
      <c r="O930" s="111"/>
      <c r="P930" s="111"/>
      <c r="Q930" s="218"/>
      <c r="R930" s="111"/>
    </row>
    <row r="931" ht="21.0" customHeight="1">
      <c r="A931" s="218"/>
      <c r="B931" s="219"/>
      <c r="C931" s="216"/>
      <c r="D931" s="111"/>
      <c r="E931" s="111"/>
      <c r="F931" s="218"/>
      <c r="G931" s="217"/>
      <c r="H931" s="218"/>
      <c r="I931" s="223"/>
      <c r="J931" s="269"/>
      <c r="K931" s="111"/>
      <c r="L931" s="111"/>
      <c r="M931" s="216"/>
      <c r="N931" s="270"/>
      <c r="O931" s="111"/>
      <c r="P931" s="111"/>
      <c r="Q931" s="218"/>
      <c r="R931" s="111"/>
    </row>
    <row r="932" ht="21.0" customHeight="1">
      <c r="A932" s="218"/>
      <c r="B932" s="219"/>
      <c r="C932" s="216"/>
      <c r="D932" s="111"/>
      <c r="E932" s="111"/>
      <c r="F932" s="218"/>
      <c r="G932" s="217"/>
      <c r="H932" s="218"/>
      <c r="I932" s="223"/>
      <c r="J932" s="269"/>
      <c r="K932" s="111"/>
      <c r="L932" s="111"/>
      <c r="M932" s="216"/>
      <c r="N932" s="270"/>
      <c r="O932" s="111"/>
      <c r="P932" s="111"/>
      <c r="Q932" s="218"/>
      <c r="R932" s="111"/>
    </row>
    <row r="933" ht="21.0" customHeight="1">
      <c r="A933" s="218"/>
      <c r="B933" s="219"/>
      <c r="C933" s="216"/>
      <c r="D933" s="111"/>
      <c r="E933" s="111"/>
      <c r="F933" s="218"/>
      <c r="G933" s="217"/>
      <c r="H933" s="218"/>
      <c r="I933" s="223"/>
      <c r="J933" s="269"/>
      <c r="K933" s="111"/>
      <c r="L933" s="111"/>
      <c r="M933" s="216"/>
      <c r="N933" s="270"/>
      <c r="O933" s="111"/>
      <c r="P933" s="111"/>
      <c r="Q933" s="218"/>
      <c r="R933" s="111"/>
    </row>
    <row r="934" ht="21.0" customHeight="1">
      <c r="A934" s="218"/>
      <c r="B934" s="219"/>
      <c r="C934" s="216"/>
      <c r="D934" s="111"/>
      <c r="E934" s="111"/>
      <c r="F934" s="218"/>
      <c r="G934" s="217"/>
      <c r="H934" s="218"/>
      <c r="I934" s="223"/>
      <c r="J934" s="269"/>
      <c r="K934" s="111"/>
      <c r="L934" s="111"/>
      <c r="M934" s="216"/>
      <c r="N934" s="270"/>
      <c r="O934" s="111"/>
      <c r="P934" s="111"/>
      <c r="Q934" s="218"/>
      <c r="R934" s="111"/>
    </row>
    <row r="935" ht="21.0" customHeight="1">
      <c r="A935" s="218"/>
      <c r="B935" s="219"/>
      <c r="C935" s="216"/>
      <c r="D935" s="111"/>
      <c r="E935" s="111"/>
      <c r="F935" s="218"/>
      <c r="G935" s="217"/>
      <c r="H935" s="218"/>
      <c r="I935" s="223"/>
      <c r="J935" s="269"/>
      <c r="K935" s="111"/>
      <c r="L935" s="111"/>
      <c r="M935" s="216"/>
      <c r="N935" s="270"/>
      <c r="O935" s="111"/>
      <c r="P935" s="111"/>
      <c r="Q935" s="218"/>
      <c r="R935" s="111"/>
    </row>
    <row r="936" ht="21.0" customHeight="1">
      <c r="A936" s="218"/>
      <c r="B936" s="219"/>
      <c r="C936" s="216"/>
      <c r="D936" s="111"/>
      <c r="E936" s="111"/>
      <c r="F936" s="218"/>
      <c r="G936" s="217"/>
      <c r="H936" s="218"/>
      <c r="I936" s="223"/>
      <c r="J936" s="269"/>
      <c r="K936" s="111"/>
      <c r="L936" s="111"/>
      <c r="M936" s="216"/>
      <c r="N936" s="270"/>
      <c r="O936" s="111"/>
      <c r="P936" s="111"/>
      <c r="Q936" s="218"/>
      <c r="R936" s="111"/>
    </row>
    <row r="937" ht="21.0" customHeight="1">
      <c r="A937" s="218"/>
      <c r="B937" s="219"/>
      <c r="C937" s="216"/>
      <c r="D937" s="111"/>
      <c r="E937" s="111"/>
      <c r="F937" s="218"/>
      <c r="G937" s="217"/>
      <c r="H937" s="218"/>
      <c r="I937" s="223"/>
      <c r="J937" s="269"/>
      <c r="K937" s="111"/>
      <c r="L937" s="111"/>
      <c r="M937" s="216"/>
      <c r="N937" s="270"/>
      <c r="O937" s="111"/>
      <c r="P937" s="111"/>
      <c r="Q937" s="218"/>
      <c r="R937" s="111"/>
    </row>
    <row r="938" ht="21.0" customHeight="1">
      <c r="A938" s="218"/>
      <c r="B938" s="219"/>
      <c r="C938" s="216"/>
      <c r="D938" s="111"/>
      <c r="E938" s="111"/>
      <c r="F938" s="218"/>
      <c r="G938" s="217"/>
      <c r="H938" s="218"/>
      <c r="I938" s="223"/>
      <c r="J938" s="269"/>
      <c r="K938" s="111"/>
      <c r="L938" s="111"/>
      <c r="M938" s="216"/>
      <c r="N938" s="270"/>
      <c r="O938" s="111"/>
      <c r="P938" s="111"/>
      <c r="Q938" s="218"/>
      <c r="R938" s="111"/>
    </row>
    <row r="939" ht="21.0" customHeight="1">
      <c r="A939" s="218"/>
      <c r="B939" s="219"/>
      <c r="C939" s="216"/>
      <c r="D939" s="111"/>
      <c r="E939" s="111"/>
      <c r="F939" s="218"/>
      <c r="G939" s="217"/>
      <c r="H939" s="218"/>
      <c r="I939" s="223"/>
      <c r="J939" s="269"/>
      <c r="K939" s="111"/>
      <c r="L939" s="111"/>
      <c r="M939" s="216"/>
      <c r="N939" s="270"/>
      <c r="O939" s="111"/>
      <c r="P939" s="111"/>
      <c r="Q939" s="218"/>
      <c r="R939" s="111"/>
    </row>
    <row r="940" ht="21.0" customHeight="1">
      <c r="A940" s="218"/>
      <c r="B940" s="219"/>
      <c r="C940" s="216"/>
      <c r="D940" s="111"/>
      <c r="E940" s="111"/>
      <c r="F940" s="218"/>
      <c r="G940" s="217"/>
      <c r="H940" s="218"/>
      <c r="I940" s="223"/>
      <c r="J940" s="269"/>
      <c r="K940" s="111"/>
      <c r="L940" s="111"/>
      <c r="M940" s="216"/>
      <c r="N940" s="270"/>
      <c r="O940" s="111"/>
      <c r="P940" s="111"/>
      <c r="Q940" s="218"/>
      <c r="R940" s="111"/>
    </row>
    <row r="941" ht="21.0" customHeight="1">
      <c r="A941" s="218"/>
      <c r="B941" s="219"/>
      <c r="C941" s="216"/>
      <c r="D941" s="111"/>
      <c r="E941" s="111"/>
      <c r="F941" s="218"/>
      <c r="G941" s="217"/>
      <c r="H941" s="218"/>
      <c r="I941" s="223"/>
      <c r="J941" s="269"/>
      <c r="K941" s="111"/>
      <c r="L941" s="111"/>
      <c r="M941" s="216"/>
      <c r="N941" s="270"/>
      <c r="O941" s="111"/>
      <c r="P941" s="111"/>
      <c r="Q941" s="218"/>
      <c r="R941" s="111"/>
    </row>
    <row r="942" ht="21.0" customHeight="1">
      <c r="A942" s="218"/>
      <c r="B942" s="219"/>
      <c r="C942" s="216"/>
      <c r="D942" s="111"/>
      <c r="E942" s="111"/>
      <c r="F942" s="218"/>
      <c r="G942" s="217"/>
      <c r="H942" s="218"/>
      <c r="I942" s="223"/>
      <c r="J942" s="269"/>
      <c r="K942" s="111"/>
      <c r="L942" s="111"/>
      <c r="M942" s="216"/>
      <c r="N942" s="270"/>
      <c r="O942" s="111"/>
      <c r="P942" s="111"/>
      <c r="Q942" s="218"/>
      <c r="R942" s="111"/>
    </row>
    <row r="943" ht="21.0" customHeight="1">
      <c r="A943" s="218"/>
      <c r="B943" s="219"/>
      <c r="C943" s="216"/>
      <c r="D943" s="111"/>
      <c r="E943" s="111"/>
      <c r="F943" s="218"/>
      <c r="G943" s="217"/>
      <c r="H943" s="218"/>
      <c r="I943" s="223"/>
      <c r="J943" s="269"/>
      <c r="K943" s="111"/>
      <c r="L943" s="111"/>
      <c r="M943" s="216"/>
      <c r="N943" s="270"/>
      <c r="O943" s="111"/>
      <c r="P943" s="111"/>
      <c r="Q943" s="218"/>
      <c r="R943" s="111"/>
    </row>
    <row r="944" ht="21.0" customHeight="1">
      <c r="A944" s="218"/>
      <c r="B944" s="219"/>
      <c r="C944" s="216"/>
      <c r="D944" s="111"/>
      <c r="E944" s="111"/>
      <c r="F944" s="218"/>
      <c r="G944" s="217"/>
      <c r="H944" s="218"/>
      <c r="I944" s="223"/>
      <c r="J944" s="269"/>
      <c r="K944" s="111"/>
      <c r="L944" s="111"/>
      <c r="M944" s="216"/>
      <c r="N944" s="270"/>
      <c r="O944" s="111"/>
      <c r="P944" s="111"/>
      <c r="Q944" s="218"/>
      <c r="R944" s="111"/>
    </row>
    <row r="945" ht="21.0" customHeight="1">
      <c r="A945" s="218"/>
      <c r="B945" s="219"/>
      <c r="C945" s="216"/>
      <c r="D945" s="111"/>
      <c r="E945" s="111"/>
      <c r="F945" s="218"/>
      <c r="G945" s="217"/>
      <c r="H945" s="218"/>
      <c r="I945" s="223"/>
      <c r="J945" s="269"/>
      <c r="K945" s="111"/>
      <c r="L945" s="111"/>
      <c r="M945" s="216"/>
      <c r="N945" s="270"/>
      <c r="O945" s="111"/>
      <c r="P945" s="111"/>
      <c r="Q945" s="218"/>
      <c r="R945" s="111"/>
    </row>
    <row r="946" ht="21.0" customHeight="1">
      <c r="A946" s="218"/>
      <c r="B946" s="219"/>
      <c r="C946" s="216"/>
      <c r="D946" s="111"/>
      <c r="E946" s="111"/>
      <c r="F946" s="218"/>
      <c r="G946" s="217"/>
      <c r="H946" s="218"/>
      <c r="I946" s="223"/>
      <c r="J946" s="269"/>
      <c r="K946" s="111"/>
      <c r="L946" s="111"/>
      <c r="M946" s="216"/>
      <c r="N946" s="270"/>
      <c r="O946" s="111"/>
      <c r="P946" s="111"/>
      <c r="Q946" s="218"/>
      <c r="R946" s="111"/>
    </row>
    <row r="947" ht="21.0" customHeight="1">
      <c r="A947" s="218"/>
      <c r="B947" s="219"/>
      <c r="C947" s="216"/>
      <c r="D947" s="111"/>
      <c r="E947" s="111"/>
      <c r="F947" s="218"/>
      <c r="G947" s="217"/>
      <c r="H947" s="218"/>
      <c r="I947" s="223"/>
      <c r="J947" s="269"/>
      <c r="K947" s="111"/>
      <c r="L947" s="111"/>
      <c r="M947" s="216"/>
      <c r="N947" s="270"/>
      <c r="O947" s="111"/>
      <c r="P947" s="111"/>
      <c r="Q947" s="218"/>
      <c r="R947" s="111"/>
    </row>
    <row r="948" ht="21.0" customHeight="1">
      <c r="A948" s="218"/>
      <c r="B948" s="219"/>
      <c r="C948" s="216"/>
      <c r="D948" s="111"/>
      <c r="E948" s="111"/>
      <c r="F948" s="218"/>
      <c r="G948" s="217"/>
      <c r="H948" s="218"/>
      <c r="I948" s="223"/>
      <c r="J948" s="269"/>
      <c r="K948" s="111"/>
      <c r="L948" s="111"/>
      <c r="M948" s="216"/>
      <c r="N948" s="270"/>
      <c r="O948" s="111"/>
      <c r="P948" s="111"/>
      <c r="Q948" s="218"/>
      <c r="R948" s="111"/>
    </row>
    <row r="949" ht="21.0" customHeight="1">
      <c r="A949" s="218"/>
      <c r="B949" s="219"/>
      <c r="C949" s="216"/>
      <c r="D949" s="111"/>
      <c r="E949" s="111"/>
      <c r="F949" s="218"/>
      <c r="G949" s="217"/>
      <c r="H949" s="218"/>
      <c r="I949" s="223"/>
      <c r="J949" s="269"/>
      <c r="K949" s="111"/>
      <c r="L949" s="111"/>
      <c r="M949" s="216"/>
      <c r="N949" s="270"/>
      <c r="O949" s="111"/>
      <c r="P949" s="111"/>
      <c r="Q949" s="218"/>
      <c r="R949" s="111"/>
    </row>
    <row r="950" ht="21.0" customHeight="1">
      <c r="A950" s="218"/>
      <c r="B950" s="219"/>
      <c r="C950" s="216"/>
      <c r="D950" s="111"/>
      <c r="E950" s="111"/>
      <c r="F950" s="218"/>
      <c r="G950" s="217"/>
      <c r="H950" s="218"/>
      <c r="I950" s="223"/>
      <c r="J950" s="269"/>
      <c r="K950" s="111"/>
      <c r="L950" s="111"/>
      <c r="M950" s="216"/>
      <c r="N950" s="270"/>
      <c r="O950" s="111"/>
      <c r="P950" s="111"/>
      <c r="Q950" s="218"/>
      <c r="R950" s="111"/>
    </row>
    <row r="951" ht="21.0" customHeight="1">
      <c r="A951" s="218"/>
      <c r="B951" s="219"/>
      <c r="C951" s="216"/>
      <c r="D951" s="111"/>
      <c r="E951" s="111"/>
      <c r="F951" s="218"/>
      <c r="G951" s="217"/>
      <c r="H951" s="218"/>
      <c r="I951" s="223"/>
      <c r="J951" s="269"/>
      <c r="K951" s="111"/>
      <c r="L951" s="111"/>
      <c r="M951" s="216"/>
      <c r="N951" s="270"/>
      <c r="O951" s="111"/>
      <c r="P951" s="111"/>
      <c r="Q951" s="218"/>
      <c r="R951" s="111"/>
    </row>
    <row r="952" ht="21.0" customHeight="1">
      <c r="A952" s="218"/>
      <c r="B952" s="219"/>
      <c r="C952" s="216"/>
      <c r="D952" s="111"/>
      <c r="E952" s="111"/>
      <c r="F952" s="218"/>
      <c r="G952" s="217"/>
      <c r="H952" s="218"/>
      <c r="I952" s="223"/>
      <c r="J952" s="269"/>
      <c r="K952" s="111"/>
      <c r="L952" s="111"/>
      <c r="M952" s="216"/>
      <c r="N952" s="270"/>
      <c r="O952" s="111"/>
      <c r="P952" s="111"/>
      <c r="Q952" s="218"/>
      <c r="R952" s="111"/>
    </row>
    <row r="953" ht="21.0" customHeight="1">
      <c r="A953" s="218"/>
      <c r="B953" s="219"/>
      <c r="C953" s="216"/>
      <c r="D953" s="111"/>
      <c r="E953" s="111"/>
      <c r="F953" s="218"/>
      <c r="G953" s="217"/>
      <c r="H953" s="218"/>
      <c r="I953" s="223"/>
      <c r="J953" s="269"/>
      <c r="K953" s="111"/>
      <c r="L953" s="111"/>
      <c r="M953" s="216"/>
      <c r="N953" s="270"/>
      <c r="O953" s="111"/>
      <c r="P953" s="111"/>
      <c r="Q953" s="218"/>
      <c r="R953" s="111"/>
    </row>
    <row r="954" ht="21.0" customHeight="1">
      <c r="A954" s="218"/>
      <c r="B954" s="219"/>
      <c r="C954" s="216"/>
      <c r="D954" s="111"/>
      <c r="E954" s="111"/>
      <c r="F954" s="218"/>
      <c r="G954" s="217"/>
      <c r="H954" s="218"/>
      <c r="I954" s="223"/>
      <c r="J954" s="269"/>
      <c r="K954" s="111"/>
      <c r="L954" s="111"/>
      <c r="M954" s="216"/>
      <c r="N954" s="270"/>
      <c r="O954" s="111"/>
      <c r="P954" s="111"/>
      <c r="Q954" s="218"/>
      <c r="R954" s="111"/>
    </row>
    <row r="955" ht="21.0" customHeight="1">
      <c r="A955" s="218"/>
      <c r="B955" s="219"/>
      <c r="C955" s="216"/>
      <c r="D955" s="111"/>
      <c r="E955" s="111"/>
      <c r="F955" s="218"/>
      <c r="G955" s="217"/>
      <c r="H955" s="218"/>
      <c r="I955" s="223"/>
      <c r="J955" s="269"/>
      <c r="K955" s="111"/>
      <c r="L955" s="111"/>
      <c r="M955" s="216"/>
      <c r="N955" s="270"/>
      <c r="O955" s="111"/>
      <c r="P955" s="111"/>
      <c r="Q955" s="218"/>
      <c r="R955" s="111"/>
    </row>
    <row r="956" ht="21.0" customHeight="1">
      <c r="A956" s="218"/>
      <c r="B956" s="219"/>
      <c r="C956" s="216"/>
      <c r="D956" s="111"/>
      <c r="E956" s="111"/>
      <c r="F956" s="218"/>
      <c r="G956" s="217"/>
      <c r="H956" s="218"/>
      <c r="I956" s="223"/>
      <c r="J956" s="269"/>
      <c r="K956" s="111"/>
      <c r="L956" s="111"/>
      <c r="M956" s="216"/>
      <c r="N956" s="270"/>
      <c r="O956" s="111"/>
      <c r="P956" s="111"/>
      <c r="Q956" s="218"/>
      <c r="R956" s="111"/>
    </row>
    <row r="957" ht="21.0" customHeight="1">
      <c r="A957" s="218"/>
      <c r="B957" s="219"/>
      <c r="C957" s="216"/>
      <c r="D957" s="111"/>
      <c r="E957" s="111"/>
      <c r="F957" s="218"/>
      <c r="G957" s="217"/>
      <c r="H957" s="218"/>
      <c r="I957" s="223"/>
      <c r="J957" s="269"/>
      <c r="K957" s="111"/>
      <c r="L957" s="111"/>
      <c r="M957" s="216"/>
      <c r="N957" s="270"/>
      <c r="O957" s="111"/>
      <c r="P957" s="111"/>
      <c r="Q957" s="218"/>
      <c r="R957" s="111"/>
    </row>
    <row r="958" ht="21.0" customHeight="1">
      <c r="A958" s="218"/>
      <c r="B958" s="219"/>
      <c r="C958" s="216"/>
      <c r="D958" s="111"/>
      <c r="E958" s="111"/>
      <c r="F958" s="218"/>
      <c r="G958" s="217"/>
      <c r="H958" s="218"/>
      <c r="I958" s="223"/>
      <c r="J958" s="269"/>
      <c r="K958" s="111"/>
      <c r="L958" s="111"/>
      <c r="M958" s="216"/>
      <c r="N958" s="270"/>
      <c r="O958" s="111"/>
      <c r="P958" s="111"/>
      <c r="Q958" s="218"/>
      <c r="R958" s="111"/>
    </row>
    <row r="959" ht="21.0" customHeight="1">
      <c r="A959" s="218"/>
      <c r="B959" s="219"/>
      <c r="C959" s="216"/>
      <c r="D959" s="111"/>
      <c r="E959" s="111"/>
      <c r="F959" s="218"/>
      <c r="G959" s="217"/>
      <c r="H959" s="218"/>
      <c r="I959" s="223"/>
      <c r="J959" s="269"/>
      <c r="K959" s="111"/>
      <c r="L959" s="111"/>
      <c r="M959" s="216"/>
      <c r="N959" s="270"/>
      <c r="O959" s="111"/>
      <c r="P959" s="111"/>
      <c r="Q959" s="218"/>
      <c r="R959" s="111"/>
    </row>
    <row r="960" ht="21.0" customHeight="1">
      <c r="A960" s="218"/>
      <c r="B960" s="219"/>
      <c r="C960" s="216"/>
      <c r="D960" s="111"/>
      <c r="E960" s="111"/>
      <c r="F960" s="218"/>
      <c r="G960" s="217"/>
      <c r="H960" s="218"/>
      <c r="I960" s="223"/>
      <c r="J960" s="269"/>
      <c r="K960" s="111"/>
      <c r="L960" s="111"/>
      <c r="M960" s="216"/>
      <c r="N960" s="270"/>
      <c r="O960" s="111"/>
      <c r="P960" s="111"/>
      <c r="Q960" s="218"/>
      <c r="R960" s="111"/>
    </row>
    <row r="961" ht="21.0" customHeight="1">
      <c r="A961" s="218"/>
      <c r="B961" s="219"/>
      <c r="C961" s="216"/>
      <c r="D961" s="111"/>
      <c r="E961" s="111"/>
      <c r="F961" s="218"/>
      <c r="G961" s="217"/>
      <c r="H961" s="218"/>
      <c r="I961" s="223"/>
      <c r="J961" s="269"/>
      <c r="K961" s="111"/>
      <c r="L961" s="111"/>
      <c r="M961" s="216"/>
      <c r="N961" s="270"/>
      <c r="O961" s="111"/>
      <c r="P961" s="111"/>
      <c r="Q961" s="218"/>
      <c r="R961" s="111"/>
    </row>
    <row r="962" ht="21.0" customHeight="1">
      <c r="A962" s="218"/>
      <c r="B962" s="219"/>
      <c r="C962" s="216"/>
      <c r="D962" s="111"/>
      <c r="E962" s="111"/>
      <c r="F962" s="218"/>
      <c r="G962" s="217"/>
      <c r="H962" s="218"/>
      <c r="I962" s="223"/>
      <c r="J962" s="269"/>
      <c r="K962" s="111"/>
      <c r="L962" s="111"/>
      <c r="M962" s="216"/>
      <c r="N962" s="270"/>
      <c r="O962" s="111"/>
      <c r="P962" s="111"/>
      <c r="Q962" s="218"/>
      <c r="R962" s="111"/>
    </row>
    <row r="963" ht="21.0" customHeight="1">
      <c r="A963" s="218"/>
      <c r="B963" s="219"/>
      <c r="C963" s="216"/>
      <c r="D963" s="111"/>
      <c r="E963" s="111"/>
      <c r="F963" s="218"/>
      <c r="G963" s="217"/>
      <c r="H963" s="218"/>
      <c r="I963" s="223"/>
      <c r="J963" s="269"/>
      <c r="K963" s="111"/>
      <c r="L963" s="111"/>
      <c r="M963" s="216"/>
      <c r="N963" s="270"/>
      <c r="O963" s="111"/>
      <c r="P963" s="111"/>
      <c r="Q963" s="218"/>
      <c r="R963" s="111"/>
    </row>
    <row r="964" ht="21.0" customHeight="1">
      <c r="A964" s="218"/>
      <c r="B964" s="219"/>
      <c r="C964" s="216"/>
      <c r="D964" s="111"/>
      <c r="E964" s="111"/>
      <c r="F964" s="218"/>
      <c r="G964" s="217"/>
      <c r="H964" s="218"/>
      <c r="I964" s="223"/>
      <c r="J964" s="269"/>
      <c r="K964" s="111"/>
      <c r="L964" s="111"/>
      <c r="M964" s="216"/>
      <c r="N964" s="270"/>
      <c r="O964" s="111"/>
      <c r="P964" s="111"/>
      <c r="Q964" s="218"/>
      <c r="R964" s="111"/>
    </row>
    <row r="965" ht="21.0" customHeight="1">
      <c r="A965" s="218"/>
      <c r="B965" s="219"/>
      <c r="C965" s="216"/>
      <c r="D965" s="111"/>
      <c r="E965" s="111"/>
      <c r="F965" s="218"/>
      <c r="G965" s="217"/>
      <c r="H965" s="218"/>
      <c r="I965" s="223"/>
      <c r="J965" s="269"/>
      <c r="K965" s="111"/>
      <c r="L965" s="111"/>
      <c r="M965" s="216"/>
      <c r="N965" s="270"/>
      <c r="O965" s="111"/>
      <c r="P965" s="111"/>
      <c r="Q965" s="218"/>
      <c r="R965" s="111"/>
    </row>
    <row r="966" ht="21.0" customHeight="1">
      <c r="A966" s="218"/>
      <c r="B966" s="219"/>
      <c r="C966" s="216"/>
      <c r="D966" s="111"/>
      <c r="E966" s="111"/>
      <c r="F966" s="218"/>
      <c r="G966" s="217"/>
      <c r="H966" s="218"/>
      <c r="I966" s="223"/>
      <c r="J966" s="269"/>
      <c r="K966" s="111"/>
      <c r="L966" s="111"/>
      <c r="M966" s="216"/>
      <c r="N966" s="270"/>
      <c r="O966" s="111"/>
      <c r="P966" s="111"/>
      <c r="Q966" s="218"/>
      <c r="R966" s="111"/>
    </row>
    <row r="967" ht="21.0" customHeight="1">
      <c r="A967" s="218"/>
      <c r="B967" s="219"/>
      <c r="C967" s="216"/>
      <c r="D967" s="111"/>
      <c r="E967" s="111"/>
      <c r="F967" s="218"/>
      <c r="G967" s="217"/>
      <c r="H967" s="218"/>
      <c r="I967" s="223"/>
      <c r="J967" s="269"/>
      <c r="K967" s="111"/>
      <c r="L967" s="111"/>
      <c r="M967" s="216"/>
      <c r="N967" s="270"/>
      <c r="O967" s="111"/>
      <c r="P967" s="111"/>
      <c r="Q967" s="218"/>
      <c r="R967" s="111"/>
    </row>
    <row r="968" ht="21.0" customHeight="1">
      <c r="A968" s="218"/>
      <c r="B968" s="219"/>
      <c r="C968" s="216"/>
      <c r="D968" s="111"/>
      <c r="E968" s="111"/>
      <c r="F968" s="218"/>
      <c r="G968" s="217"/>
      <c r="H968" s="218"/>
      <c r="I968" s="223"/>
      <c r="J968" s="269"/>
      <c r="K968" s="111"/>
      <c r="L968" s="111"/>
      <c r="M968" s="216"/>
      <c r="N968" s="270"/>
      <c r="O968" s="111"/>
      <c r="P968" s="111"/>
      <c r="Q968" s="218"/>
      <c r="R968" s="111"/>
    </row>
    <row r="969" ht="21.0" customHeight="1">
      <c r="A969" s="218"/>
      <c r="B969" s="219"/>
      <c r="C969" s="216"/>
      <c r="D969" s="111"/>
      <c r="E969" s="111"/>
      <c r="F969" s="218"/>
      <c r="G969" s="217"/>
      <c r="H969" s="218"/>
      <c r="I969" s="223"/>
      <c r="J969" s="269"/>
      <c r="K969" s="111"/>
      <c r="L969" s="111"/>
      <c r="M969" s="216"/>
      <c r="N969" s="270"/>
      <c r="O969" s="111"/>
      <c r="P969" s="111"/>
      <c r="Q969" s="218"/>
      <c r="R969" s="111"/>
    </row>
    <row r="970" ht="21.0" customHeight="1">
      <c r="A970" s="218"/>
      <c r="B970" s="219"/>
      <c r="C970" s="216"/>
      <c r="D970" s="111"/>
      <c r="E970" s="111"/>
      <c r="F970" s="218"/>
      <c r="G970" s="217"/>
      <c r="H970" s="218"/>
      <c r="I970" s="223"/>
      <c r="J970" s="269"/>
      <c r="K970" s="111"/>
      <c r="L970" s="111"/>
      <c r="M970" s="216"/>
      <c r="N970" s="270"/>
      <c r="O970" s="111"/>
      <c r="P970" s="111"/>
      <c r="Q970" s="218"/>
      <c r="R970" s="111"/>
    </row>
    <row r="971" ht="21.0" customHeight="1">
      <c r="A971" s="218"/>
      <c r="B971" s="219"/>
      <c r="C971" s="216"/>
      <c r="D971" s="111"/>
      <c r="E971" s="111"/>
      <c r="F971" s="218"/>
      <c r="G971" s="217"/>
      <c r="H971" s="218"/>
      <c r="I971" s="223"/>
      <c r="J971" s="269"/>
      <c r="K971" s="111"/>
      <c r="L971" s="111"/>
      <c r="M971" s="216"/>
      <c r="N971" s="270"/>
      <c r="O971" s="111"/>
      <c r="P971" s="111"/>
      <c r="Q971" s="218"/>
      <c r="R971" s="111"/>
    </row>
    <row r="972" ht="21.0" customHeight="1">
      <c r="A972" s="218"/>
      <c r="B972" s="219"/>
      <c r="C972" s="216"/>
      <c r="D972" s="111"/>
      <c r="E972" s="111"/>
      <c r="F972" s="218"/>
      <c r="G972" s="217"/>
      <c r="H972" s="218"/>
      <c r="I972" s="223"/>
      <c r="J972" s="269"/>
      <c r="K972" s="111"/>
      <c r="L972" s="111"/>
      <c r="M972" s="216"/>
      <c r="N972" s="270"/>
      <c r="O972" s="111"/>
      <c r="P972" s="111"/>
      <c r="Q972" s="218"/>
      <c r="R972" s="111"/>
    </row>
    <row r="973" ht="21.0" customHeight="1">
      <c r="A973" s="218"/>
      <c r="B973" s="219"/>
      <c r="C973" s="216"/>
      <c r="D973" s="111"/>
      <c r="E973" s="111"/>
      <c r="F973" s="218"/>
      <c r="G973" s="217"/>
      <c r="H973" s="218"/>
      <c r="I973" s="223"/>
      <c r="J973" s="269"/>
      <c r="K973" s="111"/>
      <c r="L973" s="111"/>
      <c r="M973" s="216"/>
      <c r="N973" s="270"/>
      <c r="O973" s="111"/>
      <c r="P973" s="111"/>
      <c r="Q973" s="218"/>
      <c r="R973" s="111"/>
    </row>
    <row r="974" ht="21.0" customHeight="1">
      <c r="A974" s="218"/>
      <c r="B974" s="219"/>
      <c r="C974" s="216"/>
      <c r="D974" s="111"/>
      <c r="E974" s="111"/>
      <c r="F974" s="218"/>
      <c r="G974" s="217"/>
      <c r="H974" s="218"/>
      <c r="I974" s="223"/>
      <c r="J974" s="269"/>
      <c r="K974" s="111"/>
      <c r="L974" s="111"/>
      <c r="M974" s="216"/>
      <c r="N974" s="270"/>
      <c r="O974" s="111"/>
      <c r="P974" s="111"/>
      <c r="Q974" s="218"/>
      <c r="R974" s="111"/>
    </row>
    <row r="975" ht="21.0" customHeight="1">
      <c r="A975" s="218"/>
      <c r="B975" s="219"/>
      <c r="C975" s="216"/>
      <c r="D975" s="111"/>
      <c r="E975" s="111"/>
      <c r="F975" s="218"/>
      <c r="G975" s="217"/>
      <c r="H975" s="218"/>
      <c r="I975" s="223"/>
      <c r="J975" s="269"/>
      <c r="K975" s="111"/>
      <c r="L975" s="111"/>
      <c r="M975" s="216"/>
      <c r="N975" s="270"/>
      <c r="O975" s="111"/>
      <c r="P975" s="111"/>
      <c r="Q975" s="218"/>
      <c r="R975" s="111"/>
    </row>
    <row r="976" ht="21.0" customHeight="1">
      <c r="A976" s="218"/>
      <c r="B976" s="219"/>
      <c r="C976" s="216"/>
      <c r="D976" s="111"/>
      <c r="E976" s="111"/>
      <c r="F976" s="218"/>
      <c r="G976" s="217"/>
      <c r="H976" s="218"/>
      <c r="I976" s="223"/>
      <c r="J976" s="269"/>
      <c r="K976" s="111"/>
      <c r="L976" s="111"/>
      <c r="M976" s="216"/>
      <c r="N976" s="270"/>
      <c r="O976" s="111"/>
      <c r="P976" s="111"/>
      <c r="Q976" s="218"/>
      <c r="R976" s="111"/>
    </row>
    <row r="977" ht="21.0" customHeight="1">
      <c r="A977" s="218"/>
      <c r="B977" s="219"/>
      <c r="C977" s="216"/>
      <c r="D977" s="111"/>
      <c r="E977" s="111"/>
      <c r="F977" s="218"/>
      <c r="G977" s="217"/>
      <c r="H977" s="218"/>
      <c r="I977" s="223"/>
      <c r="J977" s="269"/>
      <c r="K977" s="111"/>
      <c r="L977" s="111"/>
      <c r="M977" s="216"/>
      <c r="N977" s="270"/>
      <c r="O977" s="111"/>
      <c r="P977" s="111"/>
      <c r="Q977" s="218"/>
      <c r="R977" s="111"/>
    </row>
    <row r="978" ht="21.0" customHeight="1">
      <c r="A978" s="218"/>
      <c r="B978" s="219"/>
      <c r="C978" s="216"/>
      <c r="D978" s="111"/>
      <c r="E978" s="111"/>
      <c r="F978" s="218"/>
      <c r="G978" s="217"/>
      <c r="H978" s="218"/>
      <c r="I978" s="223"/>
      <c r="J978" s="269"/>
      <c r="K978" s="111"/>
      <c r="L978" s="111"/>
      <c r="M978" s="216"/>
      <c r="N978" s="270"/>
      <c r="O978" s="111"/>
      <c r="P978" s="111"/>
      <c r="Q978" s="218"/>
      <c r="R978" s="111"/>
    </row>
    <row r="979" ht="21.0" customHeight="1">
      <c r="A979" s="218"/>
      <c r="B979" s="219"/>
      <c r="C979" s="216"/>
      <c r="D979" s="111"/>
      <c r="E979" s="111"/>
      <c r="F979" s="218"/>
      <c r="G979" s="217"/>
      <c r="H979" s="218"/>
      <c r="I979" s="223"/>
      <c r="J979" s="269"/>
      <c r="K979" s="111"/>
      <c r="L979" s="111"/>
      <c r="M979" s="216"/>
      <c r="N979" s="270"/>
      <c r="O979" s="111"/>
      <c r="P979" s="111"/>
      <c r="Q979" s="218"/>
      <c r="R979" s="111"/>
    </row>
    <row r="980" ht="21.0" customHeight="1">
      <c r="A980" s="218"/>
      <c r="B980" s="219"/>
      <c r="C980" s="216"/>
      <c r="D980" s="111"/>
      <c r="E980" s="111"/>
      <c r="F980" s="218"/>
      <c r="G980" s="217"/>
      <c r="H980" s="218"/>
      <c r="I980" s="223"/>
      <c r="J980" s="269"/>
      <c r="K980" s="111"/>
      <c r="L980" s="111"/>
      <c r="M980" s="216"/>
      <c r="N980" s="270"/>
      <c r="O980" s="111"/>
      <c r="P980" s="111"/>
      <c r="Q980" s="218"/>
      <c r="R980" s="111"/>
    </row>
    <row r="981" ht="21.0" customHeight="1">
      <c r="A981" s="218"/>
      <c r="B981" s="219"/>
      <c r="C981" s="216"/>
      <c r="D981" s="111"/>
      <c r="E981" s="111"/>
      <c r="F981" s="218"/>
      <c r="G981" s="217"/>
      <c r="H981" s="218"/>
      <c r="I981" s="223"/>
      <c r="J981" s="269"/>
      <c r="K981" s="111"/>
      <c r="L981" s="111"/>
      <c r="M981" s="216"/>
      <c r="N981" s="270"/>
      <c r="O981" s="111"/>
      <c r="P981" s="111"/>
      <c r="Q981" s="218"/>
      <c r="R981" s="111"/>
    </row>
    <row r="982" ht="21.0" customHeight="1">
      <c r="A982" s="218"/>
      <c r="B982" s="219"/>
      <c r="C982" s="216"/>
      <c r="D982" s="111"/>
      <c r="E982" s="111"/>
      <c r="F982" s="218"/>
      <c r="G982" s="217"/>
      <c r="H982" s="218"/>
      <c r="I982" s="223"/>
      <c r="J982" s="269"/>
      <c r="K982" s="111"/>
      <c r="L982" s="111"/>
      <c r="M982" s="216"/>
      <c r="N982" s="270"/>
      <c r="O982" s="111"/>
      <c r="P982" s="111"/>
      <c r="Q982" s="218"/>
      <c r="R982" s="111"/>
    </row>
    <row r="983" ht="21.0" customHeight="1">
      <c r="A983" s="218"/>
      <c r="B983" s="219"/>
      <c r="C983" s="216"/>
      <c r="D983" s="111"/>
      <c r="E983" s="111"/>
      <c r="F983" s="218"/>
      <c r="G983" s="217"/>
      <c r="H983" s="218"/>
      <c r="I983" s="223"/>
      <c r="J983" s="269"/>
      <c r="K983" s="111"/>
      <c r="L983" s="111"/>
      <c r="M983" s="216"/>
      <c r="N983" s="270"/>
      <c r="O983" s="111"/>
      <c r="P983" s="111"/>
      <c r="Q983" s="218"/>
      <c r="R983" s="111"/>
    </row>
    <row r="984" ht="21.0" customHeight="1">
      <c r="A984" s="218"/>
      <c r="B984" s="219"/>
      <c r="C984" s="216"/>
      <c r="D984" s="111"/>
      <c r="E984" s="111"/>
      <c r="F984" s="218"/>
      <c r="G984" s="217"/>
      <c r="H984" s="218"/>
      <c r="I984" s="223"/>
      <c r="J984" s="269"/>
      <c r="K984" s="111"/>
      <c r="L984" s="111"/>
      <c r="M984" s="216"/>
      <c r="N984" s="270"/>
      <c r="O984" s="111"/>
      <c r="P984" s="111"/>
      <c r="Q984" s="218"/>
      <c r="R984" s="111"/>
    </row>
    <row r="985" ht="21.0" customHeight="1">
      <c r="A985" s="218"/>
      <c r="B985" s="219"/>
      <c r="C985" s="216"/>
      <c r="D985" s="111"/>
      <c r="E985" s="111"/>
      <c r="F985" s="218"/>
      <c r="G985" s="217"/>
      <c r="H985" s="218"/>
      <c r="I985" s="223"/>
      <c r="J985" s="269"/>
      <c r="K985" s="111"/>
      <c r="L985" s="111"/>
      <c r="M985" s="216"/>
      <c r="N985" s="270"/>
      <c r="O985" s="111"/>
      <c r="P985" s="111"/>
      <c r="Q985" s="218"/>
      <c r="R985" s="111"/>
    </row>
    <row r="986" ht="21.0" customHeight="1">
      <c r="A986" s="218"/>
      <c r="B986" s="219"/>
      <c r="C986" s="216"/>
      <c r="D986" s="111"/>
      <c r="E986" s="111"/>
      <c r="F986" s="218"/>
      <c r="G986" s="217"/>
      <c r="H986" s="218"/>
      <c r="I986" s="223"/>
      <c r="J986" s="269"/>
      <c r="K986" s="111"/>
      <c r="L986" s="111"/>
      <c r="M986" s="216"/>
      <c r="N986" s="270"/>
      <c r="O986" s="111"/>
      <c r="P986" s="111"/>
      <c r="Q986" s="218"/>
      <c r="R986" s="111"/>
    </row>
    <row r="987" ht="21.0" customHeight="1">
      <c r="A987" s="218"/>
      <c r="B987" s="219"/>
      <c r="C987" s="216"/>
      <c r="D987" s="111"/>
      <c r="E987" s="111"/>
      <c r="F987" s="218"/>
      <c r="G987" s="217"/>
      <c r="H987" s="218"/>
      <c r="I987" s="223"/>
      <c r="J987" s="269"/>
      <c r="K987" s="111"/>
      <c r="L987" s="111"/>
      <c r="M987" s="216"/>
      <c r="N987" s="270"/>
      <c r="O987" s="111"/>
      <c r="P987" s="111"/>
      <c r="Q987" s="218"/>
      <c r="R987" s="111"/>
    </row>
    <row r="988" ht="21.0" customHeight="1">
      <c r="A988" s="218"/>
      <c r="B988" s="219"/>
      <c r="C988" s="216"/>
      <c r="D988" s="111"/>
      <c r="E988" s="111"/>
      <c r="F988" s="218"/>
      <c r="G988" s="217"/>
      <c r="H988" s="218"/>
      <c r="I988" s="223"/>
      <c r="J988" s="269"/>
      <c r="K988" s="111"/>
      <c r="L988" s="111"/>
      <c r="M988" s="216"/>
      <c r="N988" s="270"/>
      <c r="O988" s="111"/>
      <c r="P988" s="111"/>
      <c r="Q988" s="218"/>
      <c r="R988" s="111"/>
    </row>
    <row r="989" ht="21.0" customHeight="1">
      <c r="A989" s="218"/>
      <c r="B989" s="219"/>
      <c r="C989" s="216"/>
      <c r="D989" s="111"/>
      <c r="E989" s="111"/>
      <c r="F989" s="218"/>
      <c r="G989" s="217"/>
      <c r="H989" s="218"/>
      <c r="I989" s="223"/>
      <c r="J989" s="269"/>
      <c r="K989" s="111"/>
      <c r="L989" s="111"/>
      <c r="M989" s="216"/>
      <c r="N989" s="270"/>
      <c r="O989" s="111"/>
      <c r="P989" s="111"/>
      <c r="Q989" s="218"/>
      <c r="R989" s="111"/>
    </row>
    <row r="990" ht="21.0" customHeight="1">
      <c r="A990" s="218"/>
      <c r="B990" s="219"/>
      <c r="C990" s="216"/>
      <c r="D990" s="111"/>
      <c r="E990" s="111"/>
      <c r="F990" s="218"/>
      <c r="G990" s="217"/>
      <c r="H990" s="218"/>
      <c r="I990" s="223"/>
      <c r="J990" s="269"/>
      <c r="K990" s="111"/>
      <c r="L990" s="111"/>
      <c r="M990" s="216"/>
      <c r="N990" s="270"/>
      <c r="O990" s="111"/>
      <c r="P990" s="111"/>
      <c r="Q990" s="218"/>
      <c r="R990" s="111"/>
    </row>
    <row r="991" ht="21.0" customHeight="1">
      <c r="A991" s="218"/>
      <c r="B991" s="219"/>
      <c r="C991" s="216"/>
      <c r="D991" s="111"/>
      <c r="E991" s="111"/>
      <c r="F991" s="218"/>
      <c r="G991" s="217"/>
      <c r="H991" s="218"/>
      <c r="I991" s="223"/>
      <c r="J991" s="269"/>
      <c r="K991" s="111"/>
      <c r="L991" s="111"/>
      <c r="M991" s="216"/>
      <c r="N991" s="270"/>
      <c r="O991" s="111"/>
      <c r="P991" s="111"/>
      <c r="Q991" s="218"/>
      <c r="R991" s="111"/>
    </row>
    <row r="992" ht="21.0" customHeight="1">
      <c r="A992" s="218"/>
      <c r="B992" s="219"/>
      <c r="C992" s="216"/>
      <c r="D992" s="111"/>
      <c r="E992" s="111"/>
      <c r="F992" s="218"/>
      <c r="G992" s="217"/>
      <c r="H992" s="218"/>
      <c r="I992" s="223"/>
      <c r="J992" s="269"/>
      <c r="K992" s="111"/>
      <c r="L992" s="111"/>
      <c r="M992" s="216"/>
      <c r="N992" s="270"/>
      <c r="O992" s="111"/>
      <c r="P992" s="111"/>
      <c r="Q992" s="218"/>
      <c r="R992" s="111"/>
    </row>
    <row r="993" ht="21.0" customHeight="1">
      <c r="A993" s="218"/>
      <c r="B993" s="219"/>
      <c r="C993" s="216"/>
      <c r="D993" s="111"/>
      <c r="E993" s="111"/>
      <c r="F993" s="218"/>
      <c r="G993" s="217"/>
      <c r="H993" s="218"/>
      <c r="I993" s="223"/>
      <c r="J993" s="269"/>
      <c r="K993" s="111"/>
      <c r="L993" s="111"/>
      <c r="M993" s="216"/>
      <c r="N993" s="270"/>
      <c r="O993" s="111"/>
      <c r="P993" s="111"/>
      <c r="Q993" s="218"/>
      <c r="R993" s="111"/>
    </row>
    <row r="994" ht="21.0" customHeight="1">
      <c r="A994" s="218"/>
      <c r="B994" s="219"/>
      <c r="C994" s="216"/>
      <c r="D994" s="111"/>
      <c r="E994" s="111"/>
      <c r="F994" s="218"/>
      <c r="G994" s="217"/>
      <c r="H994" s="218"/>
      <c r="I994" s="223"/>
      <c r="J994" s="269"/>
      <c r="K994" s="111"/>
      <c r="L994" s="111"/>
      <c r="M994" s="216"/>
      <c r="N994" s="270"/>
      <c r="O994" s="111"/>
      <c r="P994" s="111"/>
      <c r="Q994" s="218"/>
      <c r="R994" s="111"/>
    </row>
    <row r="995" ht="21.0" customHeight="1">
      <c r="A995" s="218"/>
      <c r="B995" s="219"/>
      <c r="C995" s="216"/>
      <c r="D995" s="111"/>
      <c r="E995" s="111"/>
      <c r="F995" s="218"/>
      <c r="G995" s="217"/>
      <c r="H995" s="218"/>
      <c r="I995" s="223"/>
      <c r="J995" s="269"/>
      <c r="K995" s="111"/>
      <c r="L995" s="111"/>
      <c r="M995" s="216"/>
      <c r="N995" s="270"/>
      <c r="O995" s="111"/>
      <c r="P995" s="111"/>
      <c r="Q995" s="218"/>
      <c r="R995" s="111"/>
    </row>
    <row r="996" ht="21.0" customHeight="1">
      <c r="A996" s="218"/>
      <c r="B996" s="219"/>
      <c r="C996" s="216"/>
      <c r="D996" s="111"/>
      <c r="E996" s="111"/>
      <c r="F996" s="218"/>
      <c r="G996" s="217"/>
      <c r="H996" s="218"/>
      <c r="I996" s="223"/>
      <c r="J996" s="269"/>
      <c r="K996" s="111"/>
      <c r="L996" s="111"/>
      <c r="M996" s="216"/>
      <c r="N996" s="270"/>
      <c r="O996" s="111"/>
      <c r="P996" s="111"/>
      <c r="Q996" s="218"/>
      <c r="R996" s="111"/>
    </row>
    <row r="997" ht="21.0" customHeight="1">
      <c r="A997" s="218"/>
      <c r="B997" s="219"/>
      <c r="C997" s="216"/>
      <c r="D997" s="111"/>
      <c r="E997" s="111"/>
      <c r="F997" s="218"/>
      <c r="G997" s="217"/>
      <c r="H997" s="218"/>
      <c r="I997" s="223"/>
      <c r="J997" s="269"/>
      <c r="K997" s="111"/>
      <c r="L997" s="111"/>
      <c r="M997" s="216"/>
      <c r="N997" s="270"/>
      <c r="O997" s="111"/>
      <c r="P997" s="111"/>
      <c r="Q997" s="218"/>
      <c r="R997" s="111"/>
    </row>
    <row r="998" ht="21.0" customHeight="1">
      <c r="A998" s="218"/>
      <c r="B998" s="219"/>
      <c r="C998" s="216"/>
      <c r="D998" s="111"/>
      <c r="E998" s="111"/>
      <c r="F998" s="218"/>
      <c r="G998" s="217"/>
      <c r="H998" s="218"/>
      <c r="I998" s="223"/>
      <c r="J998" s="269"/>
      <c r="K998" s="111"/>
      <c r="L998" s="111"/>
      <c r="M998" s="216"/>
      <c r="N998" s="270"/>
      <c r="O998" s="111"/>
      <c r="P998" s="111"/>
      <c r="Q998" s="218"/>
      <c r="R998" s="111"/>
    </row>
    <row r="999" ht="21.0" customHeight="1">
      <c r="A999" s="218"/>
      <c r="B999" s="219"/>
      <c r="C999" s="216"/>
      <c r="D999" s="111"/>
      <c r="E999" s="111"/>
      <c r="F999" s="218"/>
      <c r="G999" s="217"/>
      <c r="H999" s="218"/>
      <c r="I999" s="223"/>
      <c r="J999" s="269"/>
      <c r="K999" s="111"/>
      <c r="L999" s="111"/>
      <c r="M999" s="216"/>
      <c r="N999" s="270"/>
      <c r="O999" s="111"/>
      <c r="P999" s="111"/>
      <c r="Q999" s="218"/>
      <c r="R999" s="111"/>
    </row>
    <row r="1000" ht="21.0" customHeight="1">
      <c r="A1000" s="218"/>
      <c r="B1000" s="219"/>
      <c r="C1000" s="216"/>
      <c r="D1000" s="111"/>
      <c r="E1000" s="111"/>
      <c r="F1000" s="218"/>
      <c r="G1000" s="217"/>
      <c r="H1000" s="218"/>
      <c r="I1000" s="223"/>
      <c r="J1000" s="269"/>
      <c r="K1000" s="111"/>
      <c r="L1000" s="111"/>
      <c r="M1000" s="216"/>
      <c r="N1000" s="270"/>
      <c r="O1000" s="111"/>
      <c r="P1000" s="111"/>
      <c r="Q1000" s="218"/>
      <c r="R1000" s="111"/>
    </row>
  </sheetData>
  <conditionalFormatting sqref="A2:R1000">
    <cfRule type="expression" dxfId="16" priority="1" stopIfTrue="1">
      <formula>$Q2="Ha"</formula>
    </cfRule>
  </conditionalFormatting>
  <conditionalFormatting sqref="G2:G1000">
    <cfRule type="expression" dxfId="10" priority="2" stopIfTrue="1">
      <formula>$F2="Chiqim"</formula>
    </cfRule>
  </conditionalFormatting>
  <conditionalFormatting sqref="G2:G1000">
    <cfRule type="expression" dxfId="9" priority="3" stopIfTrue="1">
      <formula>$F2="Kirim"</formula>
    </cfRule>
  </conditionalFormatting>
  <dataValidations>
    <dataValidation type="list" allowBlank="1" showErrorMessage="1" sqref="H2:H483">
      <formula1>"UZS,USD"</formula1>
    </dataValidation>
    <dataValidation type="list" allowBlank="1" showErrorMessage="1" sqref="S2:S483">
      <formula1>"Avans,Oylik"</formula1>
    </dataValidation>
    <dataValidation type="custom" allowBlank="1" showDropDown="1" sqref="B2:B483">
      <formula1>OR(NOT(ISERROR(DATEVALUE(B2))), AND(ISNUMBER(B2), LEFT(CELL("format", B2))="D"))</formula1>
    </dataValidation>
    <dataValidation type="custom" allowBlank="1" showDropDown="1" sqref="A2:A483 D2:D483 G2:G483 P2:P483">
      <formula1>AND(ISNUMBER(A2),(NOT(OR(NOT(ISERROR(DATEVALUE(A2))), AND(ISNUMBER(A2), LEFT(CELL("format", A2))="D")))))</formula1>
    </dataValidation>
    <dataValidation type="list" allowBlank="1" showErrorMessage="1" sqref="F2:F483">
      <formula1>"Chiqim,Kirim"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13"/>
    <col customWidth="1" min="3" max="3" width="16.38"/>
    <col customWidth="1" min="4" max="4" width="22.63"/>
    <col customWidth="1" min="5" max="5" width="18.88"/>
    <col customWidth="1" min="6" max="6" width="17.0"/>
    <col customWidth="1" min="7" max="8" width="13.25"/>
    <col customWidth="1" min="9" max="11" width="15.13"/>
    <col customWidth="1" min="12" max="12" width="10.13"/>
    <col customWidth="1" min="13" max="13" width="15.13"/>
    <col customWidth="1" min="14" max="14" width="18.88"/>
    <col customWidth="1" min="15" max="15" width="17.63"/>
    <col customWidth="1" min="16" max="16" width="22.63"/>
    <col customWidth="1" min="17" max="18" width="13.88"/>
    <col customWidth="1" min="19" max="19" width="25.13"/>
  </cols>
  <sheetData>
    <row r="1" ht="33.0" customHeight="1">
      <c r="A1" s="155" t="s">
        <v>220</v>
      </c>
      <c r="B1" s="157" t="s">
        <v>132</v>
      </c>
      <c r="C1" s="157" t="s">
        <v>225</v>
      </c>
      <c r="D1" s="157" t="s">
        <v>226</v>
      </c>
      <c r="E1" s="160" t="s">
        <v>228</v>
      </c>
      <c r="F1" s="157" t="s">
        <v>134</v>
      </c>
      <c r="G1" s="157" t="s">
        <v>229</v>
      </c>
      <c r="H1" s="157" t="s">
        <v>230</v>
      </c>
      <c r="I1" s="162" t="s">
        <v>231</v>
      </c>
      <c r="J1" s="162" t="s">
        <v>233</v>
      </c>
      <c r="K1" s="162" t="s">
        <v>235</v>
      </c>
      <c r="L1" s="163" t="s">
        <v>237</v>
      </c>
      <c r="M1" s="160" t="s">
        <v>239</v>
      </c>
      <c r="N1" s="164" t="s">
        <v>240</v>
      </c>
      <c r="O1" s="164" t="s">
        <v>242</v>
      </c>
      <c r="P1" s="164" t="s">
        <v>244</v>
      </c>
      <c r="Q1" s="164" t="s">
        <v>246</v>
      </c>
      <c r="R1" s="164" t="s">
        <v>248</v>
      </c>
      <c r="S1" s="164" t="s">
        <v>249</v>
      </c>
    </row>
    <row r="2" ht="21.0" customHeight="1">
      <c r="A2" s="167" t="s">
        <v>251</v>
      </c>
      <c r="B2" s="169" t="s">
        <v>203</v>
      </c>
      <c r="C2" s="171"/>
      <c r="D2" s="169" t="s">
        <v>252</v>
      </c>
      <c r="E2" s="173">
        <v>0.0</v>
      </c>
      <c r="F2" s="174" t="s">
        <v>253</v>
      </c>
      <c r="G2" s="170">
        <v>46302.0</v>
      </c>
      <c r="H2" s="170">
        <v>46319.0</v>
      </c>
      <c r="I2" s="178">
        <f>SUMIFS(Amallar!G:G,Amallar!M:M,A2,Amallar!F:F,"Chiqim",Amallar!Q:Q,"&lt;&gt;Ha")</f>
        <v>4864800</v>
      </c>
      <c r="J2" s="178">
        <f>SUMIFS(Amallar!G:G,Amallar!M:M,A2,Amallar!F:F,"Kirim",Amallar!K:K,"avans",Amallar!Q:Q,"&lt;&gt;Ha")+SUMIFS(Amallar!G:G,Amallar!M:M,A2,Amallar!F:F,"Kirim",Amallar!K:K,"qoldiq",Amallar!Q:Q,"&lt;&gt;Ha")</f>
        <v>4426800</v>
      </c>
      <c r="K2" s="182" t="str">
        <f t="shared" ref="K2:K44" si="1">IF(E2&gt;0,E2-I2,"")</f>
        <v/>
      </c>
      <c r="L2" s="183" t="str">
        <f t="shared" ref="L2:L44" si="2">IF(E2&gt;0,I2/E2,"")</f>
        <v/>
      </c>
      <c r="M2" s="182" t="str">
        <f t="shared" ref="M2:M44" si="3">IF(E2&gt;0,E2-J2,"")</f>
        <v/>
      </c>
      <c r="N2" s="174" t="s">
        <v>261</v>
      </c>
      <c r="O2" s="170">
        <v>46320.0</v>
      </c>
      <c r="P2" s="169" t="s">
        <v>262</v>
      </c>
      <c r="Q2" s="173">
        <v>1380.0</v>
      </c>
      <c r="R2" s="179" t="s">
        <v>263</v>
      </c>
      <c r="S2" s="169" t="s">
        <v>264</v>
      </c>
    </row>
    <row r="3" ht="21.0" customHeight="1">
      <c r="A3" s="167" t="s">
        <v>265</v>
      </c>
      <c r="B3" s="169" t="s">
        <v>202</v>
      </c>
      <c r="C3" s="171"/>
      <c r="D3" s="169" t="s">
        <v>252</v>
      </c>
      <c r="E3" s="173">
        <v>0.0</v>
      </c>
      <c r="F3" s="174" t="s">
        <v>253</v>
      </c>
      <c r="G3" s="170">
        <v>46302.0</v>
      </c>
      <c r="H3" s="170">
        <v>46318.0</v>
      </c>
      <c r="I3" s="178">
        <f>SUMIFS(Amallar!G:G,Amallar!M:M,A3,Amallar!F:F,"Chiqim",Amallar!Q:Q,"&lt;&gt;Ha")</f>
        <v>17086000</v>
      </c>
      <c r="J3" s="178">
        <f>SUMIFS(Amallar!G:G,Amallar!M:M,A3,Amallar!F:F,"Kirim",Amallar!K:K,"avans",Amallar!Q:Q,"&lt;&gt;Ha")+SUMIFS(Amallar!G:G,Amallar!M:M,A3,Amallar!F:F,"Kirim",Amallar!K:K,"qoldiq",Amallar!Q:Q,"&lt;&gt;Ha")</f>
        <v>16541000</v>
      </c>
      <c r="K3" s="182" t="str">
        <f t="shared" si="1"/>
        <v/>
      </c>
      <c r="L3" s="183" t="str">
        <f t="shared" si="2"/>
        <v/>
      </c>
      <c r="M3" s="182" t="str">
        <f t="shared" si="3"/>
        <v/>
      </c>
      <c r="N3" s="174" t="s">
        <v>261</v>
      </c>
      <c r="O3" s="170">
        <v>46328.0</v>
      </c>
      <c r="P3" s="169" t="s">
        <v>274</v>
      </c>
      <c r="Q3" s="173">
        <v>3390.0</v>
      </c>
      <c r="R3" s="179" t="s">
        <v>263</v>
      </c>
      <c r="S3" s="169" t="s">
        <v>275</v>
      </c>
    </row>
    <row r="4" ht="21.0" customHeight="1">
      <c r="A4" s="167" t="s">
        <v>276</v>
      </c>
      <c r="B4" s="169" t="s">
        <v>277</v>
      </c>
      <c r="C4" s="171"/>
      <c r="D4" s="169" t="s">
        <v>252</v>
      </c>
      <c r="E4" s="173">
        <v>0.0</v>
      </c>
      <c r="F4" s="174" t="s">
        <v>278</v>
      </c>
      <c r="G4" s="170">
        <v>46302.0</v>
      </c>
      <c r="H4" s="189"/>
      <c r="I4" s="178">
        <f>SUMIFS(Amallar!G:G,Amallar!M:M,A4,Amallar!F:F,"Chiqim",Amallar!Q:Q,"&lt;&gt;Ha")</f>
        <v>929200</v>
      </c>
      <c r="J4" s="178">
        <f>SUMIFS(Amallar!G:G,Amallar!M:M,A4,Amallar!F:F,"Kirim",Amallar!K:K,"avans",Amallar!Q:Q,"&lt;&gt;Ha")+SUMIFS(Amallar!G:G,Amallar!M:M,A4,Amallar!F:F,"Kirim",Amallar!K:K,"qoldiq",Amallar!Q:Q,"&lt;&gt;Ha")</f>
        <v>0</v>
      </c>
      <c r="K4" s="182" t="str">
        <f t="shared" si="1"/>
        <v/>
      </c>
      <c r="L4" s="183" t="str">
        <f t="shared" si="2"/>
        <v/>
      </c>
      <c r="M4" s="182" t="str">
        <f t="shared" si="3"/>
        <v/>
      </c>
      <c r="N4" s="174" t="s">
        <v>279</v>
      </c>
      <c r="O4" s="170">
        <v>46332.0</v>
      </c>
      <c r="P4" s="169" t="s">
        <v>280</v>
      </c>
      <c r="Q4" s="173">
        <v>6650.0</v>
      </c>
      <c r="R4" s="179" t="s">
        <v>263</v>
      </c>
      <c r="S4" s="169" t="s">
        <v>281</v>
      </c>
    </row>
    <row r="5" ht="21.0" customHeight="1">
      <c r="A5" s="167" t="s">
        <v>283</v>
      </c>
      <c r="B5" s="169" t="s">
        <v>284</v>
      </c>
      <c r="C5" s="171"/>
      <c r="D5" s="169" t="s">
        <v>252</v>
      </c>
      <c r="E5" s="173">
        <v>0.0</v>
      </c>
      <c r="F5" s="174" t="s">
        <v>278</v>
      </c>
      <c r="G5" s="170">
        <v>46302.0</v>
      </c>
      <c r="H5" s="189"/>
      <c r="I5" s="178">
        <f>SUMIFS(Amallar!G:G,Amallar!M:M,A5,Amallar!F:F,"Chiqim",Amallar!Q:Q,"&lt;&gt;Ha")</f>
        <v>1632000</v>
      </c>
      <c r="J5" s="178">
        <f>SUMIFS(Amallar!G:G,Amallar!M:M,A5,Amallar!F:F,"Kirim",Amallar!K:K,"avans",Amallar!Q:Q,"&lt;&gt;Ha")+SUMIFS(Amallar!G:G,Amallar!M:M,A5,Amallar!F:F,"Kirim",Amallar!K:K,"qoldiq",Amallar!Q:Q,"&lt;&gt;Ha")</f>
        <v>0</v>
      </c>
      <c r="K5" s="182" t="str">
        <f t="shared" si="1"/>
        <v/>
      </c>
      <c r="L5" s="183" t="str">
        <f t="shared" si="2"/>
        <v/>
      </c>
      <c r="M5" s="182" t="str">
        <f t="shared" si="3"/>
        <v/>
      </c>
      <c r="N5" s="174" t="s">
        <v>279</v>
      </c>
      <c r="O5" s="170">
        <v>46319.0</v>
      </c>
      <c r="P5" s="169" t="s">
        <v>287</v>
      </c>
      <c r="Q5" s="173">
        <v>6950.0</v>
      </c>
      <c r="R5" s="179" t="s">
        <v>263</v>
      </c>
      <c r="S5" s="169" t="s">
        <v>288</v>
      </c>
    </row>
    <row r="6" ht="21.0" customHeight="1">
      <c r="A6" s="167" t="s">
        <v>289</v>
      </c>
      <c r="B6" s="169" t="s">
        <v>140</v>
      </c>
      <c r="C6" s="171"/>
      <c r="D6" s="169" t="s">
        <v>252</v>
      </c>
      <c r="E6" s="173">
        <v>0.0</v>
      </c>
      <c r="F6" s="174" t="s">
        <v>253</v>
      </c>
      <c r="G6" s="170">
        <v>46302.0</v>
      </c>
      <c r="H6" s="170">
        <v>46315.0</v>
      </c>
      <c r="I6" s="178">
        <f>SUMIFS(Amallar!G:G,Amallar!M:M,A6,Amallar!F:F,"Chiqim",Amallar!Q:Q,"&lt;&gt;Ha")</f>
        <v>1070000</v>
      </c>
      <c r="J6" s="178">
        <f>SUMIFS(Amallar!G:G,Amallar!M:M,A6,Amallar!F:F,"Kirim",Amallar!K:K,"avans",Amallar!Q:Q,"&lt;&gt;Ha")+SUMIFS(Amallar!G:G,Amallar!M:M,A6,Amallar!F:F,"Kirim",Amallar!K:K,"qoldiq",Amallar!Q:Q,"&lt;&gt;Ha")</f>
        <v>12399800</v>
      </c>
      <c r="K6" s="182" t="str">
        <f t="shared" si="1"/>
        <v/>
      </c>
      <c r="L6" s="183" t="str">
        <f t="shared" si="2"/>
        <v/>
      </c>
      <c r="M6" s="182" t="str">
        <f t="shared" si="3"/>
        <v/>
      </c>
      <c r="N6" s="174" t="s">
        <v>261</v>
      </c>
      <c r="O6" s="170">
        <v>46299.0</v>
      </c>
      <c r="P6" s="169" t="s">
        <v>293</v>
      </c>
      <c r="Q6" s="173">
        <v>3150.0</v>
      </c>
      <c r="R6" s="179" t="s">
        <v>263</v>
      </c>
      <c r="S6" s="200" t="s">
        <v>294</v>
      </c>
    </row>
    <row r="7" ht="21.0" customHeight="1">
      <c r="A7" s="167" t="s">
        <v>295</v>
      </c>
      <c r="B7" s="169" t="s">
        <v>204</v>
      </c>
      <c r="C7" s="171"/>
      <c r="D7" s="169" t="s">
        <v>252</v>
      </c>
      <c r="E7" s="173">
        <v>0.0</v>
      </c>
      <c r="F7" s="174" t="s">
        <v>253</v>
      </c>
      <c r="G7" s="170">
        <v>46302.0</v>
      </c>
      <c r="H7" s="170">
        <v>46319.0</v>
      </c>
      <c r="I7" s="178">
        <f>SUMIFS(Amallar!G:G,Amallar!M:M,A7,Amallar!F:F,"Chiqim",Amallar!Q:Q,"&lt;&gt;Ha")</f>
        <v>30036000</v>
      </c>
      <c r="J7" s="178">
        <f>SUMIFS(Amallar!G:G,Amallar!M:M,A7,Amallar!F:F,"Kirim",Amallar!K:K,"avans",Amallar!Q:Q,"&lt;&gt;Ha")+SUMIFS(Amallar!G:G,Amallar!M:M,A7,Amallar!F:F,"Kirim",Amallar!K:K,"qoldiq",Amallar!Q:Q,"&lt;&gt;Ha")</f>
        <v>24038000</v>
      </c>
      <c r="K7" s="182" t="str">
        <f t="shared" si="1"/>
        <v/>
      </c>
      <c r="L7" s="183" t="str">
        <f t="shared" si="2"/>
        <v/>
      </c>
      <c r="M7" s="182" t="str">
        <f t="shared" si="3"/>
        <v/>
      </c>
      <c r="N7" s="174" t="s">
        <v>261</v>
      </c>
      <c r="O7" s="170">
        <v>46313.0</v>
      </c>
      <c r="P7" s="169" t="s">
        <v>300</v>
      </c>
      <c r="Q7" s="173">
        <v>7020.0</v>
      </c>
      <c r="R7" s="179" t="s">
        <v>263</v>
      </c>
      <c r="S7" s="200" t="s">
        <v>294</v>
      </c>
    </row>
    <row r="8" ht="21.0" customHeight="1">
      <c r="A8" s="167" t="s">
        <v>301</v>
      </c>
      <c r="B8" s="169" t="s">
        <v>201</v>
      </c>
      <c r="C8" s="171"/>
      <c r="D8" s="169" t="s">
        <v>252</v>
      </c>
      <c r="E8" s="173">
        <v>0.0</v>
      </c>
      <c r="F8" s="174" t="s">
        <v>253</v>
      </c>
      <c r="G8" s="170">
        <v>46302.0</v>
      </c>
      <c r="H8" s="170">
        <v>46317.0</v>
      </c>
      <c r="I8" s="178">
        <f>SUMIFS(Amallar!G:G,Amallar!M:M,A8,Amallar!F:F,"Chiqim",Amallar!Q:Q,"&lt;&gt;Ha")</f>
        <v>36559700</v>
      </c>
      <c r="J8" s="178">
        <f>SUMIFS(Amallar!G:G,Amallar!M:M,A8,Amallar!F:F,"Kirim",Amallar!K:K,"avans",Amallar!Q:Q,"&lt;&gt;Ha")+SUMIFS(Amallar!G:G,Amallar!M:M,A8,Amallar!F:F,"Kirim",Amallar!K:K,"qoldiq",Amallar!Q:Q,"&lt;&gt;Ha")</f>
        <v>30975700</v>
      </c>
      <c r="K8" s="182" t="str">
        <f t="shared" si="1"/>
        <v/>
      </c>
      <c r="L8" s="183" t="str">
        <f t="shared" si="2"/>
        <v/>
      </c>
      <c r="M8" s="182" t="str">
        <f t="shared" si="3"/>
        <v/>
      </c>
      <c r="N8" s="174" t="s">
        <v>261</v>
      </c>
      <c r="O8" s="170">
        <v>46307.0</v>
      </c>
      <c r="P8" s="169" t="s">
        <v>303</v>
      </c>
      <c r="Q8" s="173">
        <v>12103.0</v>
      </c>
      <c r="R8" s="179" t="s">
        <v>263</v>
      </c>
      <c r="S8" s="169" t="s">
        <v>304</v>
      </c>
    </row>
    <row r="9" ht="21.0" customHeight="1">
      <c r="A9" s="167" t="s">
        <v>305</v>
      </c>
      <c r="B9" s="169" t="s">
        <v>194</v>
      </c>
      <c r="C9" s="171"/>
      <c r="D9" s="169" t="s">
        <v>252</v>
      </c>
      <c r="E9" s="173">
        <v>0.0</v>
      </c>
      <c r="F9" s="174" t="s">
        <v>278</v>
      </c>
      <c r="G9" s="170">
        <v>46302.0</v>
      </c>
      <c r="H9" s="189"/>
      <c r="I9" s="178">
        <f>SUMIFS(Amallar!G:G,Amallar!M:M,A9,Amallar!F:F,"Chiqim",Amallar!Q:Q,"&lt;&gt;Ha")</f>
        <v>3910800</v>
      </c>
      <c r="J9" s="178">
        <f>SUMIFS(Amallar!G:G,Amallar!M:M,A9,Amallar!F:F,"Kirim",Amallar!K:K,"avans",Amallar!Q:Q,"&lt;&gt;Ha")+SUMIFS(Amallar!G:G,Amallar!M:M,A9,Amallar!F:F,"Kirim",Amallar!K:K,"qoldiq",Amallar!Q:Q,"&lt;&gt;Ha")</f>
        <v>0</v>
      </c>
      <c r="K9" s="182" t="str">
        <f t="shared" si="1"/>
        <v/>
      </c>
      <c r="L9" s="183" t="str">
        <f t="shared" si="2"/>
        <v/>
      </c>
      <c r="M9" s="182" t="str">
        <f t="shared" si="3"/>
        <v/>
      </c>
      <c r="N9" s="174" t="s">
        <v>279</v>
      </c>
      <c r="O9" s="170">
        <v>46312.0</v>
      </c>
      <c r="P9" s="169" t="s">
        <v>308</v>
      </c>
      <c r="Q9" s="173">
        <v>10535.0</v>
      </c>
      <c r="R9" s="179" t="s">
        <v>263</v>
      </c>
      <c r="S9" s="200" t="s">
        <v>294</v>
      </c>
    </row>
    <row r="10" ht="21.0" customHeight="1">
      <c r="A10" s="167" t="s">
        <v>316</v>
      </c>
      <c r="B10" s="169" t="s">
        <v>317</v>
      </c>
      <c r="C10" s="171"/>
      <c r="D10" s="169" t="s">
        <v>252</v>
      </c>
      <c r="E10" s="173">
        <v>0.0</v>
      </c>
      <c r="F10" s="174" t="s">
        <v>253</v>
      </c>
      <c r="G10" s="170">
        <v>46302.0</v>
      </c>
      <c r="H10" s="170">
        <v>46315.0</v>
      </c>
      <c r="I10" s="178">
        <f>SUMIFS(Amallar!G:G,Amallar!M:M,A10,Amallar!F:F,"Chiqim",Amallar!Q:Q,"&lt;&gt;Ha")</f>
        <v>2696000</v>
      </c>
      <c r="J10" s="178">
        <f>SUMIFS(Amallar!G:G,Amallar!M:M,A10,Amallar!F:F,"Kirim",Amallar!K:K,"avans",Amallar!Q:Q,"&lt;&gt;Ha")+SUMIFS(Amallar!G:G,Amallar!M:M,A10,Amallar!F:F,"Kirim",Amallar!K:K,"qoldiq",Amallar!Q:Q,"&lt;&gt;Ha")</f>
        <v>45209625</v>
      </c>
      <c r="K10" s="182" t="str">
        <f t="shared" si="1"/>
        <v/>
      </c>
      <c r="L10" s="183" t="str">
        <f t="shared" si="2"/>
        <v/>
      </c>
      <c r="M10" s="182" t="str">
        <f t="shared" si="3"/>
        <v/>
      </c>
      <c r="N10" s="174" t="s">
        <v>261</v>
      </c>
      <c r="O10" s="170">
        <v>46274.0</v>
      </c>
      <c r="P10" s="169" t="s">
        <v>322</v>
      </c>
      <c r="Q10" s="173">
        <v>13747.0</v>
      </c>
      <c r="R10" s="179" t="s">
        <v>263</v>
      </c>
      <c r="S10" s="200" t="s">
        <v>294</v>
      </c>
    </row>
    <row r="11" ht="21.0" customHeight="1">
      <c r="A11" s="167" t="s">
        <v>326</v>
      </c>
      <c r="B11" s="169" t="s">
        <v>198</v>
      </c>
      <c r="C11" s="171"/>
      <c r="D11" s="169" t="s">
        <v>252</v>
      </c>
      <c r="E11" s="173">
        <v>0.0</v>
      </c>
      <c r="F11" s="174" t="s">
        <v>253</v>
      </c>
      <c r="G11" s="170">
        <v>46302.0</v>
      </c>
      <c r="H11" s="170">
        <v>46315.0</v>
      </c>
      <c r="I11" s="178">
        <f>SUMIFS(Amallar!G:G,Amallar!M:M,A11,Amallar!F:F,"Chiqim",Amallar!Q:Q,"&lt;&gt;Ha")</f>
        <v>31855122</v>
      </c>
      <c r="J11" s="178">
        <f>SUMIFS(Amallar!G:G,Amallar!M:M,A11,Amallar!F:F,"Kirim",Amallar!K:K,"avans",Amallar!Q:Q,"&lt;&gt;Ha")+SUMIFS(Amallar!G:G,Amallar!M:M,A11,Amallar!F:F,"Kirim",Amallar!K:K,"qoldiq",Amallar!Q:Q,"&lt;&gt;Ha")</f>
        <v>91796087</v>
      </c>
      <c r="K11" s="182" t="str">
        <f t="shared" si="1"/>
        <v/>
      </c>
      <c r="L11" s="183" t="str">
        <f t="shared" si="2"/>
        <v/>
      </c>
      <c r="M11" s="182" t="str">
        <f t="shared" si="3"/>
        <v/>
      </c>
      <c r="N11" s="174" t="s">
        <v>261</v>
      </c>
      <c r="O11" s="170">
        <v>46235.0</v>
      </c>
      <c r="P11" s="169" t="s">
        <v>327</v>
      </c>
      <c r="Q11" s="173">
        <v>22615.0</v>
      </c>
      <c r="R11" s="179" t="s">
        <v>263</v>
      </c>
      <c r="S11" s="169" t="s">
        <v>328</v>
      </c>
    </row>
    <row r="12" ht="21.0" customHeight="1">
      <c r="A12" s="167" t="s">
        <v>330</v>
      </c>
      <c r="B12" s="169" t="s">
        <v>331</v>
      </c>
      <c r="C12" s="171"/>
      <c r="D12" s="169" t="s">
        <v>252</v>
      </c>
      <c r="E12" s="173">
        <v>0.0</v>
      </c>
      <c r="F12" s="174" t="s">
        <v>278</v>
      </c>
      <c r="G12" s="170">
        <v>46302.0</v>
      </c>
      <c r="H12" s="189"/>
      <c r="I12" s="178">
        <f>SUMIFS(Amallar!G:G,Amallar!M:M,A12,Amallar!F:F,"Chiqim",Amallar!Q:Q,"&lt;&gt;Ha")</f>
        <v>5609744</v>
      </c>
      <c r="J12" s="178">
        <f>SUMIFS(Amallar!G:G,Amallar!M:M,A12,Amallar!F:F,"Kirim",Amallar!K:K,"avans",Amallar!Q:Q,"&lt;&gt;Ha")+SUMIFS(Amallar!G:G,Amallar!M:M,A12,Amallar!F:F,"Kirim",Amallar!K:K,"qoldiq",Amallar!Q:Q,"&lt;&gt;Ha")</f>
        <v>49971180</v>
      </c>
      <c r="K12" s="182" t="str">
        <f t="shared" si="1"/>
        <v/>
      </c>
      <c r="L12" s="183" t="str">
        <f t="shared" si="2"/>
        <v/>
      </c>
      <c r="M12" s="182" t="str">
        <f t="shared" si="3"/>
        <v/>
      </c>
      <c r="N12" s="174" t="s">
        <v>333</v>
      </c>
      <c r="O12" s="170">
        <v>46355.0</v>
      </c>
      <c r="P12" s="169" t="s">
        <v>334</v>
      </c>
      <c r="Q12" s="173">
        <v>6000.0</v>
      </c>
      <c r="R12" s="179" t="s">
        <v>263</v>
      </c>
      <c r="S12" s="169" t="s">
        <v>335</v>
      </c>
    </row>
    <row r="13" ht="21.0" customHeight="1">
      <c r="A13" s="167" t="s">
        <v>337</v>
      </c>
      <c r="B13" s="169" t="s">
        <v>338</v>
      </c>
      <c r="C13" s="171"/>
      <c r="D13" s="169" t="s">
        <v>252</v>
      </c>
      <c r="E13" s="173">
        <v>0.0</v>
      </c>
      <c r="F13" s="174" t="s">
        <v>278</v>
      </c>
      <c r="G13" s="170">
        <v>46302.0</v>
      </c>
      <c r="H13" s="189"/>
      <c r="I13" s="178">
        <f>SUMIFS(Amallar!G:G,Amallar!M:M,A13,Amallar!F:F,"Chiqim",Amallar!Q:Q,"&lt;&gt;Ha")</f>
        <v>0</v>
      </c>
      <c r="J13" s="178">
        <f>SUMIFS(Amallar!G:G,Amallar!M:M,A13,Amallar!F:F,"Kirim",Amallar!K:K,"avans",Amallar!Q:Q,"&lt;&gt;Ha")+SUMIFS(Amallar!G:G,Amallar!M:M,A13,Amallar!F:F,"Kirim",Amallar!K:K,"qoldiq",Amallar!Q:Q,"&lt;&gt;Ha")</f>
        <v>0</v>
      </c>
      <c r="K13" s="182" t="str">
        <f t="shared" si="1"/>
        <v/>
      </c>
      <c r="L13" s="183" t="str">
        <f t="shared" si="2"/>
        <v/>
      </c>
      <c r="M13" s="182" t="str">
        <f t="shared" si="3"/>
        <v/>
      </c>
      <c r="N13" s="174" t="s">
        <v>333</v>
      </c>
      <c r="O13" s="170">
        <v>46347.0</v>
      </c>
      <c r="P13" s="169" t="s">
        <v>340</v>
      </c>
      <c r="Q13" s="173">
        <v>8920.0</v>
      </c>
      <c r="R13" s="179" t="s">
        <v>263</v>
      </c>
      <c r="S13" s="169" t="s">
        <v>341</v>
      </c>
    </row>
    <row r="14" ht="21.0" customHeight="1">
      <c r="A14" s="167" t="s">
        <v>345</v>
      </c>
      <c r="B14" s="169" t="s">
        <v>346</v>
      </c>
      <c r="C14" s="171"/>
      <c r="D14" s="169" t="s">
        <v>252</v>
      </c>
      <c r="E14" s="173">
        <v>0.0</v>
      </c>
      <c r="F14" s="174" t="s">
        <v>278</v>
      </c>
      <c r="G14" s="170">
        <v>46302.0</v>
      </c>
      <c r="H14" s="189"/>
      <c r="I14" s="178">
        <f>SUMIFS(Amallar!G:G,Amallar!M:M,A14,Amallar!F:F,"Chiqim",Amallar!Q:Q,"&lt;&gt;Ha")</f>
        <v>0</v>
      </c>
      <c r="J14" s="178">
        <f>SUMIFS(Amallar!G:G,Amallar!M:M,A14,Amallar!F:F,"Kirim",Amallar!K:K,"avans",Amallar!Q:Q,"&lt;&gt;Ha")+SUMIFS(Amallar!G:G,Amallar!M:M,A14,Amallar!F:F,"Kirim",Amallar!K:K,"qoldiq",Amallar!Q:Q,"&lt;&gt;Ha")</f>
        <v>0</v>
      </c>
      <c r="K14" s="182" t="str">
        <f t="shared" si="1"/>
        <v/>
      </c>
      <c r="L14" s="183" t="str">
        <f t="shared" si="2"/>
        <v/>
      </c>
      <c r="M14" s="182" t="str">
        <f t="shared" si="3"/>
        <v/>
      </c>
      <c r="N14" s="174" t="s">
        <v>333</v>
      </c>
      <c r="O14" s="170">
        <v>46351.0</v>
      </c>
      <c r="P14" s="169" t="s">
        <v>348</v>
      </c>
      <c r="Q14" s="173">
        <v>20735.0</v>
      </c>
      <c r="R14" s="179" t="s">
        <v>263</v>
      </c>
      <c r="S14" s="169" t="s">
        <v>349</v>
      </c>
    </row>
    <row r="15" ht="21.0" customHeight="1">
      <c r="A15" s="167" t="s">
        <v>350</v>
      </c>
      <c r="B15" s="169" t="s">
        <v>146</v>
      </c>
      <c r="C15" s="171"/>
      <c r="D15" s="169" t="s">
        <v>252</v>
      </c>
      <c r="E15" s="173">
        <v>0.0</v>
      </c>
      <c r="F15" s="174" t="s">
        <v>253</v>
      </c>
      <c r="G15" s="170">
        <v>46302.0</v>
      </c>
      <c r="H15" s="170">
        <v>46302.0</v>
      </c>
      <c r="I15" s="178">
        <f>SUMIFS(Amallar!G:G,Amallar!M:M,A15,Amallar!F:F,"Chiqim",Amallar!Q:Q,"&lt;&gt;Ha")</f>
        <v>0</v>
      </c>
      <c r="J15" s="178">
        <f>SUMIFS(Amallar!G:G,Amallar!M:M,A15,Amallar!F:F,"Kirim",Amallar!K:K,"avans",Amallar!Q:Q,"&lt;&gt;Ha")+SUMIFS(Amallar!G:G,Amallar!M:M,A15,Amallar!F:F,"Kirim",Amallar!K:K,"qoldiq",Amallar!Q:Q,"&lt;&gt;Ha")</f>
        <v>0</v>
      </c>
      <c r="K15" s="182" t="str">
        <f t="shared" si="1"/>
        <v/>
      </c>
      <c r="L15" s="183" t="str">
        <f t="shared" si="2"/>
        <v/>
      </c>
      <c r="M15" s="182" t="str">
        <f t="shared" si="3"/>
        <v/>
      </c>
      <c r="N15" s="174" t="s">
        <v>261</v>
      </c>
      <c r="O15" s="170">
        <v>46282.0</v>
      </c>
      <c r="P15" s="169" t="s">
        <v>353</v>
      </c>
      <c r="Q15" s="173">
        <v>1850.0</v>
      </c>
      <c r="R15" s="179" t="s">
        <v>263</v>
      </c>
      <c r="S15" s="200" t="s">
        <v>294</v>
      </c>
    </row>
    <row r="16" ht="21.0" customHeight="1">
      <c r="A16" s="167" t="s">
        <v>354</v>
      </c>
      <c r="B16" s="169" t="s">
        <v>355</v>
      </c>
      <c r="C16" s="171"/>
      <c r="D16" s="169" t="s">
        <v>252</v>
      </c>
      <c r="E16" s="173">
        <v>0.0</v>
      </c>
      <c r="F16" s="174" t="s">
        <v>278</v>
      </c>
      <c r="G16" s="170">
        <v>46302.0</v>
      </c>
      <c r="H16" s="189"/>
      <c r="I16" s="178">
        <f>SUMIFS(Amallar!G:G,Amallar!M:M,A16,Amallar!F:F,"Chiqim",Amallar!Q:Q,"&lt;&gt;Ha")</f>
        <v>28661348</v>
      </c>
      <c r="J16" s="178">
        <f>SUMIFS(Amallar!G:G,Amallar!M:M,A16,Amallar!F:F,"Kirim",Amallar!K:K,"avans",Amallar!Q:Q,"&lt;&gt;Ha")+SUMIFS(Amallar!G:G,Amallar!M:M,A16,Amallar!F:F,"Kirim",Amallar!K:K,"qoldiq",Amallar!Q:Q,"&lt;&gt;Ha")</f>
        <v>0</v>
      </c>
      <c r="K16" s="182" t="str">
        <f t="shared" si="1"/>
        <v/>
      </c>
      <c r="L16" s="183" t="str">
        <f t="shared" si="2"/>
        <v/>
      </c>
      <c r="M16" s="182" t="str">
        <f t="shared" si="3"/>
        <v/>
      </c>
      <c r="N16" s="174" t="s">
        <v>333</v>
      </c>
      <c r="O16" s="170">
        <v>46338.0</v>
      </c>
      <c r="P16" s="169" t="s">
        <v>358</v>
      </c>
      <c r="Q16" s="173">
        <v>23200.0</v>
      </c>
      <c r="R16" s="179" t="s">
        <v>263</v>
      </c>
      <c r="S16" s="169" t="s">
        <v>359</v>
      </c>
    </row>
    <row r="17" ht="21.0" customHeight="1">
      <c r="A17" s="167" t="s">
        <v>360</v>
      </c>
      <c r="B17" s="169" t="s">
        <v>149</v>
      </c>
      <c r="C17" s="171"/>
      <c r="D17" s="169" t="s">
        <v>252</v>
      </c>
      <c r="E17" s="173">
        <v>0.0</v>
      </c>
      <c r="F17" s="174" t="s">
        <v>253</v>
      </c>
      <c r="G17" s="170">
        <v>46302.0</v>
      </c>
      <c r="H17" s="170">
        <v>46302.0</v>
      </c>
      <c r="I17" s="178">
        <f>SUMIFS(Amallar!G:G,Amallar!M:M,A17,Amallar!F:F,"Chiqim",Amallar!Q:Q,"&lt;&gt;Ha")</f>
        <v>0</v>
      </c>
      <c r="J17" s="178">
        <f>SUMIFS(Amallar!G:G,Amallar!M:M,A17,Amallar!F:F,"Kirim",Amallar!K:K,"avans",Amallar!Q:Q,"&lt;&gt;Ha")+SUMIFS(Amallar!G:G,Amallar!M:M,A17,Amallar!F:F,"Kirim",Amallar!K:K,"qoldiq",Amallar!Q:Q,"&lt;&gt;Ha")</f>
        <v>0</v>
      </c>
      <c r="K17" s="182" t="str">
        <f t="shared" si="1"/>
        <v/>
      </c>
      <c r="L17" s="183" t="str">
        <f t="shared" si="2"/>
        <v/>
      </c>
      <c r="M17" s="182" t="str">
        <f t="shared" si="3"/>
        <v/>
      </c>
      <c r="N17" s="174" t="s">
        <v>261</v>
      </c>
      <c r="O17" s="170">
        <v>46280.0</v>
      </c>
      <c r="P17" s="169" t="s">
        <v>334</v>
      </c>
      <c r="Q17" s="173">
        <v>2150.0</v>
      </c>
      <c r="R17" s="179" t="s">
        <v>263</v>
      </c>
      <c r="S17" s="169" t="s">
        <v>364</v>
      </c>
    </row>
    <row r="18" ht="21.0" customHeight="1">
      <c r="A18" s="167" t="s">
        <v>366</v>
      </c>
      <c r="B18" s="169" t="s">
        <v>367</v>
      </c>
      <c r="C18" s="171"/>
      <c r="D18" s="169" t="s">
        <v>252</v>
      </c>
      <c r="E18" s="173">
        <v>0.0</v>
      </c>
      <c r="F18" s="174" t="s">
        <v>278</v>
      </c>
      <c r="G18" s="170">
        <v>46302.0</v>
      </c>
      <c r="H18" s="189"/>
      <c r="I18" s="178">
        <f>SUMIFS(Amallar!G:G,Amallar!M:M,A18,Amallar!F:F,"Chiqim",Amallar!Q:Q,"&lt;&gt;Ha")</f>
        <v>46308848</v>
      </c>
      <c r="J18" s="178">
        <f>SUMIFS(Amallar!G:G,Amallar!M:M,A18,Amallar!F:F,"Kirim",Amallar!K:K,"avans",Amallar!Q:Q,"&lt;&gt;Ha")+SUMIFS(Amallar!G:G,Amallar!M:M,A18,Amallar!F:F,"Kirim",Amallar!K:K,"qoldiq",Amallar!Q:Q,"&lt;&gt;Ha")</f>
        <v>0</v>
      </c>
      <c r="K18" s="182" t="str">
        <f t="shared" si="1"/>
        <v/>
      </c>
      <c r="L18" s="183" t="str">
        <f t="shared" si="2"/>
        <v/>
      </c>
      <c r="M18" s="182" t="str">
        <f t="shared" si="3"/>
        <v/>
      </c>
      <c r="N18" s="174" t="s">
        <v>279</v>
      </c>
      <c r="O18" s="170">
        <v>46343.0</v>
      </c>
      <c r="P18" s="169" t="s">
        <v>371</v>
      </c>
      <c r="Q18" s="173">
        <v>31100.0</v>
      </c>
      <c r="R18" s="179" t="s">
        <v>263</v>
      </c>
      <c r="S18" s="169" t="s">
        <v>374</v>
      </c>
    </row>
    <row r="19" ht="21.0" customHeight="1">
      <c r="A19" s="167" t="s">
        <v>376</v>
      </c>
      <c r="B19" s="169" t="s">
        <v>153</v>
      </c>
      <c r="C19" s="171"/>
      <c r="D19" s="169" t="s">
        <v>252</v>
      </c>
      <c r="E19" s="173">
        <v>0.0</v>
      </c>
      <c r="F19" s="174" t="s">
        <v>253</v>
      </c>
      <c r="G19" s="170">
        <v>46302.0</v>
      </c>
      <c r="H19" s="170">
        <v>46302.0</v>
      </c>
      <c r="I19" s="178">
        <f>SUMIFS(Amallar!G:G,Amallar!M:M,A19,Amallar!F:F,"Chiqim",Amallar!Q:Q,"&lt;&gt;Ha")</f>
        <v>1381000</v>
      </c>
      <c r="J19" s="178">
        <f>SUMIFS(Amallar!G:G,Amallar!M:M,A19,Amallar!F:F,"Kirim",Amallar!K:K,"avans",Amallar!Q:Q,"&lt;&gt;Ha")+SUMIFS(Amallar!G:G,Amallar!M:M,A19,Amallar!F:F,"Kirim",Amallar!K:K,"qoldiq",Amallar!Q:Q,"&lt;&gt;Ha")</f>
        <v>71860520</v>
      </c>
      <c r="K19" s="182" t="str">
        <f t="shared" si="1"/>
        <v/>
      </c>
      <c r="L19" s="183" t="str">
        <f t="shared" si="2"/>
        <v/>
      </c>
      <c r="M19" s="182" t="str">
        <f t="shared" si="3"/>
        <v/>
      </c>
      <c r="N19" s="174" t="s">
        <v>261</v>
      </c>
      <c r="O19" s="170">
        <v>46269.0</v>
      </c>
      <c r="P19" s="169" t="s">
        <v>379</v>
      </c>
      <c r="Q19" s="173">
        <v>16742.0</v>
      </c>
      <c r="R19" s="179" t="s">
        <v>263</v>
      </c>
      <c r="S19" s="200" t="s">
        <v>294</v>
      </c>
    </row>
    <row r="20" ht="21.0" customHeight="1">
      <c r="A20" s="167" t="s">
        <v>391</v>
      </c>
      <c r="B20" s="169" t="s">
        <v>156</v>
      </c>
      <c r="C20" s="171"/>
      <c r="D20" s="169" t="s">
        <v>252</v>
      </c>
      <c r="E20" s="173">
        <v>0.0</v>
      </c>
      <c r="F20" s="174" t="s">
        <v>253</v>
      </c>
      <c r="G20" s="170">
        <v>46302.0</v>
      </c>
      <c r="H20" s="170">
        <v>46302.0</v>
      </c>
      <c r="I20" s="178">
        <f>SUMIFS(Amallar!G:G,Amallar!M:M,A20,Amallar!F:F,"Chiqim",Amallar!Q:Q,"&lt;&gt;Ha")</f>
        <v>0</v>
      </c>
      <c r="J20" s="178">
        <f>SUMIFS(Amallar!G:G,Amallar!M:M,A20,Amallar!F:F,"Kirim",Amallar!K:K,"avans",Amallar!Q:Q,"&lt;&gt;Ha")+SUMIFS(Amallar!G:G,Amallar!M:M,A20,Amallar!F:F,"Kirim",Amallar!K:K,"qoldiq",Amallar!Q:Q,"&lt;&gt;Ha")</f>
        <v>0</v>
      </c>
      <c r="K20" s="182" t="str">
        <f t="shared" si="1"/>
        <v/>
      </c>
      <c r="L20" s="183" t="str">
        <f t="shared" si="2"/>
        <v/>
      </c>
      <c r="M20" s="182" t="str">
        <f t="shared" si="3"/>
        <v/>
      </c>
      <c r="N20" s="174" t="s">
        <v>261</v>
      </c>
      <c r="O20" s="170">
        <v>46247.0</v>
      </c>
      <c r="P20" s="169" t="s">
        <v>420</v>
      </c>
      <c r="Q20" s="173">
        <v>2560.0</v>
      </c>
      <c r="R20" s="179" t="s">
        <v>263</v>
      </c>
      <c r="S20" s="200" t="s">
        <v>294</v>
      </c>
    </row>
    <row r="21" ht="21.0" customHeight="1">
      <c r="A21" s="167" t="s">
        <v>429</v>
      </c>
      <c r="B21" s="169" t="s">
        <v>158</v>
      </c>
      <c r="C21" s="171"/>
      <c r="D21" s="169" t="s">
        <v>252</v>
      </c>
      <c r="E21" s="173">
        <v>0.0</v>
      </c>
      <c r="F21" s="174" t="s">
        <v>253</v>
      </c>
      <c r="G21" s="170">
        <v>46302.0</v>
      </c>
      <c r="H21" s="170">
        <v>46302.0</v>
      </c>
      <c r="I21" s="178">
        <f>SUMIFS(Amallar!G:G,Amallar!M:M,A21,Amallar!F:F,"Chiqim",Amallar!Q:Q,"&lt;&gt;Ha")</f>
        <v>0</v>
      </c>
      <c r="J21" s="178">
        <f>SUMIFS(Amallar!G:G,Amallar!M:M,A21,Amallar!F:F,"Kirim",Amallar!K:K,"avans",Amallar!Q:Q,"&lt;&gt;Ha")+SUMIFS(Amallar!G:G,Amallar!M:M,A21,Amallar!F:F,"Kirim",Amallar!K:K,"qoldiq",Amallar!Q:Q,"&lt;&gt;Ha")</f>
        <v>0</v>
      </c>
      <c r="K21" s="182" t="str">
        <f t="shared" si="1"/>
        <v/>
      </c>
      <c r="L21" s="183" t="str">
        <f t="shared" si="2"/>
        <v/>
      </c>
      <c r="M21" s="182" t="str">
        <f t="shared" si="3"/>
        <v/>
      </c>
      <c r="N21" s="174" t="s">
        <v>261</v>
      </c>
      <c r="O21" s="170">
        <v>46244.0</v>
      </c>
      <c r="P21" s="169" t="s">
        <v>308</v>
      </c>
      <c r="Q21" s="173">
        <v>1040.0</v>
      </c>
      <c r="R21" s="179" t="s">
        <v>263</v>
      </c>
      <c r="S21" s="169" t="s">
        <v>433</v>
      </c>
    </row>
    <row r="22" ht="21.0" customHeight="1">
      <c r="A22" s="167" t="s">
        <v>434</v>
      </c>
      <c r="B22" s="169" t="s">
        <v>160</v>
      </c>
      <c r="C22" s="171"/>
      <c r="D22" s="169" t="s">
        <v>252</v>
      </c>
      <c r="E22" s="173">
        <v>0.0</v>
      </c>
      <c r="F22" s="174" t="s">
        <v>253</v>
      </c>
      <c r="G22" s="170">
        <v>46302.0</v>
      </c>
      <c r="H22" s="170">
        <v>46302.0</v>
      </c>
      <c r="I22" s="178">
        <f>SUMIFS(Amallar!G:G,Amallar!M:M,A22,Amallar!F:F,"Chiqim",Amallar!Q:Q,"&lt;&gt;Ha")</f>
        <v>1620000</v>
      </c>
      <c r="J22" s="178">
        <f>SUMIFS(Amallar!G:G,Amallar!M:M,A22,Amallar!F:F,"Kirim",Amallar!K:K,"avans",Amallar!Q:Q,"&lt;&gt;Ha")+SUMIFS(Amallar!G:G,Amallar!M:M,A22,Amallar!F:F,"Kirim",Amallar!K:K,"qoldiq",Amallar!Q:Q,"&lt;&gt;Ha")</f>
        <v>0</v>
      </c>
      <c r="K22" s="182" t="str">
        <f t="shared" si="1"/>
        <v/>
      </c>
      <c r="L22" s="183" t="str">
        <f t="shared" si="2"/>
        <v/>
      </c>
      <c r="M22" s="182" t="str">
        <f t="shared" si="3"/>
        <v/>
      </c>
      <c r="N22" s="174" t="s">
        <v>261</v>
      </c>
      <c r="O22" s="170">
        <v>46253.0</v>
      </c>
      <c r="P22" s="169" t="s">
        <v>435</v>
      </c>
      <c r="Q22" s="173">
        <v>3925.0</v>
      </c>
      <c r="R22" s="179" t="s">
        <v>263</v>
      </c>
      <c r="S22" s="200" t="s">
        <v>294</v>
      </c>
    </row>
    <row r="23" ht="21.0" customHeight="1">
      <c r="A23" s="167" t="s">
        <v>436</v>
      </c>
      <c r="B23" s="169" t="s">
        <v>162</v>
      </c>
      <c r="C23" s="171"/>
      <c r="D23" s="169" t="s">
        <v>252</v>
      </c>
      <c r="E23" s="173">
        <v>0.0</v>
      </c>
      <c r="F23" s="174" t="s">
        <v>253</v>
      </c>
      <c r="G23" s="170">
        <v>46302.0</v>
      </c>
      <c r="H23" s="170">
        <v>46302.0</v>
      </c>
      <c r="I23" s="178">
        <f>SUMIFS(Amallar!G:G,Amallar!M:M,A23,Amallar!F:F,"Chiqim",Amallar!Q:Q,"&lt;&gt;Ha")</f>
        <v>0</v>
      </c>
      <c r="J23" s="178">
        <f>SUMIFS(Amallar!G:G,Amallar!M:M,A23,Amallar!F:F,"Kirim",Amallar!K:K,"avans",Amallar!Q:Q,"&lt;&gt;Ha")+SUMIFS(Amallar!G:G,Amallar!M:M,A23,Amallar!F:F,"Kirim",Amallar!K:K,"qoldiq",Amallar!Q:Q,"&lt;&gt;Ha")</f>
        <v>0</v>
      </c>
      <c r="K23" s="182" t="str">
        <f t="shared" si="1"/>
        <v/>
      </c>
      <c r="L23" s="183" t="str">
        <f t="shared" si="2"/>
        <v/>
      </c>
      <c r="M23" s="182" t="str">
        <f t="shared" si="3"/>
        <v/>
      </c>
      <c r="N23" s="174" t="s">
        <v>261</v>
      </c>
      <c r="O23" s="170">
        <v>46220.0</v>
      </c>
      <c r="P23" s="169" t="s">
        <v>438</v>
      </c>
      <c r="Q23" s="173">
        <v>4000.0</v>
      </c>
      <c r="R23" s="179" t="s">
        <v>263</v>
      </c>
      <c r="S23" s="169" t="s">
        <v>364</v>
      </c>
    </row>
    <row r="24" ht="21.0" customHeight="1">
      <c r="A24" s="167" t="s">
        <v>441</v>
      </c>
      <c r="B24" s="169" t="s">
        <v>146</v>
      </c>
      <c r="C24" s="171"/>
      <c r="D24" s="169" t="s">
        <v>252</v>
      </c>
      <c r="E24" s="173">
        <v>0.0</v>
      </c>
      <c r="F24" s="174" t="s">
        <v>253</v>
      </c>
      <c r="G24" s="170">
        <v>46302.0</v>
      </c>
      <c r="H24" s="170">
        <v>46302.0</v>
      </c>
      <c r="I24" s="178">
        <f>SUMIFS(Amallar!G:G,Amallar!M:M,A24,Amallar!F:F,"Chiqim",Amallar!Q:Q,"&lt;&gt;Ha")</f>
        <v>0</v>
      </c>
      <c r="J24" s="178">
        <f>SUMIFS(Amallar!G:G,Amallar!M:M,A24,Amallar!F:F,"Kirim",Amallar!K:K,"avans",Amallar!Q:Q,"&lt;&gt;Ha")+SUMIFS(Amallar!G:G,Amallar!M:M,A24,Amallar!F:F,"Kirim",Amallar!K:K,"qoldiq",Amallar!Q:Q,"&lt;&gt;Ha")</f>
        <v>0</v>
      </c>
      <c r="K24" s="182" t="str">
        <f t="shared" si="1"/>
        <v/>
      </c>
      <c r="L24" s="183" t="str">
        <f t="shared" si="2"/>
        <v/>
      </c>
      <c r="M24" s="182" t="str">
        <f t="shared" si="3"/>
        <v/>
      </c>
      <c r="N24" s="174" t="s">
        <v>261</v>
      </c>
      <c r="O24" s="170">
        <v>46177.0</v>
      </c>
      <c r="P24" s="169">
        <v>30.0</v>
      </c>
      <c r="Q24" s="173">
        <v>5400.0</v>
      </c>
      <c r="R24" s="179" t="s">
        <v>263</v>
      </c>
      <c r="S24" s="200" t="s">
        <v>294</v>
      </c>
    </row>
    <row r="25" ht="21.0" customHeight="1">
      <c r="A25" s="167" t="s">
        <v>451</v>
      </c>
      <c r="B25" s="169" t="s">
        <v>165</v>
      </c>
      <c r="C25" s="171"/>
      <c r="D25" s="169" t="s">
        <v>252</v>
      </c>
      <c r="E25" s="173">
        <v>0.0</v>
      </c>
      <c r="F25" s="174" t="s">
        <v>253</v>
      </c>
      <c r="G25" s="170">
        <v>46302.0</v>
      </c>
      <c r="H25" s="170">
        <v>46302.0</v>
      </c>
      <c r="I25" s="178">
        <f>SUMIFS(Amallar!G:G,Amallar!M:M,A25,Amallar!F:F,"Chiqim",Amallar!Q:Q,"&lt;&gt;Ha")</f>
        <v>0</v>
      </c>
      <c r="J25" s="178">
        <f>SUMIFS(Amallar!G:G,Amallar!M:M,A25,Amallar!F:F,"Kirim",Amallar!K:K,"avans",Amallar!Q:Q,"&lt;&gt;Ha")+SUMIFS(Amallar!G:G,Amallar!M:M,A25,Amallar!F:F,"Kirim",Amallar!K:K,"qoldiq",Amallar!Q:Q,"&lt;&gt;Ha")</f>
        <v>0</v>
      </c>
      <c r="K25" s="182" t="str">
        <f t="shared" si="1"/>
        <v/>
      </c>
      <c r="L25" s="183" t="str">
        <f t="shared" si="2"/>
        <v/>
      </c>
      <c r="M25" s="182" t="str">
        <f t="shared" si="3"/>
        <v/>
      </c>
      <c r="N25" s="174" t="s">
        <v>261</v>
      </c>
      <c r="O25" s="170">
        <v>46190.0</v>
      </c>
      <c r="P25" s="169" t="s">
        <v>452</v>
      </c>
      <c r="Q25" s="173">
        <v>1650.0</v>
      </c>
      <c r="R25" s="179" t="s">
        <v>263</v>
      </c>
      <c r="S25" s="169" t="s">
        <v>453</v>
      </c>
    </row>
    <row r="26" ht="21.0" customHeight="1">
      <c r="A26" s="167" t="s">
        <v>454</v>
      </c>
      <c r="B26" s="169" t="s">
        <v>167</v>
      </c>
      <c r="C26" s="171"/>
      <c r="D26" s="169" t="s">
        <v>252</v>
      </c>
      <c r="E26" s="173">
        <v>0.0</v>
      </c>
      <c r="F26" s="174" t="s">
        <v>253</v>
      </c>
      <c r="G26" s="170">
        <v>46302.0</v>
      </c>
      <c r="H26" s="170">
        <v>46302.0</v>
      </c>
      <c r="I26" s="178">
        <f>SUMIFS(Amallar!G:G,Amallar!M:M,A26,Amallar!F:F,"Chiqim",Amallar!Q:Q,"&lt;&gt;Ha")</f>
        <v>0</v>
      </c>
      <c r="J26" s="178">
        <f>SUMIFS(Amallar!G:G,Amallar!M:M,A26,Amallar!F:F,"Kirim",Amallar!K:K,"avans",Amallar!Q:Q,"&lt;&gt;Ha")+SUMIFS(Amallar!G:G,Amallar!M:M,A26,Amallar!F:F,"Kirim",Amallar!K:K,"qoldiq",Amallar!Q:Q,"&lt;&gt;Ha")</f>
        <v>0</v>
      </c>
      <c r="K26" s="182" t="str">
        <f t="shared" si="1"/>
        <v/>
      </c>
      <c r="L26" s="183" t="str">
        <f t="shared" si="2"/>
        <v/>
      </c>
      <c r="M26" s="182" t="str">
        <f t="shared" si="3"/>
        <v/>
      </c>
      <c r="N26" s="174" t="s">
        <v>261</v>
      </c>
      <c r="O26" s="170">
        <v>46202.0</v>
      </c>
      <c r="P26" s="169" t="s">
        <v>457</v>
      </c>
      <c r="Q26" s="173">
        <v>4470.0</v>
      </c>
      <c r="R26" s="179" t="s">
        <v>263</v>
      </c>
      <c r="S26" s="200" t="s">
        <v>294</v>
      </c>
    </row>
    <row r="27" ht="21.0" customHeight="1">
      <c r="A27" s="167" t="s">
        <v>458</v>
      </c>
      <c r="B27" s="169" t="s">
        <v>169</v>
      </c>
      <c r="C27" s="171"/>
      <c r="D27" s="169" t="s">
        <v>252</v>
      </c>
      <c r="E27" s="173">
        <v>0.0</v>
      </c>
      <c r="F27" s="174" t="s">
        <v>253</v>
      </c>
      <c r="G27" s="170">
        <v>46302.0</v>
      </c>
      <c r="H27" s="170">
        <v>46302.0</v>
      </c>
      <c r="I27" s="178">
        <f>SUMIFS(Amallar!G:G,Amallar!M:M,A27,Amallar!F:F,"Chiqim",Amallar!Q:Q,"&lt;&gt;Ha")</f>
        <v>0</v>
      </c>
      <c r="J27" s="178">
        <f>SUMIFS(Amallar!G:G,Amallar!M:M,A27,Amallar!F:F,"Kirim",Amallar!K:K,"avans",Amallar!Q:Q,"&lt;&gt;Ha")+SUMIFS(Amallar!G:G,Amallar!M:M,A27,Amallar!F:F,"Kirim",Amallar!K:K,"qoldiq",Amallar!Q:Q,"&lt;&gt;Ha")</f>
        <v>0</v>
      </c>
      <c r="K27" s="182" t="str">
        <f t="shared" si="1"/>
        <v/>
      </c>
      <c r="L27" s="183" t="str">
        <f t="shared" si="2"/>
        <v/>
      </c>
      <c r="M27" s="182" t="str">
        <f t="shared" si="3"/>
        <v/>
      </c>
      <c r="N27" s="174" t="s">
        <v>261</v>
      </c>
      <c r="O27" s="170">
        <v>46218.0</v>
      </c>
      <c r="P27" s="169" t="s">
        <v>459</v>
      </c>
      <c r="Q27" s="173">
        <v>34855.0</v>
      </c>
      <c r="R27" s="179" t="s">
        <v>263</v>
      </c>
      <c r="S27" s="200" t="s">
        <v>294</v>
      </c>
    </row>
    <row r="28" ht="21.0" customHeight="1">
      <c r="A28" s="167" t="s">
        <v>460</v>
      </c>
      <c r="B28" s="169" t="s">
        <v>172</v>
      </c>
      <c r="C28" s="171"/>
      <c r="D28" s="169" t="s">
        <v>252</v>
      </c>
      <c r="E28" s="173">
        <v>0.0</v>
      </c>
      <c r="F28" s="174" t="s">
        <v>253</v>
      </c>
      <c r="G28" s="170">
        <v>46302.0</v>
      </c>
      <c r="H28" s="170">
        <v>46302.0</v>
      </c>
      <c r="I28" s="178">
        <f>SUMIFS(Amallar!G:G,Amallar!M:M,A28,Amallar!F:F,"Chiqim",Amallar!Q:Q,"&lt;&gt;Ha")</f>
        <v>0</v>
      </c>
      <c r="J28" s="178">
        <f>SUMIFS(Amallar!G:G,Amallar!M:M,A28,Amallar!F:F,"Kirim",Amallar!K:K,"avans",Amallar!Q:Q,"&lt;&gt;Ha")+SUMIFS(Amallar!G:G,Amallar!M:M,A28,Amallar!F:F,"Kirim",Amallar!K:K,"qoldiq",Amallar!Q:Q,"&lt;&gt;Ha")</f>
        <v>0</v>
      </c>
      <c r="K28" s="182" t="str">
        <f t="shared" si="1"/>
        <v/>
      </c>
      <c r="L28" s="183" t="str">
        <f t="shared" si="2"/>
        <v/>
      </c>
      <c r="M28" s="182" t="str">
        <f t="shared" si="3"/>
        <v/>
      </c>
      <c r="N28" s="174" t="s">
        <v>261</v>
      </c>
      <c r="O28" s="170">
        <v>46168.0</v>
      </c>
      <c r="P28" s="169" t="s">
        <v>461</v>
      </c>
      <c r="Q28" s="173">
        <v>3000.0</v>
      </c>
      <c r="R28" s="179" t="s">
        <v>263</v>
      </c>
      <c r="S28" s="200" t="s">
        <v>294</v>
      </c>
    </row>
    <row r="29" ht="21.0" customHeight="1">
      <c r="A29" s="167" t="s">
        <v>462</v>
      </c>
      <c r="B29" s="169" t="s">
        <v>174</v>
      </c>
      <c r="C29" s="171"/>
      <c r="D29" s="169" t="s">
        <v>252</v>
      </c>
      <c r="E29" s="173">
        <v>0.0</v>
      </c>
      <c r="F29" s="174" t="s">
        <v>253</v>
      </c>
      <c r="G29" s="170">
        <v>46302.0</v>
      </c>
      <c r="H29" s="170">
        <v>46302.0</v>
      </c>
      <c r="I29" s="178">
        <f>SUMIFS(Amallar!G:G,Amallar!M:M,A29,Amallar!F:F,"Chiqim",Amallar!Q:Q,"&lt;&gt;Ha")</f>
        <v>55682880</v>
      </c>
      <c r="J29" s="178">
        <f>SUMIFS(Amallar!G:G,Amallar!M:M,A29,Amallar!F:F,"Kirim",Amallar!K:K,"avans",Amallar!Q:Q,"&lt;&gt;Ha")+SUMIFS(Amallar!G:G,Amallar!M:M,A29,Amallar!F:F,"Kirim",Amallar!K:K,"qoldiq",Amallar!Q:Q,"&lt;&gt;Ha")</f>
        <v>0</v>
      </c>
      <c r="K29" s="182" t="str">
        <f t="shared" si="1"/>
        <v/>
      </c>
      <c r="L29" s="183" t="str">
        <f t="shared" si="2"/>
        <v/>
      </c>
      <c r="M29" s="182" t="str">
        <f t="shared" si="3"/>
        <v/>
      </c>
      <c r="N29" s="174" t="s">
        <v>261</v>
      </c>
      <c r="O29" s="170">
        <v>46223.0</v>
      </c>
      <c r="P29" s="169" t="s">
        <v>463</v>
      </c>
      <c r="Q29" s="173">
        <v>47250.0</v>
      </c>
      <c r="R29" s="179" t="s">
        <v>263</v>
      </c>
      <c r="S29" s="169" t="s">
        <v>374</v>
      </c>
    </row>
    <row r="30" ht="21.0" customHeight="1">
      <c r="A30" s="167" t="s">
        <v>464</v>
      </c>
      <c r="B30" s="169" t="s">
        <v>146</v>
      </c>
      <c r="C30" s="171"/>
      <c r="D30" s="169" t="s">
        <v>252</v>
      </c>
      <c r="E30" s="173">
        <v>0.0</v>
      </c>
      <c r="F30" s="174" t="s">
        <v>253</v>
      </c>
      <c r="G30" s="170">
        <v>46302.0</v>
      </c>
      <c r="H30" s="170">
        <v>46302.0</v>
      </c>
      <c r="I30" s="178">
        <f>SUMIFS(Amallar!G:G,Amallar!M:M,A30,Amallar!F:F,"Chiqim",Amallar!Q:Q,"&lt;&gt;Ha")</f>
        <v>0</v>
      </c>
      <c r="J30" s="178">
        <f>SUMIFS(Amallar!G:G,Amallar!M:M,A30,Amallar!F:F,"Kirim",Amallar!K:K,"avans",Amallar!Q:Q,"&lt;&gt;Ha")+SUMIFS(Amallar!G:G,Amallar!M:M,A30,Amallar!F:F,"Kirim",Amallar!K:K,"qoldiq",Amallar!Q:Q,"&lt;&gt;Ha")</f>
        <v>0</v>
      </c>
      <c r="K30" s="182" t="str">
        <f t="shared" si="1"/>
        <v/>
      </c>
      <c r="L30" s="183" t="str">
        <f t="shared" si="2"/>
        <v/>
      </c>
      <c r="M30" s="182" t="str">
        <f t="shared" si="3"/>
        <v/>
      </c>
      <c r="N30" s="174" t="s">
        <v>261</v>
      </c>
      <c r="O30" s="170">
        <v>46210.0</v>
      </c>
      <c r="P30" s="169" t="s">
        <v>465</v>
      </c>
      <c r="Q30" s="173">
        <v>1060.0</v>
      </c>
      <c r="R30" s="179" t="s">
        <v>263</v>
      </c>
      <c r="S30" s="169" t="s">
        <v>466</v>
      </c>
    </row>
    <row r="31" ht="21.0" customHeight="1">
      <c r="A31" s="167" t="s">
        <v>468</v>
      </c>
      <c r="B31" s="169" t="s">
        <v>178</v>
      </c>
      <c r="C31" s="171"/>
      <c r="D31" s="169" t="s">
        <v>252</v>
      </c>
      <c r="E31" s="173">
        <v>0.0</v>
      </c>
      <c r="F31" s="174" t="s">
        <v>253</v>
      </c>
      <c r="G31" s="170">
        <v>46302.0</v>
      </c>
      <c r="H31" s="170">
        <v>46302.0</v>
      </c>
      <c r="I31" s="178">
        <f>SUMIFS(Amallar!G:G,Amallar!M:M,A31,Amallar!F:F,"Chiqim",Amallar!Q:Q,"&lt;&gt;Ha")</f>
        <v>0</v>
      </c>
      <c r="J31" s="178">
        <f>SUMIFS(Amallar!G:G,Amallar!M:M,A31,Amallar!F:F,"Kirim",Amallar!K:K,"avans",Amallar!Q:Q,"&lt;&gt;Ha")+SUMIFS(Amallar!G:G,Amallar!M:M,A31,Amallar!F:F,"Kirim",Amallar!K:K,"qoldiq",Amallar!Q:Q,"&lt;&gt;Ha")</f>
        <v>0</v>
      </c>
      <c r="K31" s="182" t="str">
        <f t="shared" si="1"/>
        <v/>
      </c>
      <c r="L31" s="183" t="str">
        <f t="shared" si="2"/>
        <v/>
      </c>
      <c r="M31" s="182" t="str">
        <f t="shared" si="3"/>
        <v/>
      </c>
      <c r="N31" s="174" t="s">
        <v>261</v>
      </c>
      <c r="O31" s="170">
        <v>46173.0</v>
      </c>
      <c r="P31" s="169" t="s">
        <v>438</v>
      </c>
      <c r="Q31" s="173">
        <v>1100.0</v>
      </c>
      <c r="R31" s="179" t="s">
        <v>263</v>
      </c>
      <c r="S31" s="200" t="s">
        <v>294</v>
      </c>
    </row>
    <row r="32" ht="21.0" customHeight="1">
      <c r="A32" s="167" t="s">
        <v>470</v>
      </c>
      <c r="B32" s="169" t="s">
        <v>180</v>
      </c>
      <c r="C32" s="171"/>
      <c r="D32" s="169" t="s">
        <v>252</v>
      </c>
      <c r="E32" s="173">
        <v>0.0</v>
      </c>
      <c r="F32" s="174" t="s">
        <v>253</v>
      </c>
      <c r="G32" s="170">
        <v>46302.0</v>
      </c>
      <c r="H32" s="170">
        <v>46302.0</v>
      </c>
      <c r="I32" s="178">
        <f>SUMIFS(Amallar!G:G,Amallar!M:M,A32,Amallar!F:F,"Chiqim",Amallar!Q:Q,"&lt;&gt;Ha")</f>
        <v>1493880</v>
      </c>
      <c r="J32" s="178">
        <f>SUMIFS(Amallar!G:G,Amallar!M:M,A32,Amallar!F:F,"Kirim",Amallar!K:K,"avans",Amallar!Q:Q,"&lt;&gt;Ha")+SUMIFS(Amallar!G:G,Amallar!M:M,A32,Amallar!F:F,"Kirim",Amallar!K:K,"qoldiq",Amallar!Q:Q,"&lt;&gt;Ha")</f>
        <v>0</v>
      </c>
      <c r="K32" s="182" t="str">
        <f t="shared" si="1"/>
        <v/>
      </c>
      <c r="L32" s="183" t="str">
        <f t="shared" si="2"/>
        <v/>
      </c>
      <c r="M32" s="182" t="str">
        <f t="shared" si="3"/>
        <v/>
      </c>
      <c r="N32" s="174" t="s">
        <v>261</v>
      </c>
      <c r="O32" s="170">
        <v>46203.0</v>
      </c>
      <c r="P32" s="169" t="s">
        <v>420</v>
      </c>
      <c r="Q32" s="173">
        <v>21374.0</v>
      </c>
      <c r="R32" s="179" t="s">
        <v>263</v>
      </c>
      <c r="S32" s="200" t="s">
        <v>294</v>
      </c>
    </row>
    <row r="33" ht="21.0" customHeight="1">
      <c r="A33" s="167" t="s">
        <v>474</v>
      </c>
      <c r="B33" s="169" t="s">
        <v>182</v>
      </c>
      <c r="C33" s="171"/>
      <c r="D33" s="169" t="s">
        <v>252</v>
      </c>
      <c r="E33" s="173">
        <v>0.0</v>
      </c>
      <c r="F33" s="174" t="s">
        <v>253</v>
      </c>
      <c r="G33" s="170">
        <v>46302.0</v>
      </c>
      <c r="H33" s="170">
        <v>46302.0</v>
      </c>
      <c r="I33" s="178">
        <f>SUMIFS(Amallar!G:G,Amallar!M:M,A33,Amallar!F:F,"Chiqim",Amallar!Q:Q,"&lt;&gt;Ha")</f>
        <v>0</v>
      </c>
      <c r="J33" s="178">
        <f>SUMIFS(Amallar!G:G,Amallar!M:M,A33,Amallar!F:F,"Kirim",Amallar!K:K,"avans",Amallar!Q:Q,"&lt;&gt;Ha")+SUMIFS(Amallar!G:G,Amallar!M:M,A33,Amallar!F:F,"Kirim",Amallar!K:K,"qoldiq",Amallar!Q:Q,"&lt;&gt;Ha")</f>
        <v>0</v>
      </c>
      <c r="K33" s="182" t="str">
        <f t="shared" si="1"/>
        <v/>
      </c>
      <c r="L33" s="183" t="str">
        <f t="shared" si="2"/>
        <v/>
      </c>
      <c r="M33" s="182" t="str">
        <f t="shared" si="3"/>
        <v/>
      </c>
      <c r="N33" s="174" t="s">
        <v>261</v>
      </c>
      <c r="O33" s="170">
        <v>46185.0</v>
      </c>
      <c r="P33" s="169" t="s">
        <v>420</v>
      </c>
      <c r="Q33" s="173">
        <v>4300.0</v>
      </c>
      <c r="R33" s="179" t="s">
        <v>263</v>
      </c>
      <c r="S33" s="200" t="s">
        <v>294</v>
      </c>
    </row>
    <row r="34" ht="21.0" customHeight="1">
      <c r="A34" s="167" t="s">
        <v>477</v>
      </c>
      <c r="B34" s="169" t="s">
        <v>184</v>
      </c>
      <c r="C34" s="171"/>
      <c r="D34" s="169" t="s">
        <v>252</v>
      </c>
      <c r="E34" s="173">
        <v>0.0</v>
      </c>
      <c r="F34" s="174" t="s">
        <v>253</v>
      </c>
      <c r="G34" s="170">
        <v>46302.0</v>
      </c>
      <c r="H34" s="170">
        <v>46302.0</v>
      </c>
      <c r="I34" s="178">
        <f>SUMIFS(Amallar!G:G,Amallar!M:M,A34,Amallar!F:F,"Chiqim",Amallar!Q:Q,"&lt;&gt;Ha")</f>
        <v>0</v>
      </c>
      <c r="J34" s="178">
        <f>SUMIFS(Amallar!G:G,Amallar!M:M,A34,Amallar!F:F,"Kirim",Amallar!K:K,"avans",Amallar!Q:Q,"&lt;&gt;Ha")+SUMIFS(Amallar!G:G,Amallar!M:M,A34,Amallar!F:F,"Kirim",Amallar!K:K,"qoldiq",Amallar!Q:Q,"&lt;&gt;Ha")</f>
        <v>0</v>
      </c>
      <c r="K34" s="182" t="str">
        <f t="shared" si="1"/>
        <v/>
      </c>
      <c r="L34" s="183" t="str">
        <f t="shared" si="2"/>
        <v/>
      </c>
      <c r="M34" s="182" t="str">
        <f t="shared" si="3"/>
        <v/>
      </c>
      <c r="N34" s="174" t="s">
        <v>261</v>
      </c>
      <c r="O34" s="170">
        <v>46186.0</v>
      </c>
      <c r="P34" s="169" t="s">
        <v>479</v>
      </c>
      <c r="Q34" s="173">
        <v>5400.0</v>
      </c>
      <c r="R34" s="179" t="s">
        <v>263</v>
      </c>
      <c r="S34" s="200" t="s">
        <v>294</v>
      </c>
    </row>
    <row r="35" ht="21.0" customHeight="1">
      <c r="A35" s="167" t="s">
        <v>480</v>
      </c>
      <c r="B35" s="169" t="s">
        <v>186</v>
      </c>
      <c r="C35" s="171"/>
      <c r="D35" s="169" t="s">
        <v>252</v>
      </c>
      <c r="E35" s="173">
        <v>0.0</v>
      </c>
      <c r="F35" s="174" t="s">
        <v>253</v>
      </c>
      <c r="G35" s="170">
        <v>46302.0</v>
      </c>
      <c r="H35" s="170">
        <v>46302.0</v>
      </c>
      <c r="I35" s="178">
        <f>SUMIFS(Amallar!G:G,Amallar!M:M,A35,Amallar!F:F,"Chiqim",Amallar!Q:Q,"&lt;&gt;Ha")</f>
        <v>0</v>
      </c>
      <c r="J35" s="178">
        <f>SUMIFS(Amallar!G:G,Amallar!M:M,A35,Amallar!F:F,"Kirim",Amallar!K:K,"avans",Amallar!Q:Q,"&lt;&gt;Ha")+SUMIFS(Amallar!G:G,Amallar!M:M,A35,Amallar!F:F,"Kirim",Amallar!K:K,"qoldiq",Amallar!Q:Q,"&lt;&gt;Ha")</f>
        <v>0</v>
      </c>
      <c r="K35" s="182" t="str">
        <f t="shared" si="1"/>
        <v/>
      </c>
      <c r="L35" s="183" t="str">
        <f t="shared" si="2"/>
        <v/>
      </c>
      <c r="M35" s="182" t="str">
        <f t="shared" si="3"/>
        <v/>
      </c>
      <c r="N35" s="174" t="s">
        <v>261</v>
      </c>
      <c r="O35" s="170">
        <v>46190.0</v>
      </c>
      <c r="P35" s="169" t="s">
        <v>483</v>
      </c>
      <c r="Q35" s="173">
        <v>24100.0</v>
      </c>
      <c r="R35" s="179" t="s">
        <v>263</v>
      </c>
      <c r="S35" s="169" t="s">
        <v>374</v>
      </c>
    </row>
    <row r="36" ht="21.0" customHeight="1">
      <c r="A36" s="167" t="s">
        <v>484</v>
      </c>
      <c r="B36" s="169" t="s">
        <v>189</v>
      </c>
      <c r="C36" s="171"/>
      <c r="D36" s="169" t="s">
        <v>252</v>
      </c>
      <c r="E36" s="173">
        <v>0.0</v>
      </c>
      <c r="F36" s="174" t="s">
        <v>253</v>
      </c>
      <c r="G36" s="170">
        <v>46302.0</v>
      </c>
      <c r="H36" s="170">
        <v>46302.0</v>
      </c>
      <c r="I36" s="178">
        <f>SUMIFS(Amallar!G:G,Amallar!M:M,A36,Amallar!F:F,"Chiqim",Amallar!Q:Q,"&lt;&gt;Ha")</f>
        <v>0</v>
      </c>
      <c r="J36" s="178">
        <f>SUMIFS(Amallar!G:G,Amallar!M:M,A36,Amallar!F:F,"Kirim",Amallar!K:K,"avans",Amallar!Q:Q,"&lt;&gt;Ha")+SUMIFS(Amallar!G:G,Amallar!M:M,A36,Amallar!F:F,"Kirim",Amallar!K:K,"qoldiq",Amallar!Q:Q,"&lt;&gt;Ha")</f>
        <v>0</v>
      </c>
      <c r="K36" s="182" t="str">
        <f t="shared" si="1"/>
        <v/>
      </c>
      <c r="L36" s="183" t="str">
        <f t="shared" si="2"/>
        <v/>
      </c>
      <c r="M36" s="182" t="str">
        <f t="shared" si="3"/>
        <v/>
      </c>
      <c r="N36" s="174" t="s">
        <v>261</v>
      </c>
      <c r="O36" s="170">
        <v>46156.0</v>
      </c>
      <c r="P36" s="169" t="s">
        <v>486</v>
      </c>
      <c r="Q36" s="173">
        <v>1112.0</v>
      </c>
      <c r="R36" s="179" t="s">
        <v>263</v>
      </c>
      <c r="S36" s="200" t="s">
        <v>294</v>
      </c>
    </row>
    <row r="37" ht="21.0" customHeight="1">
      <c r="A37" s="167" t="s">
        <v>488</v>
      </c>
      <c r="B37" s="169" t="s">
        <v>191</v>
      </c>
      <c r="C37" s="171"/>
      <c r="D37" s="169" t="s">
        <v>252</v>
      </c>
      <c r="E37" s="173">
        <v>0.0</v>
      </c>
      <c r="F37" s="174" t="s">
        <v>253</v>
      </c>
      <c r="G37" s="170">
        <v>46302.0</v>
      </c>
      <c r="H37" s="170">
        <v>46302.0</v>
      </c>
      <c r="I37" s="178">
        <f>SUMIFS(Amallar!G:G,Amallar!M:M,A37,Amallar!F:F,"Chiqim",Amallar!Q:Q,"&lt;&gt;Ha")</f>
        <v>0</v>
      </c>
      <c r="J37" s="178">
        <f>SUMIFS(Amallar!G:G,Amallar!M:M,A37,Amallar!F:F,"Kirim",Amallar!K:K,"avans",Amallar!Q:Q,"&lt;&gt;Ha")+SUMIFS(Amallar!G:G,Amallar!M:M,A37,Amallar!F:F,"Kirim",Amallar!K:K,"qoldiq",Amallar!Q:Q,"&lt;&gt;Ha")</f>
        <v>0</v>
      </c>
      <c r="K37" s="182" t="str">
        <f t="shared" si="1"/>
        <v/>
      </c>
      <c r="L37" s="183" t="str">
        <f t="shared" si="2"/>
        <v/>
      </c>
      <c r="M37" s="182" t="str">
        <f t="shared" si="3"/>
        <v/>
      </c>
      <c r="N37" s="174" t="s">
        <v>261</v>
      </c>
      <c r="O37" s="170">
        <v>46166.0</v>
      </c>
      <c r="P37" s="169" t="s">
        <v>489</v>
      </c>
      <c r="Q37" s="173">
        <v>3400.0</v>
      </c>
      <c r="R37" s="179" t="s">
        <v>263</v>
      </c>
      <c r="S37" s="200" t="s">
        <v>294</v>
      </c>
    </row>
    <row r="38" ht="21.0" customHeight="1">
      <c r="A38" s="167" t="s">
        <v>491</v>
      </c>
      <c r="B38" s="169" t="s">
        <v>194</v>
      </c>
      <c r="C38" s="171"/>
      <c r="D38" s="169" t="s">
        <v>252</v>
      </c>
      <c r="E38" s="173">
        <v>0.0</v>
      </c>
      <c r="F38" s="174" t="s">
        <v>253</v>
      </c>
      <c r="G38" s="170">
        <v>46302.0</v>
      </c>
      <c r="H38" s="170">
        <v>46302.0</v>
      </c>
      <c r="I38" s="178">
        <f>SUMIFS(Amallar!G:G,Amallar!M:M,A38,Amallar!F:F,"Chiqim",Amallar!Q:Q,"&lt;&gt;Ha")</f>
        <v>0</v>
      </c>
      <c r="J38" s="178">
        <f>SUMIFS(Amallar!G:G,Amallar!M:M,A38,Amallar!F:F,"Kirim",Amallar!K:K,"avans",Amallar!Q:Q,"&lt;&gt;Ha")+SUMIFS(Amallar!G:G,Amallar!M:M,A38,Amallar!F:F,"Kirim",Amallar!K:K,"qoldiq",Amallar!Q:Q,"&lt;&gt;Ha")</f>
        <v>0</v>
      </c>
      <c r="K38" s="182" t="str">
        <f t="shared" si="1"/>
        <v/>
      </c>
      <c r="L38" s="183" t="str">
        <f t="shared" si="2"/>
        <v/>
      </c>
      <c r="M38" s="182" t="str">
        <f t="shared" si="3"/>
        <v/>
      </c>
      <c r="N38" s="174" t="s">
        <v>261</v>
      </c>
      <c r="O38" s="170">
        <v>46175.0</v>
      </c>
      <c r="P38" s="169" t="s">
        <v>492</v>
      </c>
      <c r="Q38" s="173">
        <v>11425.0</v>
      </c>
      <c r="R38" s="179" t="s">
        <v>263</v>
      </c>
      <c r="S38" s="169" t="s">
        <v>493</v>
      </c>
    </row>
    <row r="39" ht="21.0" customHeight="1">
      <c r="A39" s="167" t="s">
        <v>495</v>
      </c>
      <c r="B39" s="169" t="s">
        <v>196</v>
      </c>
      <c r="C39" s="171"/>
      <c r="D39" s="169" t="s">
        <v>252</v>
      </c>
      <c r="E39" s="173">
        <v>0.0</v>
      </c>
      <c r="F39" s="174" t="s">
        <v>253</v>
      </c>
      <c r="G39" s="170">
        <v>46302.0</v>
      </c>
      <c r="H39" s="170">
        <v>46302.0</v>
      </c>
      <c r="I39" s="178">
        <f>SUMIFS(Amallar!G:G,Amallar!M:M,A39,Amallar!F:F,"Chiqim",Amallar!Q:Q,"&lt;&gt;Ha")</f>
        <v>0</v>
      </c>
      <c r="J39" s="178">
        <f>SUMIFS(Amallar!G:G,Amallar!M:M,A39,Amallar!F:F,"Kirim",Amallar!K:K,"avans",Amallar!Q:Q,"&lt;&gt;Ha")+SUMIFS(Amallar!G:G,Amallar!M:M,A39,Amallar!F:F,"Kirim",Amallar!K:K,"qoldiq",Amallar!Q:Q,"&lt;&gt;Ha")</f>
        <v>0</v>
      </c>
      <c r="K39" s="182" t="str">
        <f t="shared" si="1"/>
        <v/>
      </c>
      <c r="L39" s="183" t="str">
        <f t="shared" si="2"/>
        <v/>
      </c>
      <c r="M39" s="182" t="str">
        <f t="shared" si="3"/>
        <v/>
      </c>
      <c r="N39" s="174" t="s">
        <v>261</v>
      </c>
      <c r="O39" s="170">
        <v>46140.0</v>
      </c>
      <c r="P39" s="169" t="s">
        <v>496</v>
      </c>
      <c r="Q39" s="173">
        <v>4105.0</v>
      </c>
      <c r="R39" s="179" t="s">
        <v>263</v>
      </c>
      <c r="S39" s="200" t="s">
        <v>294</v>
      </c>
    </row>
    <row r="40" ht="21.0" customHeight="1">
      <c r="A40" s="167" t="s">
        <v>497</v>
      </c>
      <c r="B40" s="169" t="s">
        <v>498</v>
      </c>
      <c r="C40" s="171"/>
      <c r="D40" s="169" t="s">
        <v>252</v>
      </c>
      <c r="E40" s="173">
        <v>0.0</v>
      </c>
      <c r="F40" s="174" t="s">
        <v>499</v>
      </c>
      <c r="G40" s="170">
        <v>46302.0</v>
      </c>
      <c r="H40" s="189"/>
      <c r="I40" s="178">
        <f>SUMIFS(Amallar!G:G,Amallar!M:M,A40,Amallar!F:F,"Chiqim",Amallar!Q:Q,"&lt;&gt;Ha")</f>
        <v>0</v>
      </c>
      <c r="J40" s="178">
        <f>SUMIFS(Amallar!G:G,Amallar!M:M,A40,Amallar!F:F,"Kirim",Amallar!K:K,"avans",Amallar!Q:Q,"&lt;&gt;Ha")+SUMIFS(Amallar!G:G,Amallar!M:M,A40,Amallar!F:F,"Kirim",Amallar!K:K,"qoldiq",Amallar!Q:Q,"&lt;&gt;Ha")</f>
        <v>66064075</v>
      </c>
      <c r="K40" s="182" t="str">
        <f t="shared" si="1"/>
        <v/>
      </c>
      <c r="L40" s="183" t="str">
        <f t="shared" si="2"/>
        <v/>
      </c>
      <c r="M40" s="182" t="str">
        <f t="shared" si="3"/>
        <v/>
      </c>
      <c r="N40" s="174" t="s">
        <v>501</v>
      </c>
      <c r="O40" s="170">
        <v>46366.0</v>
      </c>
      <c r="P40" s="169" t="s">
        <v>502</v>
      </c>
      <c r="Q40" s="173">
        <v>15000.0</v>
      </c>
      <c r="R40" s="179" t="s">
        <v>263</v>
      </c>
      <c r="S40" s="169" t="s">
        <v>503</v>
      </c>
    </row>
    <row r="41" ht="21.0" customHeight="1">
      <c r="A41" s="212" t="s">
        <v>505</v>
      </c>
      <c r="B41" s="193" t="s">
        <v>146</v>
      </c>
      <c r="C41" s="185"/>
      <c r="D41" s="193" t="s">
        <v>252</v>
      </c>
      <c r="E41" s="195">
        <v>0.0</v>
      </c>
      <c r="F41" s="194" t="s">
        <v>278</v>
      </c>
      <c r="G41" s="191">
        <v>46311.0</v>
      </c>
      <c r="H41" s="191"/>
      <c r="I41" s="213">
        <f>SUMIFS(Amallar!G:G,Amallar!M:M,A41,Amallar!F:F,"Chiqim",Amallar!Q:Q,"&lt;&gt;Ha")</f>
        <v>0</v>
      </c>
      <c r="J41" s="213">
        <f>SUMIFS(Amallar!G:G,Amallar!M:M,A41,Amallar!F:F,"Kirim",Amallar!K:K,"avans",Amallar!Q:Q,"&lt;&gt;Ha")+SUMIFS(Amallar!G:G,Amallar!M:M,A41,Amallar!F:F,"Kirim",Amallar!K:K,"qoldiq",Amallar!Q:Q,"&lt;&gt;Ha")</f>
        <v>3603495</v>
      </c>
      <c r="K41" s="214" t="str">
        <f t="shared" si="1"/>
        <v/>
      </c>
      <c r="L41" s="215" t="str">
        <f t="shared" si="2"/>
        <v/>
      </c>
      <c r="M41" s="214" t="str">
        <f t="shared" si="3"/>
        <v/>
      </c>
      <c r="N41" s="194" t="s">
        <v>333</v>
      </c>
      <c r="O41" s="191">
        <v>46326.0</v>
      </c>
      <c r="P41" s="193" t="s">
        <v>508</v>
      </c>
      <c r="Q41" s="195">
        <v>700.0</v>
      </c>
      <c r="R41" s="201" t="s">
        <v>263</v>
      </c>
      <c r="S41" s="193" t="s">
        <v>509</v>
      </c>
    </row>
    <row r="42" ht="21.0" customHeight="1">
      <c r="A42" s="212" t="s">
        <v>511</v>
      </c>
      <c r="B42" s="193" t="s">
        <v>512</v>
      </c>
      <c r="C42" s="185"/>
      <c r="D42" s="193" t="s">
        <v>252</v>
      </c>
      <c r="E42" s="195">
        <v>0.0</v>
      </c>
      <c r="F42" s="194" t="s">
        <v>499</v>
      </c>
      <c r="G42" s="191">
        <v>46315.0</v>
      </c>
      <c r="H42" s="191"/>
      <c r="I42" s="213">
        <f>SUMIFS(Amallar!G:G,Amallar!M:M,A42,Amallar!F:F,"Chiqim",Amallar!Q:Q,"&lt;&gt;Ha")</f>
        <v>0</v>
      </c>
      <c r="J42" s="213">
        <f>SUMIFS(Amallar!G:G,Amallar!M:M,A42,Amallar!F:F,"Kirim",Amallar!K:K,"avans",Amallar!Q:Q,"&lt;&gt;Ha")+SUMIFS(Amallar!G:G,Amallar!M:M,A42,Amallar!F:F,"Kirim",Amallar!K:K,"qoldiq",Amallar!Q:Q,"&lt;&gt;Ha")</f>
        <v>30030750</v>
      </c>
      <c r="K42" s="214" t="str">
        <f t="shared" si="1"/>
        <v/>
      </c>
      <c r="L42" s="215" t="str">
        <f t="shared" si="2"/>
        <v/>
      </c>
      <c r="M42" s="214" t="str">
        <f t="shared" si="3"/>
        <v/>
      </c>
      <c r="N42" s="194" t="s">
        <v>501</v>
      </c>
      <c r="O42" s="191">
        <v>46360.0</v>
      </c>
      <c r="P42" s="193" t="s">
        <v>514</v>
      </c>
      <c r="Q42" s="195">
        <v>6630.0</v>
      </c>
      <c r="R42" s="201" t="s">
        <v>263</v>
      </c>
      <c r="S42" s="193" t="s">
        <v>515</v>
      </c>
    </row>
    <row r="43" ht="21.0" customHeight="1">
      <c r="A43" s="212" t="s">
        <v>516</v>
      </c>
      <c r="B43" s="193" t="s">
        <v>517</v>
      </c>
      <c r="C43" s="185"/>
      <c r="D43" s="193" t="s">
        <v>252</v>
      </c>
      <c r="E43" s="195">
        <v>0.0</v>
      </c>
      <c r="F43" s="194" t="s">
        <v>499</v>
      </c>
      <c r="G43" s="191">
        <v>46316.0</v>
      </c>
      <c r="H43" s="191"/>
      <c r="I43" s="213">
        <f>SUMIFS(Amallar!G:G,Amallar!M:M,A43,Amallar!F:F,"Chiqim",Amallar!Q:Q,"&lt;&gt;Ha")</f>
        <v>0</v>
      </c>
      <c r="J43" s="213">
        <f>SUMIFS(Amallar!G:G,Amallar!M:M,A43,Amallar!F:F,"Kirim",Amallar!K:K,"avans",Amallar!Q:Q,"&lt;&gt;Ha")+SUMIFS(Amallar!G:G,Amallar!M:M,A43,Amallar!F:F,"Kirim",Amallar!K:K,"qoldiq",Amallar!Q:Q,"&lt;&gt;Ha")</f>
        <v>25001230</v>
      </c>
      <c r="K43" s="214" t="str">
        <f t="shared" si="1"/>
        <v/>
      </c>
      <c r="L43" s="215" t="str">
        <f t="shared" si="2"/>
        <v/>
      </c>
      <c r="M43" s="214" t="str">
        <f t="shared" si="3"/>
        <v/>
      </c>
      <c r="N43" s="194" t="s">
        <v>501</v>
      </c>
      <c r="O43" s="191">
        <v>46361.0</v>
      </c>
      <c r="P43" s="193" t="s">
        <v>518</v>
      </c>
      <c r="Q43" s="195">
        <v>3000.0</v>
      </c>
      <c r="R43" s="201" t="s">
        <v>263</v>
      </c>
      <c r="S43" s="193" t="s">
        <v>519</v>
      </c>
    </row>
    <row r="44" ht="21.0" customHeight="1">
      <c r="A44" s="212" t="s">
        <v>520</v>
      </c>
      <c r="B44" s="193" t="s">
        <v>522</v>
      </c>
      <c r="C44" s="185"/>
      <c r="D44" s="193" t="s">
        <v>252</v>
      </c>
      <c r="E44" s="195">
        <v>0.0</v>
      </c>
      <c r="F44" s="194" t="s">
        <v>499</v>
      </c>
      <c r="G44" s="191">
        <v>46318.0</v>
      </c>
      <c r="H44" s="191"/>
      <c r="I44" s="213">
        <f>SUMIFS(Amallar!G:G,Amallar!M:M,A44,Amallar!F:F,"Chiqim",Amallar!Q:Q,"&lt;&gt;Ha")</f>
        <v>0</v>
      </c>
      <c r="J44" s="213">
        <f>SUMIFS(Amallar!G:G,Amallar!M:M,A44,Amallar!F:F,"Kirim",Amallar!K:K,"avans",Amallar!Q:Q,"&lt;&gt;Ha")+SUMIFS(Amallar!G:G,Amallar!M:M,A44,Amallar!F:F,"Kirim",Amallar!K:K,"qoldiq",Amallar!Q:Q,"&lt;&gt;Ha")</f>
        <v>23800000</v>
      </c>
      <c r="K44" s="214" t="str">
        <f t="shared" si="1"/>
        <v/>
      </c>
      <c r="L44" s="215" t="str">
        <f t="shared" si="2"/>
        <v/>
      </c>
      <c r="M44" s="214" t="str">
        <f t="shared" si="3"/>
        <v/>
      </c>
      <c r="N44" s="194" t="s">
        <v>501</v>
      </c>
      <c r="O44" s="191">
        <v>46383.0</v>
      </c>
      <c r="P44" s="193" t="s">
        <v>524</v>
      </c>
      <c r="Q44" s="195">
        <v>17388.0</v>
      </c>
      <c r="R44" s="201" t="s">
        <v>263</v>
      </c>
      <c r="S44" s="193" t="s">
        <v>525</v>
      </c>
    </row>
    <row r="45" ht="21.0" customHeight="1">
      <c r="A45" s="216"/>
      <c r="B45" s="111"/>
      <c r="C45" s="111"/>
      <c r="D45" s="111"/>
      <c r="E45" s="217"/>
      <c r="F45" s="218"/>
      <c r="G45" s="219"/>
      <c r="H45" s="219"/>
      <c r="I45" s="220"/>
      <c r="J45" s="220"/>
      <c r="K45" s="221"/>
      <c r="L45" s="222"/>
      <c r="M45" s="221"/>
      <c r="N45" s="218"/>
      <c r="O45" s="219"/>
      <c r="P45" s="111"/>
      <c r="Q45" s="223"/>
      <c r="R45" s="218"/>
      <c r="S45" s="111"/>
    </row>
    <row r="46" ht="21.0" customHeight="1">
      <c r="A46" s="216"/>
      <c r="B46" s="111"/>
      <c r="C46" s="111"/>
      <c r="D46" s="111"/>
      <c r="E46" s="217"/>
      <c r="F46" s="218"/>
      <c r="G46" s="219"/>
      <c r="H46" s="219"/>
      <c r="I46" s="220"/>
      <c r="J46" s="220"/>
      <c r="K46" s="221"/>
      <c r="L46" s="222"/>
      <c r="M46" s="221"/>
      <c r="N46" s="218"/>
      <c r="O46" s="219"/>
      <c r="P46" s="111"/>
      <c r="Q46" s="223"/>
      <c r="R46" s="218"/>
      <c r="S46" s="111"/>
    </row>
    <row r="47" ht="21.0" customHeight="1">
      <c r="A47" s="216"/>
      <c r="B47" s="111"/>
      <c r="C47" s="111"/>
      <c r="D47" s="111"/>
      <c r="E47" s="217"/>
      <c r="F47" s="218"/>
      <c r="G47" s="219"/>
      <c r="H47" s="219"/>
      <c r="I47" s="220"/>
      <c r="J47" s="220"/>
      <c r="K47" s="221"/>
      <c r="L47" s="222"/>
      <c r="M47" s="221"/>
      <c r="N47" s="218"/>
      <c r="O47" s="219"/>
      <c r="P47" s="111"/>
      <c r="Q47" s="223"/>
      <c r="R47" s="218"/>
      <c r="S47" s="111"/>
    </row>
    <row r="48" ht="21.0" customHeight="1">
      <c r="A48" s="216"/>
      <c r="B48" s="111"/>
      <c r="C48" s="111"/>
      <c r="D48" s="111"/>
      <c r="E48" s="217"/>
      <c r="F48" s="218"/>
      <c r="G48" s="219"/>
      <c r="H48" s="219"/>
      <c r="I48" s="220"/>
      <c r="J48" s="220"/>
      <c r="K48" s="221"/>
      <c r="L48" s="222"/>
      <c r="M48" s="221"/>
      <c r="N48" s="218"/>
      <c r="O48" s="219"/>
      <c r="P48" s="111"/>
      <c r="Q48" s="223"/>
      <c r="R48" s="218"/>
      <c r="S48" s="111"/>
    </row>
    <row r="49" ht="21.0" customHeight="1">
      <c r="A49" s="216"/>
      <c r="B49" s="111"/>
      <c r="C49" s="111"/>
      <c r="D49" s="111"/>
      <c r="E49" s="217"/>
      <c r="F49" s="218"/>
      <c r="G49" s="219"/>
      <c r="H49" s="219"/>
      <c r="I49" s="220"/>
      <c r="J49" s="220"/>
      <c r="K49" s="221"/>
      <c r="L49" s="222"/>
      <c r="M49" s="221"/>
      <c r="N49" s="218"/>
      <c r="O49" s="219"/>
      <c r="P49" s="111"/>
      <c r="Q49" s="223"/>
      <c r="R49" s="218"/>
      <c r="S49" s="111"/>
    </row>
    <row r="50" ht="21.0" customHeight="1">
      <c r="A50" s="216"/>
      <c r="B50" s="111"/>
      <c r="C50" s="111"/>
      <c r="D50" s="111"/>
      <c r="E50" s="217"/>
      <c r="F50" s="218"/>
      <c r="G50" s="219"/>
      <c r="H50" s="219"/>
      <c r="I50" s="220"/>
      <c r="J50" s="220"/>
      <c r="K50" s="221"/>
      <c r="L50" s="222"/>
      <c r="M50" s="221"/>
      <c r="N50" s="218"/>
      <c r="O50" s="219"/>
      <c r="P50" s="111"/>
      <c r="Q50" s="223"/>
      <c r="R50" s="218"/>
      <c r="S50" s="111"/>
    </row>
    <row r="51" ht="21.0" customHeight="1">
      <c r="A51" s="216"/>
      <c r="B51" s="111"/>
      <c r="C51" s="111"/>
      <c r="D51" s="111"/>
      <c r="E51" s="217"/>
      <c r="F51" s="218"/>
      <c r="G51" s="219"/>
      <c r="H51" s="219"/>
      <c r="I51" s="220"/>
      <c r="J51" s="220"/>
      <c r="K51" s="221"/>
      <c r="L51" s="222"/>
      <c r="M51" s="221"/>
      <c r="N51" s="218"/>
      <c r="O51" s="219"/>
      <c r="P51" s="111"/>
      <c r="Q51" s="223"/>
      <c r="R51" s="218"/>
      <c r="S51" s="111"/>
    </row>
    <row r="52" ht="21.0" customHeight="1">
      <c r="A52" s="216"/>
      <c r="B52" s="111"/>
      <c r="C52" s="111"/>
      <c r="D52" s="111"/>
      <c r="E52" s="217"/>
      <c r="F52" s="218"/>
      <c r="G52" s="219"/>
      <c r="H52" s="219"/>
      <c r="I52" s="220"/>
      <c r="J52" s="220"/>
      <c r="K52" s="221"/>
      <c r="L52" s="222"/>
      <c r="M52" s="221"/>
      <c r="N52" s="218"/>
      <c r="O52" s="219"/>
      <c r="P52" s="111"/>
      <c r="Q52" s="223"/>
      <c r="R52" s="218"/>
      <c r="S52" s="111"/>
    </row>
    <row r="53" ht="21.0" customHeight="1">
      <c r="A53" s="216"/>
      <c r="B53" s="111"/>
      <c r="C53" s="111"/>
      <c r="D53" s="111"/>
      <c r="E53" s="217"/>
      <c r="F53" s="218"/>
      <c r="G53" s="219"/>
      <c r="H53" s="219"/>
      <c r="I53" s="220"/>
      <c r="J53" s="220"/>
      <c r="K53" s="221"/>
      <c r="L53" s="222"/>
      <c r="M53" s="221"/>
      <c r="N53" s="218"/>
      <c r="O53" s="219"/>
      <c r="P53" s="111"/>
      <c r="Q53" s="223"/>
      <c r="R53" s="218"/>
      <c r="S53" s="111"/>
    </row>
    <row r="54" ht="21.0" customHeight="1">
      <c r="A54" s="216"/>
      <c r="B54" s="111"/>
      <c r="C54" s="111"/>
      <c r="D54" s="111"/>
      <c r="E54" s="217"/>
      <c r="F54" s="218"/>
      <c r="G54" s="219"/>
      <c r="H54" s="219"/>
      <c r="I54" s="220"/>
      <c r="J54" s="220"/>
      <c r="K54" s="221"/>
      <c r="L54" s="222"/>
      <c r="M54" s="221"/>
      <c r="N54" s="218"/>
      <c r="O54" s="219"/>
      <c r="P54" s="111"/>
      <c r="Q54" s="223"/>
      <c r="R54" s="218"/>
      <c r="S54" s="111"/>
    </row>
    <row r="55" ht="21.0" customHeight="1">
      <c r="A55" s="216"/>
      <c r="B55" s="111"/>
      <c r="C55" s="111"/>
      <c r="D55" s="111"/>
      <c r="E55" s="217"/>
      <c r="F55" s="218"/>
      <c r="G55" s="219"/>
      <c r="H55" s="219"/>
      <c r="I55" s="220"/>
      <c r="J55" s="220"/>
      <c r="K55" s="221"/>
      <c r="L55" s="222"/>
      <c r="M55" s="221"/>
      <c r="N55" s="218"/>
      <c r="O55" s="219"/>
      <c r="P55" s="111"/>
      <c r="Q55" s="223"/>
      <c r="R55" s="218"/>
      <c r="S55" s="111"/>
    </row>
    <row r="56" ht="21.0" customHeight="1">
      <c r="A56" s="216"/>
      <c r="B56" s="111"/>
      <c r="C56" s="111"/>
      <c r="D56" s="111"/>
      <c r="E56" s="217"/>
      <c r="F56" s="218"/>
      <c r="G56" s="219"/>
      <c r="H56" s="219"/>
      <c r="I56" s="220"/>
      <c r="J56" s="220"/>
      <c r="K56" s="221"/>
      <c r="L56" s="222"/>
      <c r="M56" s="221"/>
      <c r="N56" s="218"/>
      <c r="O56" s="219"/>
      <c r="P56" s="111"/>
      <c r="Q56" s="223"/>
      <c r="R56" s="218"/>
      <c r="S56" s="111"/>
    </row>
    <row r="57" ht="21.0" customHeight="1">
      <c r="A57" s="216"/>
      <c r="B57" s="111"/>
      <c r="C57" s="111"/>
      <c r="D57" s="111"/>
      <c r="E57" s="217"/>
      <c r="F57" s="218"/>
      <c r="G57" s="219"/>
      <c r="H57" s="219"/>
      <c r="I57" s="220"/>
      <c r="J57" s="220"/>
      <c r="K57" s="221"/>
      <c r="L57" s="222"/>
      <c r="M57" s="221"/>
      <c r="N57" s="218"/>
      <c r="O57" s="219"/>
      <c r="P57" s="111"/>
      <c r="Q57" s="223"/>
      <c r="R57" s="218"/>
      <c r="S57" s="111"/>
    </row>
    <row r="58" ht="21.0" customHeight="1">
      <c r="A58" s="216"/>
      <c r="B58" s="111"/>
      <c r="C58" s="111"/>
      <c r="D58" s="111"/>
      <c r="E58" s="217"/>
      <c r="F58" s="218"/>
      <c r="G58" s="219"/>
      <c r="H58" s="219"/>
      <c r="I58" s="220"/>
      <c r="J58" s="220"/>
      <c r="K58" s="221"/>
      <c r="L58" s="222"/>
      <c r="M58" s="221"/>
      <c r="N58" s="218"/>
      <c r="O58" s="219"/>
      <c r="P58" s="111"/>
      <c r="Q58" s="223"/>
      <c r="R58" s="218"/>
      <c r="S58" s="111"/>
    </row>
    <row r="59" ht="21.0" customHeight="1">
      <c r="A59" s="216"/>
      <c r="B59" s="111"/>
      <c r="C59" s="111"/>
      <c r="D59" s="111"/>
      <c r="E59" s="217"/>
      <c r="F59" s="218"/>
      <c r="G59" s="219"/>
      <c r="H59" s="219"/>
      <c r="I59" s="220"/>
      <c r="J59" s="220"/>
      <c r="K59" s="221"/>
      <c r="L59" s="222"/>
      <c r="M59" s="221"/>
      <c r="N59" s="218"/>
      <c r="O59" s="219"/>
      <c r="P59" s="111"/>
      <c r="Q59" s="223"/>
      <c r="R59" s="218"/>
      <c r="S59" s="111"/>
    </row>
    <row r="60" ht="21.0" customHeight="1">
      <c r="A60" s="216"/>
      <c r="B60" s="111"/>
      <c r="C60" s="111"/>
      <c r="D60" s="111"/>
      <c r="E60" s="217"/>
      <c r="F60" s="218"/>
      <c r="G60" s="219"/>
      <c r="H60" s="219"/>
      <c r="I60" s="220"/>
      <c r="J60" s="220"/>
      <c r="K60" s="221"/>
      <c r="L60" s="222"/>
      <c r="M60" s="221"/>
      <c r="N60" s="218"/>
      <c r="O60" s="219"/>
      <c r="P60" s="111"/>
      <c r="Q60" s="223"/>
      <c r="R60" s="218"/>
      <c r="S60" s="111"/>
    </row>
    <row r="61" ht="21.0" customHeight="1">
      <c r="A61" s="216"/>
      <c r="B61" s="111"/>
      <c r="C61" s="111"/>
      <c r="D61" s="111"/>
      <c r="E61" s="217"/>
      <c r="F61" s="218"/>
      <c r="G61" s="219"/>
      <c r="H61" s="219"/>
      <c r="I61" s="220"/>
      <c r="J61" s="220"/>
      <c r="K61" s="221"/>
      <c r="L61" s="222"/>
      <c r="M61" s="221"/>
      <c r="N61" s="218"/>
      <c r="O61" s="219"/>
      <c r="P61" s="111"/>
      <c r="Q61" s="223"/>
      <c r="R61" s="218"/>
      <c r="S61" s="111"/>
    </row>
    <row r="62" ht="21.0" customHeight="1">
      <c r="A62" s="216"/>
      <c r="B62" s="111"/>
      <c r="C62" s="111"/>
      <c r="D62" s="111"/>
      <c r="E62" s="217"/>
      <c r="F62" s="218"/>
      <c r="G62" s="219"/>
      <c r="H62" s="219"/>
      <c r="I62" s="220"/>
      <c r="J62" s="220"/>
      <c r="K62" s="221"/>
      <c r="L62" s="222"/>
      <c r="M62" s="221"/>
      <c r="N62" s="218"/>
      <c r="O62" s="219"/>
      <c r="P62" s="111"/>
      <c r="Q62" s="223"/>
      <c r="R62" s="218"/>
      <c r="S62" s="111"/>
    </row>
    <row r="63" ht="21.0" customHeight="1">
      <c r="A63" s="216"/>
      <c r="B63" s="111"/>
      <c r="C63" s="111"/>
      <c r="D63" s="111"/>
      <c r="E63" s="217"/>
      <c r="F63" s="218"/>
      <c r="G63" s="219"/>
      <c r="H63" s="219"/>
      <c r="I63" s="220"/>
      <c r="J63" s="220"/>
      <c r="K63" s="221"/>
      <c r="L63" s="222"/>
      <c r="M63" s="221"/>
      <c r="N63" s="218"/>
      <c r="O63" s="219"/>
      <c r="P63" s="111"/>
      <c r="Q63" s="223"/>
      <c r="R63" s="218"/>
      <c r="S63" s="111"/>
    </row>
    <row r="64" ht="21.0" customHeight="1">
      <c r="A64" s="216"/>
      <c r="B64" s="111"/>
      <c r="C64" s="111"/>
      <c r="D64" s="111"/>
      <c r="E64" s="217"/>
      <c r="F64" s="218"/>
      <c r="G64" s="219"/>
      <c r="H64" s="219"/>
      <c r="I64" s="220"/>
      <c r="J64" s="220"/>
      <c r="K64" s="221"/>
      <c r="L64" s="222"/>
      <c r="M64" s="221"/>
      <c r="N64" s="218"/>
      <c r="O64" s="219"/>
      <c r="P64" s="111"/>
      <c r="Q64" s="223"/>
      <c r="R64" s="218"/>
      <c r="S64" s="111"/>
    </row>
    <row r="65" ht="21.0" customHeight="1">
      <c r="A65" s="216"/>
      <c r="B65" s="111"/>
      <c r="C65" s="111"/>
      <c r="D65" s="111"/>
      <c r="E65" s="217"/>
      <c r="F65" s="218"/>
      <c r="G65" s="219"/>
      <c r="H65" s="219"/>
      <c r="I65" s="220"/>
      <c r="J65" s="220"/>
      <c r="K65" s="221"/>
      <c r="L65" s="222"/>
      <c r="M65" s="221"/>
      <c r="N65" s="218"/>
      <c r="O65" s="219"/>
      <c r="P65" s="111"/>
      <c r="Q65" s="223"/>
      <c r="R65" s="218"/>
      <c r="S65" s="111"/>
    </row>
    <row r="66" ht="21.0" customHeight="1">
      <c r="A66" s="216"/>
      <c r="B66" s="111"/>
      <c r="C66" s="111"/>
      <c r="D66" s="111"/>
      <c r="E66" s="217"/>
      <c r="F66" s="218"/>
      <c r="G66" s="219"/>
      <c r="H66" s="219"/>
      <c r="I66" s="220"/>
      <c r="J66" s="220"/>
      <c r="K66" s="221"/>
      <c r="L66" s="222"/>
      <c r="M66" s="221"/>
      <c r="N66" s="218"/>
      <c r="O66" s="219"/>
      <c r="P66" s="111"/>
      <c r="Q66" s="223"/>
      <c r="R66" s="218"/>
      <c r="S66" s="111"/>
    </row>
    <row r="67" ht="21.0" customHeight="1">
      <c r="A67" s="216"/>
      <c r="B67" s="111"/>
      <c r="C67" s="111"/>
      <c r="D67" s="111"/>
      <c r="E67" s="217"/>
      <c r="F67" s="218"/>
      <c r="G67" s="219"/>
      <c r="H67" s="219"/>
      <c r="I67" s="220"/>
      <c r="J67" s="220"/>
      <c r="K67" s="221"/>
      <c r="L67" s="222"/>
      <c r="M67" s="221"/>
      <c r="N67" s="218"/>
      <c r="O67" s="219"/>
      <c r="P67" s="111"/>
      <c r="Q67" s="223"/>
      <c r="R67" s="218"/>
      <c r="S67" s="111"/>
    </row>
    <row r="68" ht="21.0" customHeight="1">
      <c r="A68" s="216"/>
      <c r="B68" s="111"/>
      <c r="C68" s="111"/>
      <c r="D68" s="111"/>
      <c r="E68" s="217"/>
      <c r="F68" s="218"/>
      <c r="G68" s="219"/>
      <c r="H68" s="219"/>
      <c r="I68" s="220"/>
      <c r="J68" s="220"/>
      <c r="K68" s="221"/>
      <c r="L68" s="222"/>
      <c r="M68" s="221"/>
      <c r="N68" s="218"/>
      <c r="O68" s="219"/>
      <c r="P68" s="111"/>
      <c r="Q68" s="223"/>
      <c r="R68" s="218"/>
      <c r="S68" s="111"/>
    </row>
    <row r="69" ht="21.0" customHeight="1">
      <c r="A69" s="216"/>
      <c r="B69" s="111"/>
      <c r="C69" s="111"/>
      <c r="D69" s="111"/>
      <c r="E69" s="217"/>
      <c r="F69" s="218"/>
      <c r="G69" s="219"/>
      <c r="H69" s="219"/>
      <c r="I69" s="220"/>
      <c r="J69" s="220"/>
      <c r="K69" s="221"/>
      <c r="L69" s="222"/>
      <c r="M69" s="221"/>
      <c r="N69" s="218"/>
      <c r="O69" s="219"/>
      <c r="P69" s="111"/>
      <c r="Q69" s="223"/>
      <c r="R69" s="218"/>
      <c r="S69" s="111"/>
    </row>
    <row r="70" ht="21.0" customHeight="1">
      <c r="A70" s="216"/>
      <c r="B70" s="111"/>
      <c r="C70" s="111"/>
      <c r="D70" s="111"/>
      <c r="E70" s="217"/>
      <c r="F70" s="218"/>
      <c r="G70" s="219"/>
      <c r="H70" s="219"/>
      <c r="I70" s="220"/>
      <c r="J70" s="220"/>
      <c r="K70" s="221"/>
      <c r="L70" s="222"/>
      <c r="M70" s="221"/>
      <c r="N70" s="218"/>
      <c r="O70" s="219"/>
      <c r="P70" s="111"/>
      <c r="Q70" s="223"/>
      <c r="R70" s="218"/>
      <c r="S70" s="111"/>
    </row>
    <row r="71" ht="21.0" customHeight="1">
      <c r="A71" s="216"/>
      <c r="B71" s="111"/>
      <c r="C71" s="111"/>
      <c r="D71" s="111"/>
      <c r="E71" s="217"/>
      <c r="F71" s="218"/>
      <c r="G71" s="219"/>
      <c r="H71" s="219"/>
      <c r="I71" s="220"/>
      <c r="J71" s="220"/>
      <c r="K71" s="221"/>
      <c r="L71" s="222"/>
      <c r="M71" s="221"/>
      <c r="N71" s="218"/>
      <c r="O71" s="219"/>
      <c r="P71" s="111"/>
      <c r="Q71" s="223"/>
      <c r="R71" s="218"/>
      <c r="S71" s="111"/>
    </row>
    <row r="72" ht="21.0" customHeight="1">
      <c r="A72" s="216"/>
      <c r="B72" s="111"/>
      <c r="C72" s="111"/>
      <c r="D72" s="111"/>
      <c r="E72" s="217"/>
      <c r="F72" s="218"/>
      <c r="G72" s="219"/>
      <c r="H72" s="219"/>
      <c r="I72" s="220"/>
      <c r="J72" s="220"/>
      <c r="K72" s="221"/>
      <c r="L72" s="222"/>
      <c r="M72" s="221"/>
      <c r="N72" s="218"/>
      <c r="O72" s="219"/>
      <c r="P72" s="111"/>
      <c r="Q72" s="223"/>
      <c r="R72" s="218"/>
      <c r="S72" s="111"/>
    </row>
    <row r="73" ht="21.0" customHeight="1">
      <c r="A73" s="216"/>
      <c r="B73" s="111"/>
      <c r="C73" s="111"/>
      <c r="D73" s="111"/>
      <c r="E73" s="217"/>
      <c r="F73" s="218"/>
      <c r="G73" s="219"/>
      <c r="H73" s="219"/>
      <c r="I73" s="220"/>
      <c r="J73" s="220"/>
      <c r="K73" s="221"/>
      <c r="L73" s="222"/>
      <c r="M73" s="221"/>
      <c r="N73" s="218"/>
      <c r="O73" s="219"/>
      <c r="P73" s="111"/>
      <c r="Q73" s="223"/>
      <c r="R73" s="218"/>
      <c r="S73" s="111"/>
    </row>
    <row r="74" ht="21.0" customHeight="1">
      <c r="A74" s="216"/>
      <c r="B74" s="111"/>
      <c r="C74" s="111"/>
      <c r="D74" s="111"/>
      <c r="E74" s="217"/>
      <c r="F74" s="218"/>
      <c r="G74" s="219"/>
      <c r="H74" s="219"/>
      <c r="I74" s="220"/>
      <c r="J74" s="220"/>
      <c r="K74" s="221"/>
      <c r="L74" s="222"/>
      <c r="M74" s="221"/>
      <c r="N74" s="218"/>
      <c r="O74" s="219"/>
      <c r="P74" s="111"/>
      <c r="Q74" s="223"/>
      <c r="R74" s="218"/>
      <c r="S74" s="111"/>
    </row>
    <row r="75" ht="21.0" customHeight="1">
      <c r="A75" s="216"/>
      <c r="B75" s="111"/>
      <c r="C75" s="111"/>
      <c r="D75" s="111"/>
      <c r="E75" s="217"/>
      <c r="F75" s="218"/>
      <c r="G75" s="219"/>
      <c r="H75" s="219"/>
      <c r="I75" s="220"/>
      <c r="J75" s="220"/>
      <c r="K75" s="221"/>
      <c r="L75" s="222"/>
      <c r="M75" s="221"/>
      <c r="N75" s="218"/>
      <c r="O75" s="219"/>
      <c r="P75" s="111"/>
      <c r="Q75" s="223"/>
      <c r="R75" s="218"/>
      <c r="S75" s="111"/>
    </row>
    <row r="76" ht="21.0" customHeight="1">
      <c r="A76" s="216"/>
      <c r="B76" s="111"/>
      <c r="C76" s="111"/>
      <c r="D76" s="111"/>
      <c r="E76" s="217"/>
      <c r="F76" s="218"/>
      <c r="G76" s="219"/>
      <c r="H76" s="219"/>
      <c r="I76" s="220"/>
      <c r="J76" s="220"/>
      <c r="K76" s="221"/>
      <c r="L76" s="222"/>
      <c r="M76" s="221"/>
      <c r="N76" s="218"/>
      <c r="O76" s="219"/>
      <c r="P76" s="111"/>
      <c r="Q76" s="223"/>
      <c r="R76" s="218"/>
      <c r="S76" s="111"/>
    </row>
    <row r="77" ht="21.0" customHeight="1">
      <c r="A77" s="216"/>
      <c r="B77" s="111"/>
      <c r="C77" s="111"/>
      <c r="D77" s="111"/>
      <c r="E77" s="217"/>
      <c r="F77" s="218"/>
      <c r="G77" s="219"/>
      <c r="H77" s="219"/>
      <c r="I77" s="220"/>
      <c r="J77" s="220"/>
      <c r="K77" s="221"/>
      <c r="L77" s="222"/>
      <c r="M77" s="221"/>
      <c r="N77" s="218"/>
      <c r="O77" s="219"/>
      <c r="P77" s="111"/>
      <c r="Q77" s="223"/>
      <c r="R77" s="218"/>
      <c r="S77" s="111"/>
    </row>
    <row r="78" ht="21.0" customHeight="1">
      <c r="A78" s="216"/>
      <c r="B78" s="111"/>
      <c r="C78" s="111"/>
      <c r="D78" s="111"/>
      <c r="E78" s="217"/>
      <c r="F78" s="218"/>
      <c r="G78" s="219"/>
      <c r="H78" s="219"/>
      <c r="I78" s="220"/>
      <c r="J78" s="220"/>
      <c r="K78" s="221"/>
      <c r="L78" s="222"/>
      <c r="M78" s="221"/>
      <c r="N78" s="218"/>
      <c r="O78" s="219"/>
      <c r="P78" s="111"/>
      <c r="Q78" s="223"/>
      <c r="R78" s="218"/>
      <c r="S78" s="111"/>
    </row>
    <row r="79" ht="21.0" customHeight="1">
      <c r="A79" s="216"/>
      <c r="B79" s="111"/>
      <c r="C79" s="111"/>
      <c r="D79" s="111"/>
      <c r="E79" s="217"/>
      <c r="F79" s="218"/>
      <c r="G79" s="219"/>
      <c r="H79" s="219"/>
      <c r="I79" s="220"/>
      <c r="J79" s="220"/>
      <c r="K79" s="221"/>
      <c r="L79" s="222"/>
      <c r="M79" s="221"/>
      <c r="N79" s="218"/>
      <c r="O79" s="219"/>
      <c r="P79" s="111"/>
      <c r="Q79" s="223"/>
      <c r="R79" s="218"/>
      <c r="S79" s="111"/>
    </row>
    <row r="80" ht="21.0" customHeight="1">
      <c r="A80" s="216"/>
      <c r="B80" s="111"/>
      <c r="C80" s="111"/>
      <c r="D80" s="111"/>
      <c r="E80" s="217"/>
      <c r="F80" s="218"/>
      <c r="G80" s="219"/>
      <c r="H80" s="219"/>
      <c r="I80" s="220"/>
      <c r="J80" s="220"/>
      <c r="K80" s="221"/>
      <c r="L80" s="222"/>
      <c r="M80" s="221"/>
      <c r="N80" s="218"/>
      <c r="O80" s="219"/>
      <c r="P80" s="111"/>
      <c r="Q80" s="223"/>
      <c r="R80" s="218"/>
      <c r="S80" s="111"/>
    </row>
    <row r="81" ht="21.0" customHeight="1">
      <c r="A81" s="216"/>
      <c r="B81" s="111"/>
      <c r="C81" s="111"/>
      <c r="D81" s="111"/>
      <c r="E81" s="217"/>
      <c r="F81" s="218"/>
      <c r="G81" s="219"/>
      <c r="H81" s="219"/>
      <c r="I81" s="220"/>
      <c r="J81" s="220"/>
      <c r="K81" s="221"/>
      <c r="L81" s="222"/>
      <c r="M81" s="221"/>
      <c r="N81" s="218"/>
      <c r="O81" s="219"/>
      <c r="P81" s="111"/>
      <c r="Q81" s="223"/>
      <c r="R81" s="218"/>
      <c r="S81" s="111"/>
    </row>
    <row r="82" ht="21.0" customHeight="1">
      <c r="A82" s="216"/>
      <c r="B82" s="111"/>
      <c r="C82" s="111"/>
      <c r="D82" s="111"/>
      <c r="E82" s="217"/>
      <c r="F82" s="218"/>
      <c r="G82" s="219"/>
      <c r="H82" s="219"/>
      <c r="I82" s="220"/>
      <c r="J82" s="220"/>
      <c r="K82" s="221"/>
      <c r="L82" s="222"/>
      <c r="M82" s="221"/>
      <c r="N82" s="218"/>
      <c r="O82" s="219"/>
      <c r="P82" s="111"/>
      <c r="Q82" s="223"/>
      <c r="R82" s="218"/>
      <c r="S82" s="111"/>
    </row>
    <row r="83" ht="21.0" customHeight="1">
      <c r="A83" s="216"/>
      <c r="B83" s="111"/>
      <c r="C83" s="111"/>
      <c r="D83" s="111"/>
      <c r="E83" s="217"/>
      <c r="F83" s="218"/>
      <c r="G83" s="219"/>
      <c r="H83" s="219"/>
      <c r="I83" s="220"/>
      <c r="J83" s="220"/>
      <c r="K83" s="221"/>
      <c r="L83" s="222"/>
      <c r="M83" s="221"/>
      <c r="N83" s="218"/>
      <c r="O83" s="219"/>
      <c r="P83" s="111"/>
      <c r="Q83" s="223"/>
      <c r="R83" s="218"/>
      <c r="S83" s="111"/>
    </row>
    <row r="84" ht="21.0" customHeight="1">
      <c r="A84" s="216"/>
      <c r="B84" s="111"/>
      <c r="C84" s="111"/>
      <c r="D84" s="111"/>
      <c r="E84" s="217"/>
      <c r="F84" s="218"/>
      <c r="G84" s="219"/>
      <c r="H84" s="219"/>
      <c r="I84" s="220"/>
      <c r="J84" s="220"/>
      <c r="K84" s="221"/>
      <c r="L84" s="222"/>
      <c r="M84" s="221"/>
      <c r="N84" s="218"/>
      <c r="O84" s="219"/>
      <c r="P84" s="111"/>
      <c r="Q84" s="223"/>
      <c r="R84" s="218"/>
      <c r="S84" s="111"/>
    </row>
    <row r="85" ht="21.0" customHeight="1">
      <c r="A85" s="216"/>
      <c r="B85" s="111"/>
      <c r="C85" s="111"/>
      <c r="D85" s="111"/>
      <c r="E85" s="217"/>
      <c r="F85" s="218"/>
      <c r="G85" s="219"/>
      <c r="H85" s="219"/>
      <c r="I85" s="220"/>
      <c r="J85" s="220"/>
      <c r="K85" s="221"/>
      <c r="L85" s="222"/>
      <c r="M85" s="221"/>
      <c r="N85" s="218"/>
      <c r="O85" s="219"/>
      <c r="P85" s="111"/>
      <c r="Q85" s="223"/>
      <c r="R85" s="218"/>
      <c r="S85" s="111"/>
    </row>
    <row r="86" ht="21.0" customHeight="1">
      <c r="A86" s="216"/>
      <c r="B86" s="111"/>
      <c r="C86" s="111"/>
      <c r="D86" s="111"/>
      <c r="E86" s="217"/>
      <c r="F86" s="218"/>
      <c r="G86" s="219"/>
      <c r="H86" s="219"/>
      <c r="I86" s="220"/>
      <c r="J86" s="220"/>
      <c r="K86" s="221"/>
      <c r="L86" s="222"/>
      <c r="M86" s="221"/>
      <c r="N86" s="218"/>
      <c r="O86" s="219"/>
      <c r="P86" s="111"/>
      <c r="Q86" s="223"/>
      <c r="R86" s="218"/>
      <c r="S86" s="111"/>
    </row>
    <row r="87" ht="21.0" customHeight="1">
      <c r="A87" s="216"/>
      <c r="B87" s="111"/>
      <c r="C87" s="111"/>
      <c r="D87" s="111"/>
      <c r="E87" s="217"/>
      <c r="F87" s="218"/>
      <c r="G87" s="219"/>
      <c r="H87" s="219"/>
      <c r="I87" s="220"/>
      <c r="J87" s="220"/>
      <c r="K87" s="221"/>
      <c r="L87" s="222"/>
      <c r="M87" s="221"/>
      <c r="N87" s="218"/>
      <c r="O87" s="219"/>
      <c r="P87" s="111"/>
      <c r="Q87" s="223"/>
      <c r="R87" s="218"/>
      <c r="S87" s="111"/>
    </row>
    <row r="88" ht="21.0" customHeight="1">
      <c r="A88" s="216"/>
      <c r="B88" s="111"/>
      <c r="C88" s="111"/>
      <c r="D88" s="111"/>
      <c r="E88" s="217"/>
      <c r="F88" s="218"/>
      <c r="G88" s="219"/>
      <c r="H88" s="219"/>
      <c r="I88" s="220"/>
      <c r="J88" s="220"/>
      <c r="K88" s="221"/>
      <c r="L88" s="222"/>
      <c r="M88" s="221"/>
      <c r="N88" s="218"/>
      <c r="O88" s="219"/>
      <c r="P88" s="111"/>
      <c r="Q88" s="223"/>
      <c r="R88" s="218"/>
      <c r="S88" s="111"/>
    </row>
    <row r="89" ht="21.0" customHeight="1">
      <c r="A89" s="216"/>
      <c r="B89" s="111"/>
      <c r="C89" s="111"/>
      <c r="D89" s="111"/>
      <c r="E89" s="217"/>
      <c r="F89" s="218"/>
      <c r="G89" s="219"/>
      <c r="H89" s="219"/>
      <c r="I89" s="220"/>
      <c r="J89" s="220"/>
      <c r="K89" s="221"/>
      <c r="L89" s="222"/>
      <c r="M89" s="221"/>
      <c r="N89" s="218"/>
      <c r="O89" s="219"/>
      <c r="P89" s="111"/>
      <c r="Q89" s="223"/>
      <c r="R89" s="218"/>
      <c r="S89" s="111"/>
    </row>
    <row r="90" ht="21.0" customHeight="1">
      <c r="A90" s="216"/>
      <c r="B90" s="111"/>
      <c r="C90" s="111"/>
      <c r="D90" s="111"/>
      <c r="E90" s="217"/>
      <c r="F90" s="218"/>
      <c r="G90" s="219"/>
      <c r="H90" s="219"/>
      <c r="I90" s="220"/>
      <c r="J90" s="220"/>
      <c r="K90" s="221"/>
      <c r="L90" s="222"/>
      <c r="M90" s="221"/>
      <c r="N90" s="218"/>
      <c r="O90" s="219"/>
      <c r="P90" s="111"/>
      <c r="Q90" s="223"/>
      <c r="R90" s="218"/>
      <c r="S90" s="111"/>
    </row>
    <row r="91" ht="21.0" customHeight="1">
      <c r="A91" s="216"/>
      <c r="B91" s="111"/>
      <c r="C91" s="111"/>
      <c r="D91" s="111"/>
      <c r="E91" s="217"/>
      <c r="F91" s="218"/>
      <c r="G91" s="219"/>
      <c r="H91" s="219"/>
      <c r="I91" s="220"/>
      <c r="J91" s="220"/>
      <c r="K91" s="221"/>
      <c r="L91" s="222"/>
      <c r="M91" s="221"/>
      <c r="N91" s="218"/>
      <c r="O91" s="219"/>
      <c r="P91" s="111"/>
      <c r="Q91" s="223"/>
      <c r="R91" s="218"/>
      <c r="S91" s="111"/>
    </row>
    <row r="92" ht="21.0" customHeight="1">
      <c r="A92" s="216"/>
      <c r="B92" s="111"/>
      <c r="C92" s="111"/>
      <c r="D92" s="111"/>
      <c r="E92" s="217"/>
      <c r="F92" s="218"/>
      <c r="G92" s="219"/>
      <c r="H92" s="219"/>
      <c r="I92" s="220"/>
      <c r="J92" s="220"/>
      <c r="K92" s="221"/>
      <c r="L92" s="222"/>
      <c r="M92" s="221"/>
      <c r="N92" s="218"/>
      <c r="O92" s="219"/>
      <c r="P92" s="111"/>
      <c r="Q92" s="223"/>
      <c r="R92" s="218"/>
      <c r="S92" s="111"/>
    </row>
    <row r="93" ht="21.0" customHeight="1">
      <c r="A93" s="216"/>
      <c r="B93" s="111"/>
      <c r="C93" s="111"/>
      <c r="D93" s="111"/>
      <c r="E93" s="217"/>
      <c r="F93" s="218"/>
      <c r="G93" s="219"/>
      <c r="H93" s="219"/>
      <c r="I93" s="220"/>
      <c r="J93" s="220"/>
      <c r="K93" s="221"/>
      <c r="L93" s="222"/>
      <c r="M93" s="221"/>
      <c r="N93" s="218"/>
      <c r="O93" s="219"/>
      <c r="P93" s="111"/>
      <c r="Q93" s="223"/>
      <c r="R93" s="218"/>
      <c r="S93" s="111"/>
    </row>
    <row r="94" ht="21.0" customHeight="1">
      <c r="A94" s="216"/>
      <c r="B94" s="111"/>
      <c r="C94" s="111"/>
      <c r="D94" s="111"/>
      <c r="E94" s="217"/>
      <c r="F94" s="218"/>
      <c r="G94" s="219"/>
      <c r="H94" s="219"/>
      <c r="I94" s="220"/>
      <c r="J94" s="220"/>
      <c r="K94" s="221"/>
      <c r="L94" s="222"/>
      <c r="M94" s="221"/>
      <c r="N94" s="218"/>
      <c r="O94" s="219"/>
      <c r="P94" s="111"/>
      <c r="Q94" s="223"/>
      <c r="R94" s="218"/>
      <c r="S94" s="111"/>
    </row>
    <row r="95" ht="21.0" customHeight="1">
      <c r="A95" s="216"/>
      <c r="B95" s="111"/>
      <c r="C95" s="111"/>
      <c r="D95" s="111"/>
      <c r="E95" s="217"/>
      <c r="F95" s="218"/>
      <c r="G95" s="219"/>
      <c r="H95" s="219"/>
      <c r="I95" s="220"/>
      <c r="J95" s="220"/>
      <c r="K95" s="221"/>
      <c r="L95" s="222"/>
      <c r="M95" s="221"/>
      <c r="N95" s="218"/>
      <c r="O95" s="219"/>
      <c r="P95" s="111"/>
      <c r="Q95" s="223"/>
      <c r="R95" s="218"/>
      <c r="S95" s="111"/>
    </row>
    <row r="96" ht="21.0" customHeight="1">
      <c r="A96" s="216"/>
      <c r="B96" s="111"/>
      <c r="C96" s="111"/>
      <c r="D96" s="111"/>
      <c r="E96" s="217"/>
      <c r="F96" s="218"/>
      <c r="G96" s="219"/>
      <c r="H96" s="219"/>
      <c r="I96" s="220"/>
      <c r="J96" s="220"/>
      <c r="K96" s="221"/>
      <c r="L96" s="222"/>
      <c r="M96" s="221"/>
      <c r="N96" s="218"/>
      <c r="O96" s="219"/>
      <c r="P96" s="111"/>
      <c r="Q96" s="223"/>
      <c r="R96" s="218"/>
      <c r="S96" s="111"/>
    </row>
    <row r="97" ht="21.0" customHeight="1">
      <c r="A97" s="216"/>
      <c r="B97" s="111"/>
      <c r="C97" s="111"/>
      <c r="D97" s="111"/>
      <c r="E97" s="217"/>
      <c r="F97" s="218"/>
      <c r="G97" s="219"/>
      <c r="H97" s="219"/>
      <c r="I97" s="220"/>
      <c r="J97" s="220"/>
      <c r="K97" s="221"/>
      <c r="L97" s="222"/>
      <c r="M97" s="221"/>
      <c r="N97" s="218"/>
      <c r="O97" s="219"/>
      <c r="P97" s="111"/>
      <c r="Q97" s="223"/>
      <c r="R97" s="218"/>
      <c r="S97" s="111"/>
    </row>
    <row r="98" ht="21.0" customHeight="1">
      <c r="A98" s="216"/>
      <c r="B98" s="111"/>
      <c r="C98" s="111"/>
      <c r="D98" s="111"/>
      <c r="E98" s="217"/>
      <c r="F98" s="218"/>
      <c r="G98" s="219"/>
      <c r="H98" s="219"/>
      <c r="I98" s="220"/>
      <c r="J98" s="220"/>
      <c r="K98" s="221"/>
      <c r="L98" s="222"/>
      <c r="M98" s="221"/>
      <c r="N98" s="218"/>
      <c r="O98" s="219"/>
      <c r="P98" s="111"/>
      <c r="Q98" s="223"/>
      <c r="R98" s="218"/>
      <c r="S98" s="111"/>
    </row>
    <row r="99" ht="21.0" customHeight="1">
      <c r="A99" s="216"/>
      <c r="B99" s="111"/>
      <c r="C99" s="111"/>
      <c r="D99" s="111"/>
      <c r="E99" s="217"/>
      <c r="F99" s="218"/>
      <c r="G99" s="219"/>
      <c r="H99" s="219"/>
      <c r="I99" s="220"/>
      <c r="J99" s="220"/>
      <c r="K99" s="221"/>
      <c r="L99" s="222"/>
      <c r="M99" s="221"/>
      <c r="N99" s="218"/>
      <c r="O99" s="219"/>
      <c r="P99" s="111"/>
      <c r="Q99" s="223"/>
      <c r="R99" s="218"/>
      <c r="S99" s="111"/>
    </row>
    <row r="100" ht="21.0" customHeight="1">
      <c r="A100" s="216"/>
      <c r="B100" s="111"/>
      <c r="C100" s="111"/>
      <c r="D100" s="111"/>
      <c r="E100" s="217"/>
      <c r="F100" s="218"/>
      <c r="G100" s="219"/>
      <c r="H100" s="219"/>
      <c r="I100" s="220"/>
      <c r="J100" s="220"/>
      <c r="K100" s="221"/>
      <c r="L100" s="222"/>
      <c r="M100" s="221"/>
      <c r="N100" s="218"/>
      <c r="O100" s="219"/>
      <c r="P100" s="111"/>
      <c r="Q100" s="223"/>
      <c r="R100" s="218"/>
      <c r="S100" s="111"/>
    </row>
    <row r="101" ht="21.0" customHeight="1">
      <c r="A101" s="216"/>
      <c r="B101" s="111"/>
      <c r="C101" s="111"/>
      <c r="D101" s="111"/>
      <c r="E101" s="217"/>
      <c r="F101" s="218"/>
      <c r="G101" s="219"/>
      <c r="H101" s="219"/>
      <c r="I101" s="220"/>
      <c r="J101" s="220"/>
      <c r="K101" s="221"/>
      <c r="L101" s="222"/>
      <c r="M101" s="221"/>
      <c r="N101" s="218"/>
      <c r="O101" s="219"/>
      <c r="P101" s="111"/>
      <c r="Q101" s="223"/>
      <c r="R101" s="218"/>
      <c r="S101" s="111"/>
    </row>
    <row r="102" ht="21.0" customHeight="1">
      <c r="A102" s="216"/>
      <c r="B102" s="111"/>
      <c r="C102" s="111"/>
      <c r="D102" s="111"/>
      <c r="E102" s="217"/>
      <c r="F102" s="218"/>
      <c r="G102" s="219"/>
      <c r="H102" s="219"/>
      <c r="I102" s="220"/>
      <c r="J102" s="220"/>
      <c r="K102" s="221"/>
      <c r="L102" s="222"/>
      <c r="M102" s="221"/>
      <c r="N102" s="218"/>
      <c r="O102" s="219"/>
      <c r="P102" s="111"/>
      <c r="Q102" s="223"/>
      <c r="R102" s="218"/>
      <c r="S102" s="111"/>
    </row>
    <row r="103" ht="21.0" customHeight="1">
      <c r="A103" s="216"/>
      <c r="B103" s="111"/>
      <c r="C103" s="111"/>
      <c r="D103" s="111"/>
      <c r="E103" s="217"/>
      <c r="F103" s="218"/>
      <c r="G103" s="219"/>
      <c r="H103" s="219"/>
      <c r="I103" s="220"/>
      <c r="J103" s="220"/>
      <c r="K103" s="221"/>
      <c r="L103" s="222"/>
      <c r="M103" s="221"/>
      <c r="N103" s="218"/>
      <c r="O103" s="219"/>
      <c r="P103" s="111"/>
      <c r="Q103" s="223"/>
      <c r="R103" s="218"/>
      <c r="S103" s="111"/>
    </row>
    <row r="104" ht="21.0" customHeight="1">
      <c r="A104" s="216"/>
      <c r="B104" s="111"/>
      <c r="C104" s="111"/>
      <c r="D104" s="111"/>
      <c r="E104" s="217"/>
      <c r="F104" s="218"/>
      <c r="G104" s="219"/>
      <c r="H104" s="219"/>
      <c r="I104" s="220"/>
      <c r="J104" s="220"/>
      <c r="K104" s="221"/>
      <c r="L104" s="222"/>
      <c r="M104" s="221"/>
      <c r="N104" s="218"/>
      <c r="O104" s="219"/>
      <c r="P104" s="111"/>
      <c r="Q104" s="223"/>
      <c r="R104" s="218"/>
      <c r="S104" s="111"/>
    </row>
    <row r="105" ht="21.0" customHeight="1">
      <c r="A105" s="216"/>
      <c r="B105" s="111"/>
      <c r="C105" s="111"/>
      <c r="D105" s="111"/>
      <c r="E105" s="217"/>
      <c r="F105" s="218"/>
      <c r="G105" s="219"/>
      <c r="H105" s="219"/>
      <c r="I105" s="220"/>
      <c r="J105" s="220"/>
      <c r="K105" s="221"/>
      <c r="L105" s="222"/>
      <c r="M105" s="221"/>
      <c r="N105" s="218"/>
      <c r="O105" s="219"/>
      <c r="P105" s="111"/>
      <c r="Q105" s="223"/>
      <c r="R105" s="218"/>
      <c r="S105" s="111"/>
    </row>
    <row r="106" ht="21.0" customHeight="1">
      <c r="A106" s="216"/>
      <c r="B106" s="111"/>
      <c r="C106" s="111"/>
      <c r="D106" s="111"/>
      <c r="E106" s="217"/>
      <c r="F106" s="218"/>
      <c r="G106" s="219"/>
      <c r="H106" s="219"/>
      <c r="I106" s="220"/>
      <c r="J106" s="220"/>
      <c r="K106" s="221"/>
      <c r="L106" s="222"/>
      <c r="M106" s="221"/>
      <c r="N106" s="218"/>
      <c r="O106" s="219"/>
      <c r="P106" s="111"/>
      <c r="Q106" s="223"/>
      <c r="R106" s="218"/>
      <c r="S106" s="111"/>
    </row>
    <row r="107" ht="21.0" customHeight="1">
      <c r="A107" s="216"/>
      <c r="B107" s="111"/>
      <c r="C107" s="111"/>
      <c r="D107" s="111"/>
      <c r="E107" s="217"/>
      <c r="F107" s="218"/>
      <c r="G107" s="219"/>
      <c r="H107" s="219"/>
      <c r="I107" s="220"/>
      <c r="J107" s="220"/>
      <c r="K107" s="221"/>
      <c r="L107" s="222"/>
      <c r="M107" s="221"/>
      <c r="N107" s="218"/>
      <c r="O107" s="219"/>
      <c r="P107" s="111"/>
      <c r="Q107" s="223"/>
      <c r="R107" s="218"/>
      <c r="S107" s="111"/>
    </row>
    <row r="108" ht="21.0" customHeight="1">
      <c r="A108" s="216"/>
      <c r="B108" s="111"/>
      <c r="C108" s="111"/>
      <c r="D108" s="111"/>
      <c r="E108" s="217"/>
      <c r="F108" s="218"/>
      <c r="G108" s="219"/>
      <c r="H108" s="219"/>
      <c r="I108" s="220"/>
      <c r="J108" s="220"/>
      <c r="K108" s="221"/>
      <c r="L108" s="222"/>
      <c r="M108" s="221"/>
      <c r="N108" s="218"/>
      <c r="O108" s="219"/>
      <c r="P108" s="111"/>
      <c r="Q108" s="223"/>
      <c r="R108" s="218"/>
      <c r="S108" s="111"/>
    </row>
    <row r="109" ht="21.0" customHeight="1">
      <c r="A109" s="216"/>
      <c r="B109" s="111"/>
      <c r="C109" s="111"/>
      <c r="D109" s="111"/>
      <c r="E109" s="217"/>
      <c r="F109" s="218"/>
      <c r="G109" s="219"/>
      <c r="H109" s="219"/>
      <c r="I109" s="220"/>
      <c r="J109" s="220"/>
      <c r="K109" s="221"/>
      <c r="L109" s="222"/>
      <c r="M109" s="221"/>
      <c r="N109" s="218"/>
      <c r="O109" s="219"/>
      <c r="P109" s="111"/>
      <c r="Q109" s="223"/>
      <c r="R109" s="218"/>
      <c r="S109" s="111"/>
    </row>
    <row r="110" ht="21.0" customHeight="1">
      <c r="A110" s="216"/>
      <c r="B110" s="111"/>
      <c r="C110" s="111"/>
      <c r="D110" s="111"/>
      <c r="E110" s="217"/>
      <c r="F110" s="218"/>
      <c r="G110" s="219"/>
      <c r="H110" s="219"/>
      <c r="I110" s="220"/>
      <c r="J110" s="220"/>
      <c r="K110" s="221"/>
      <c r="L110" s="222"/>
      <c r="M110" s="221"/>
      <c r="N110" s="218"/>
      <c r="O110" s="219"/>
      <c r="P110" s="111"/>
      <c r="Q110" s="223"/>
      <c r="R110" s="218"/>
      <c r="S110" s="111"/>
    </row>
    <row r="111" ht="21.0" customHeight="1">
      <c r="A111" s="216"/>
      <c r="B111" s="111"/>
      <c r="C111" s="111"/>
      <c r="D111" s="111"/>
      <c r="E111" s="217"/>
      <c r="F111" s="218"/>
      <c r="G111" s="219"/>
      <c r="H111" s="219"/>
      <c r="I111" s="220"/>
      <c r="J111" s="220"/>
      <c r="K111" s="221"/>
      <c r="L111" s="222"/>
      <c r="M111" s="221"/>
      <c r="N111" s="218"/>
      <c r="O111" s="219"/>
      <c r="P111" s="111"/>
      <c r="Q111" s="223"/>
      <c r="R111" s="218"/>
      <c r="S111" s="111"/>
    </row>
    <row r="112" ht="21.0" customHeight="1">
      <c r="A112" s="216"/>
      <c r="B112" s="111"/>
      <c r="C112" s="111"/>
      <c r="D112" s="111"/>
      <c r="E112" s="217"/>
      <c r="F112" s="218"/>
      <c r="G112" s="219"/>
      <c r="H112" s="219"/>
      <c r="I112" s="220"/>
      <c r="J112" s="220"/>
      <c r="K112" s="221"/>
      <c r="L112" s="222"/>
      <c r="M112" s="221"/>
      <c r="N112" s="218"/>
      <c r="O112" s="219"/>
      <c r="P112" s="111"/>
      <c r="Q112" s="223"/>
      <c r="R112" s="218"/>
      <c r="S112" s="111"/>
    </row>
    <row r="113" ht="21.0" customHeight="1">
      <c r="A113" s="216"/>
      <c r="B113" s="111"/>
      <c r="C113" s="111"/>
      <c r="D113" s="111"/>
      <c r="E113" s="217"/>
      <c r="F113" s="218"/>
      <c r="G113" s="219"/>
      <c r="H113" s="219"/>
      <c r="I113" s="220"/>
      <c r="J113" s="220"/>
      <c r="K113" s="221"/>
      <c r="L113" s="222"/>
      <c r="M113" s="221"/>
      <c r="N113" s="218"/>
      <c r="O113" s="219"/>
      <c r="P113" s="111"/>
      <c r="Q113" s="223"/>
      <c r="R113" s="218"/>
      <c r="S113" s="111"/>
    </row>
    <row r="114" ht="21.0" customHeight="1">
      <c r="A114" s="216"/>
      <c r="B114" s="111"/>
      <c r="C114" s="111"/>
      <c r="D114" s="111"/>
      <c r="E114" s="217"/>
      <c r="F114" s="218"/>
      <c r="G114" s="219"/>
      <c r="H114" s="219"/>
      <c r="I114" s="220"/>
      <c r="J114" s="220"/>
      <c r="K114" s="221"/>
      <c r="L114" s="222"/>
      <c r="M114" s="221"/>
      <c r="N114" s="218"/>
      <c r="O114" s="219"/>
      <c r="P114" s="111"/>
      <c r="Q114" s="223"/>
      <c r="R114" s="218"/>
      <c r="S114" s="111"/>
    </row>
    <row r="115" ht="21.0" customHeight="1">
      <c r="A115" s="216"/>
      <c r="B115" s="111"/>
      <c r="C115" s="111"/>
      <c r="D115" s="111"/>
      <c r="E115" s="217"/>
      <c r="F115" s="218"/>
      <c r="G115" s="219"/>
      <c r="H115" s="219"/>
      <c r="I115" s="220"/>
      <c r="J115" s="220"/>
      <c r="K115" s="221"/>
      <c r="L115" s="222"/>
      <c r="M115" s="221"/>
      <c r="N115" s="218"/>
      <c r="O115" s="219"/>
      <c r="P115" s="111"/>
      <c r="Q115" s="223"/>
      <c r="R115" s="218"/>
      <c r="S115" s="111"/>
    </row>
    <row r="116" ht="21.0" customHeight="1">
      <c r="A116" s="216"/>
      <c r="B116" s="111"/>
      <c r="C116" s="111"/>
      <c r="D116" s="111"/>
      <c r="E116" s="217"/>
      <c r="F116" s="218"/>
      <c r="G116" s="219"/>
      <c r="H116" s="219"/>
      <c r="I116" s="220"/>
      <c r="J116" s="220"/>
      <c r="K116" s="221"/>
      <c r="L116" s="222"/>
      <c r="M116" s="221"/>
      <c r="N116" s="218"/>
      <c r="O116" s="219"/>
      <c r="P116" s="111"/>
      <c r="Q116" s="223"/>
      <c r="R116" s="218"/>
      <c r="S116" s="111"/>
    </row>
    <row r="117" ht="21.0" customHeight="1">
      <c r="A117" s="216"/>
      <c r="B117" s="111"/>
      <c r="C117" s="111"/>
      <c r="D117" s="111"/>
      <c r="E117" s="217"/>
      <c r="F117" s="218"/>
      <c r="G117" s="219"/>
      <c r="H117" s="219"/>
      <c r="I117" s="220"/>
      <c r="J117" s="220"/>
      <c r="K117" s="221"/>
      <c r="L117" s="222"/>
      <c r="M117" s="221"/>
      <c r="N117" s="218"/>
      <c r="O117" s="219"/>
      <c r="P117" s="111"/>
      <c r="Q117" s="223"/>
      <c r="R117" s="218"/>
      <c r="S117" s="111"/>
    </row>
    <row r="118" ht="21.0" customHeight="1">
      <c r="A118" s="216"/>
      <c r="B118" s="111"/>
      <c r="C118" s="111"/>
      <c r="D118" s="111"/>
      <c r="E118" s="217"/>
      <c r="F118" s="218"/>
      <c r="G118" s="219"/>
      <c r="H118" s="219"/>
      <c r="I118" s="220"/>
      <c r="J118" s="220"/>
      <c r="K118" s="221"/>
      <c r="L118" s="222"/>
      <c r="M118" s="221"/>
      <c r="N118" s="218"/>
      <c r="O118" s="219"/>
      <c r="P118" s="111"/>
      <c r="Q118" s="223"/>
      <c r="R118" s="218"/>
      <c r="S118" s="111"/>
    </row>
    <row r="119" ht="21.0" customHeight="1">
      <c r="A119" s="216"/>
      <c r="B119" s="111"/>
      <c r="C119" s="111"/>
      <c r="D119" s="111"/>
      <c r="E119" s="217"/>
      <c r="F119" s="218"/>
      <c r="G119" s="219"/>
      <c r="H119" s="219"/>
      <c r="I119" s="220"/>
      <c r="J119" s="220"/>
      <c r="K119" s="221"/>
      <c r="L119" s="222"/>
      <c r="M119" s="221"/>
      <c r="N119" s="218"/>
      <c r="O119" s="219"/>
      <c r="P119" s="111"/>
      <c r="Q119" s="223"/>
      <c r="R119" s="218"/>
      <c r="S119" s="111"/>
    </row>
    <row r="120" ht="21.0" customHeight="1">
      <c r="A120" s="216"/>
      <c r="B120" s="111"/>
      <c r="C120" s="111"/>
      <c r="D120" s="111"/>
      <c r="E120" s="217"/>
      <c r="F120" s="218"/>
      <c r="G120" s="219"/>
      <c r="H120" s="219"/>
      <c r="I120" s="220"/>
      <c r="J120" s="220"/>
      <c r="K120" s="221"/>
      <c r="L120" s="222"/>
      <c r="M120" s="221"/>
      <c r="N120" s="218"/>
      <c r="O120" s="219"/>
      <c r="P120" s="111"/>
      <c r="Q120" s="223"/>
      <c r="R120" s="218"/>
      <c r="S120" s="111"/>
    </row>
    <row r="121" ht="21.0" customHeight="1">
      <c r="A121" s="216"/>
      <c r="B121" s="111"/>
      <c r="C121" s="111"/>
      <c r="D121" s="111"/>
      <c r="E121" s="217"/>
      <c r="F121" s="218"/>
      <c r="G121" s="219"/>
      <c r="H121" s="219"/>
      <c r="I121" s="220"/>
      <c r="J121" s="220"/>
      <c r="K121" s="221"/>
      <c r="L121" s="222"/>
      <c r="M121" s="221"/>
      <c r="N121" s="218"/>
      <c r="O121" s="219"/>
      <c r="P121" s="111"/>
      <c r="Q121" s="223"/>
      <c r="R121" s="218"/>
      <c r="S121" s="111"/>
    </row>
    <row r="122" ht="21.0" customHeight="1">
      <c r="A122" s="216"/>
      <c r="B122" s="111"/>
      <c r="C122" s="111"/>
      <c r="D122" s="111"/>
      <c r="E122" s="217"/>
      <c r="F122" s="218"/>
      <c r="G122" s="219"/>
      <c r="H122" s="219"/>
      <c r="I122" s="220"/>
      <c r="J122" s="220"/>
      <c r="K122" s="221"/>
      <c r="L122" s="222"/>
      <c r="M122" s="221"/>
      <c r="N122" s="218"/>
      <c r="O122" s="219"/>
      <c r="P122" s="111"/>
      <c r="Q122" s="223"/>
      <c r="R122" s="218"/>
      <c r="S122" s="111"/>
    </row>
    <row r="123" ht="21.0" customHeight="1">
      <c r="A123" s="216"/>
      <c r="B123" s="111"/>
      <c r="C123" s="111"/>
      <c r="D123" s="111"/>
      <c r="E123" s="217"/>
      <c r="F123" s="218"/>
      <c r="G123" s="219"/>
      <c r="H123" s="219"/>
      <c r="I123" s="220"/>
      <c r="J123" s="220"/>
      <c r="K123" s="221"/>
      <c r="L123" s="222"/>
      <c r="M123" s="221"/>
      <c r="N123" s="218"/>
      <c r="O123" s="219"/>
      <c r="P123" s="111"/>
      <c r="Q123" s="223"/>
      <c r="R123" s="218"/>
      <c r="S123" s="111"/>
    </row>
    <row r="124" ht="21.0" customHeight="1">
      <c r="A124" s="216"/>
      <c r="B124" s="111"/>
      <c r="C124" s="111"/>
      <c r="D124" s="111"/>
      <c r="E124" s="217"/>
      <c r="F124" s="218"/>
      <c r="G124" s="219"/>
      <c r="H124" s="219"/>
      <c r="I124" s="220"/>
      <c r="J124" s="220"/>
      <c r="K124" s="221"/>
      <c r="L124" s="222"/>
      <c r="M124" s="221"/>
      <c r="N124" s="218"/>
      <c r="O124" s="219"/>
      <c r="P124" s="111"/>
      <c r="Q124" s="223"/>
      <c r="R124" s="218"/>
      <c r="S124" s="111"/>
    </row>
    <row r="125" ht="21.0" customHeight="1">
      <c r="A125" s="216"/>
      <c r="B125" s="111"/>
      <c r="C125" s="111"/>
      <c r="D125" s="111"/>
      <c r="E125" s="217"/>
      <c r="F125" s="218"/>
      <c r="G125" s="219"/>
      <c r="H125" s="219"/>
      <c r="I125" s="220"/>
      <c r="J125" s="220"/>
      <c r="K125" s="221"/>
      <c r="L125" s="222"/>
      <c r="M125" s="221"/>
      <c r="N125" s="218"/>
      <c r="O125" s="219"/>
      <c r="P125" s="111"/>
      <c r="Q125" s="223"/>
      <c r="R125" s="218"/>
      <c r="S125" s="111"/>
    </row>
    <row r="126" ht="21.0" customHeight="1">
      <c r="A126" s="216"/>
      <c r="B126" s="111"/>
      <c r="C126" s="111"/>
      <c r="D126" s="111"/>
      <c r="E126" s="217"/>
      <c r="F126" s="218"/>
      <c r="G126" s="219"/>
      <c r="H126" s="219"/>
      <c r="I126" s="220"/>
      <c r="J126" s="220"/>
      <c r="K126" s="221"/>
      <c r="L126" s="222"/>
      <c r="M126" s="221"/>
      <c r="N126" s="218"/>
      <c r="O126" s="219"/>
      <c r="P126" s="111"/>
      <c r="Q126" s="223"/>
      <c r="R126" s="218"/>
      <c r="S126" s="111"/>
    </row>
    <row r="127" ht="21.0" customHeight="1">
      <c r="A127" s="216"/>
      <c r="B127" s="111"/>
      <c r="C127" s="111"/>
      <c r="D127" s="111"/>
      <c r="E127" s="217"/>
      <c r="F127" s="218"/>
      <c r="G127" s="219"/>
      <c r="H127" s="219"/>
      <c r="I127" s="220"/>
      <c r="J127" s="220"/>
      <c r="K127" s="221"/>
      <c r="L127" s="222"/>
      <c r="M127" s="221"/>
      <c r="N127" s="218"/>
      <c r="O127" s="219"/>
      <c r="P127" s="111"/>
      <c r="Q127" s="223"/>
      <c r="R127" s="218"/>
      <c r="S127" s="111"/>
    </row>
    <row r="128" ht="21.0" customHeight="1">
      <c r="A128" s="216"/>
      <c r="B128" s="111"/>
      <c r="C128" s="111"/>
      <c r="D128" s="111"/>
      <c r="E128" s="217"/>
      <c r="F128" s="218"/>
      <c r="G128" s="219"/>
      <c r="H128" s="219"/>
      <c r="I128" s="220"/>
      <c r="J128" s="220"/>
      <c r="K128" s="221"/>
      <c r="L128" s="222"/>
      <c r="M128" s="221"/>
      <c r="N128" s="218"/>
      <c r="O128" s="219"/>
      <c r="P128" s="111"/>
      <c r="Q128" s="223"/>
      <c r="R128" s="218"/>
      <c r="S128" s="111"/>
    </row>
    <row r="129" ht="21.0" customHeight="1">
      <c r="A129" s="216"/>
      <c r="B129" s="111"/>
      <c r="C129" s="111"/>
      <c r="D129" s="111"/>
      <c r="E129" s="217"/>
      <c r="F129" s="218"/>
      <c r="G129" s="219"/>
      <c r="H129" s="219"/>
      <c r="I129" s="220"/>
      <c r="J129" s="220"/>
      <c r="K129" s="221"/>
      <c r="L129" s="222"/>
      <c r="M129" s="221"/>
      <c r="N129" s="218"/>
      <c r="O129" s="219"/>
      <c r="P129" s="111"/>
      <c r="Q129" s="223"/>
      <c r="R129" s="218"/>
      <c r="S129" s="111"/>
    </row>
    <row r="130" ht="21.0" customHeight="1">
      <c r="A130" s="216"/>
      <c r="B130" s="111"/>
      <c r="C130" s="111"/>
      <c r="D130" s="111"/>
      <c r="E130" s="217"/>
      <c r="F130" s="218"/>
      <c r="G130" s="219"/>
      <c r="H130" s="219"/>
      <c r="I130" s="220"/>
      <c r="J130" s="220"/>
      <c r="K130" s="221"/>
      <c r="L130" s="222"/>
      <c r="M130" s="221"/>
      <c r="N130" s="218"/>
      <c r="O130" s="219"/>
      <c r="P130" s="111"/>
      <c r="Q130" s="223"/>
      <c r="R130" s="218"/>
      <c r="S130" s="111"/>
    </row>
    <row r="131" ht="21.0" customHeight="1">
      <c r="A131" s="216"/>
      <c r="B131" s="111"/>
      <c r="C131" s="111"/>
      <c r="D131" s="111"/>
      <c r="E131" s="217"/>
      <c r="F131" s="218"/>
      <c r="G131" s="219"/>
      <c r="H131" s="219"/>
      <c r="I131" s="220"/>
      <c r="J131" s="220"/>
      <c r="K131" s="221"/>
      <c r="L131" s="222"/>
      <c r="M131" s="221"/>
      <c r="N131" s="218"/>
      <c r="O131" s="219"/>
      <c r="P131" s="111"/>
      <c r="Q131" s="223"/>
      <c r="R131" s="218"/>
      <c r="S131" s="111"/>
    </row>
    <row r="132" ht="21.0" customHeight="1">
      <c r="A132" s="216"/>
      <c r="B132" s="111"/>
      <c r="C132" s="111"/>
      <c r="D132" s="111"/>
      <c r="E132" s="217"/>
      <c r="F132" s="218"/>
      <c r="G132" s="219"/>
      <c r="H132" s="219"/>
      <c r="I132" s="220"/>
      <c r="J132" s="220"/>
      <c r="K132" s="221"/>
      <c r="L132" s="222"/>
      <c r="M132" s="221"/>
      <c r="N132" s="218"/>
      <c r="O132" s="219"/>
      <c r="P132" s="111"/>
      <c r="Q132" s="223"/>
      <c r="R132" s="218"/>
      <c r="S132" s="111"/>
    </row>
    <row r="133" ht="21.0" customHeight="1">
      <c r="A133" s="216"/>
      <c r="B133" s="111"/>
      <c r="C133" s="111"/>
      <c r="D133" s="111"/>
      <c r="E133" s="217"/>
      <c r="F133" s="218"/>
      <c r="G133" s="219"/>
      <c r="H133" s="219"/>
      <c r="I133" s="220"/>
      <c r="J133" s="220"/>
      <c r="K133" s="221"/>
      <c r="L133" s="222"/>
      <c r="M133" s="221"/>
      <c r="N133" s="218"/>
      <c r="O133" s="219"/>
      <c r="P133" s="111"/>
      <c r="Q133" s="223"/>
      <c r="R133" s="218"/>
      <c r="S133" s="111"/>
    </row>
    <row r="134" ht="21.0" customHeight="1">
      <c r="A134" s="216"/>
      <c r="B134" s="111"/>
      <c r="C134" s="111"/>
      <c r="D134" s="111"/>
      <c r="E134" s="217"/>
      <c r="F134" s="218"/>
      <c r="G134" s="219"/>
      <c r="H134" s="219"/>
      <c r="I134" s="220"/>
      <c r="J134" s="220"/>
      <c r="K134" s="221"/>
      <c r="L134" s="222"/>
      <c r="M134" s="221"/>
      <c r="N134" s="218"/>
      <c r="O134" s="219"/>
      <c r="P134" s="111"/>
      <c r="Q134" s="223"/>
      <c r="R134" s="218"/>
      <c r="S134" s="111"/>
    </row>
    <row r="135" ht="21.0" customHeight="1">
      <c r="A135" s="216"/>
      <c r="B135" s="111"/>
      <c r="C135" s="111"/>
      <c r="D135" s="111"/>
      <c r="E135" s="217"/>
      <c r="F135" s="218"/>
      <c r="G135" s="219"/>
      <c r="H135" s="219"/>
      <c r="I135" s="220"/>
      <c r="J135" s="220"/>
      <c r="K135" s="221"/>
      <c r="L135" s="222"/>
      <c r="M135" s="221"/>
      <c r="N135" s="218"/>
      <c r="O135" s="219"/>
      <c r="P135" s="111"/>
      <c r="Q135" s="223"/>
      <c r="R135" s="218"/>
      <c r="S135" s="111"/>
    </row>
    <row r="136" ht="21.0" customHeight="1">
      <c r="A136" s="216"/>
      <c r="B136" s="111"/>
      <c r="C136" s="111"/>
      <c r="D136" s="111"/>
      <c r="E136" s="217"/>
      <c r="F136" s="218"/>
      <c r="G136" s="219"/>
      <c r="H136" s="219"/>
      <c r="I136" s="220"/>
      <c r="J136" s="220"/>
      <c r="K136" s="221"/>
      <c r="L136" s="222"/>
      <c r="M136" s="221"/>
      <c r="N136" s="218"/>
      <c r="O136" s="219"/>
      <c r="P136" s="111"/>
      <c r="Q136" s="223"/>
      <c r="R136" s="218"/>
      <c r="S136" s="111"/>
    </row>
    <row r="137" ht="21.0" customHeight="1">
      <c r="A137" s="216"/>
      <c r="B137" s="111"/>
      <c r="C137" s="111"/>
      <c r="D137" s="111"/>
      <c r="E137" s="217"/>
      <c r="F137" s="218"/>
      <c r="G137" s="219"/>
      <c r="H137" s="219"/>
      <c r="I137" s="220"/>
      <c r="J137" s="220"/>
      <c r="K137" s="221"/>
      <c r="L137" s="222"/>
      <c r="M137" s="221"/>
      <c r="N137" s="218"/>
      <c r="O137" s="219"/>
      <c r="P137" s="111"/>
      <c r="Q137" s="223"/>
      <c r="R137" s="218"/>
      <c r="S137" s="111"/>
    </row>
    <row r="138" ht="21.0" customHeight="1">
      <c r="A138" s="216"/>
      <c r="B138" s="111"/>
      <c r="C138" s="111"/>
      <c r="D138" s="111"/>
      <c r="E138" s="217"/>
      <c r="F138" s="218"/>
      <c r="G138" s="219"/>
      <c r="H138" s="219"/>
      <c r="I138" s="220"/>
      <c r="J138" s="220"/>
      <c r="K138" s="221"/>
      <c r="L138" s="222"/>
      <c r="M138" s="221"/>
      <c r="N138" s="218"/>
      <c r="O138" s="219"/>
      <c r="P138" s="111"/>
      <c r="Q138" s="223"/>
      <c r="R138" s="218"/>
      <c r="S138" s="111"/>
    </row>
    <row r="139" ht="21.0" customHeight="1">
      <c r="A139" s="216"/>
      <c r="B139" s="111"/>
      <c r="C139" s="111"/>
      <c r="D139" s="111"/>
      <c r="E139" s="217"/>
      <c r="F139" s="218"/>
      <c r="G139" s="219"/>
      <c r="H139" s="219"/>
      <c r="I139" s="220"/>
      <c r="J139" s="220"/>
      <c r="K139" s="221"/>
      <c r="L139" s="222"/>
      <c r="M139" s="221"/>
      <c r="N139" s="218"/>
      <c r="O139" s="219"/>
      <c r="P139" s="111"/>
      <c r="Q139" s="223"/>
      <c r="R139" s="218"/>
      <c r="S139" s="111"/>
    </row>
    <row r="140" ht="21.0" customHeight="1">
      <c r="A140" s="216"/>
      <c r="B140" s="111"/>
      <c r="C140" s="111"/>
      <c r="D140" s="111"/>
      <c r="E140" s="217"/>
      <c r="F140" s="218"/>
      <c r="G140" s="219"/>
      <c r="H140" s="219"/>
      <c r="I140" s="220"/>
      <c r="J140" s="220"/>
      <c r="K140" s="221"/>
      <c r="L140" s="222"/>
      <c r="M140" s="221"/>
      <c r="N140" s="218"/>
      <c r="O140" s="219"/>
      <c r="P140" s="111"/>
      <c r="Q140" s="223"/>
      <c r="R140" s="218"/>
      <c r="S140" s="111"/>
    </row>
    <row r="141" ht="21.0" customHeight="1">
      <c r="A141" s="216"/>
      <c r="B141" s="111"/>
      <c r="C141" s="111"/>
      <c r="D141" s="111"/>
      <c r="E141" s="217"/>
      <c r="F141" s="218"/>
      <c r="G141" s="219"/>
      <c r="H141" s="219"/>
      <c r="I141" s="220"/>
      <c r="J141" s="220"/>
      <c r="K141" s="221"/>
      <c r="L141" s="222"/>
      <c r="M141" s="221"/>
      <c r="N141" s="218"/>
      <c r="O141" s="219"/>
      <c r="P141" s="111"/>
      <c r="Q141" s="223"/>
      <c r="R141" s="218"/>
      <c r="S141" s="111"/>
    </row>
    <row r="142" ht="21.0" customHeight="1">
      <c r="A142" s="216"/>
      <c r="B142" s="111"/>
      <c r="C142" s="111"/>
      <c r="D142" s="111"/>
      <c r="E142" s="217"/>
      <c r="F142" s="218"/>
      <c r="G142" s="219"/>
      <c r="H142" s="219"/>
      <c r="I142" s="220"/>
      <c r="J142" s="220"/>
      <c r="K142" s="221"/>
      <c r="L142" s="222"/>
      <c r="M142" s="221"/>
      <c r="N142" s="218"/>
      <c r="O142" s="219"/>
      <c r="P142" s="111"/>
      <c r="Q142" s="223"/>
      <c r="R142" s="218"/>
      <c r="S142" s="111"/>
    </row>
    <row r="143" ht="21.0" customHeight="1">
      <c r="A143" s="216"/>
      <c r="B143" s="111"/>
      <c r="C143" s="111"/>
      <c r="D143" s="111"/>
      <c r="E143" s="217"/>
      <c r="F143" s="218"/>
      <c r="G143" s="219"/>
      <c r="H143" s="219"/>
      <c r="I143" s="220"/>
      <c r="J143" s="220"/>
      <c r="K143" s="221"/>
      <c r="L143" s="222"/>
      <c r="M143" s="221"/>
      <c r="N143" s="218"/>
      <c r="O143" s="219"/>
      <c r="P143" s="111"/>
      <c r="Q143" s="223"/>
      <c r="R143" s="218"/>
      <c r="S143" s="111"/>
    </row>
    <row r="144" ht="21.0" customHeight="1">
      <c r="A144" s="216"/>
      <c r="B144" s="111"/>
      <c r="C144" s="111"/>
      <c r="D144" s="111"/>
      <c r="E144" s="217"/>
      <c r="F144" s="218"/>
      <c r="G144" s="219"/>
      <c r="H144" s="219"/>
      <c r="I144" s="220"/>
      <c r="J144" s="220"/>
      <c r="K144" s="221"/>
      <c r="L144" s="222"/>
      <c r="M144" s="221"/>
      <c r="N144" s="218"/>
      <c r="O144" s="219"/>
      <c r="P144" s="111"/>
      <c r="Q144" s="223"/>
      <c r="R144" s="218"/>
      <c r="S144" s="111"/>
    </row>
    <row r="145" ht="21.0" customHeight="1">
      <c r="A145" s="216"/>
      <c r="B145" s="111"/>
      <c r="C145" s="111"/>
      <c r="D145" s="111"/>
      <c r="E145" s="217"/>
      <c r="F145" s="218"/>
      <c r="G145" s="219"/>
      <c r="H145" s="219"/>
      <c r="I145" s="220"/>
      <c r="J145" s="220"/>
      <c r="K145" s="221"/>
      <c r="L145" s="222"/>
      <c r="M145" s="221"/>
      <c r="N145" s="218"/>
      <c r="O145" s="219"/>
      <c r="P145" s="111"/>
      <c r="Q145" s="223"/>
      <c r="R145" s="218"/>
      <c r="S145" s="111"/>
    </row>
    <row r="146" ht="21.0" customHeight="1">
      <c r="A146" s="216"/>
      <c r="B146" s="111"/>
      <c r="C146" s="111"/>
      <c r="D146" s="111"/>
      <c r="E146" s="217"/>
      <c r="F146" s="218"/>
      <c r="G146" s="219"/>
      <c r="H146" s="219"/>
      <c r="I146" s="220"/>
      <c r="J146" s="220"/>
      <c r="K146" s="221"/>
      <c r="L146" s="222"/>
      <c r="M146" s="221"/>
      <c r="N146" s="218"/>
      <c r="O146" s="219"/>
      <c r="P146" s="111"/>
      <c r="Q146" s="223"/>
      <c r="R146" s="218"/>
      <c r="S146" s="111"/>
    </row>
    <row r="147" ht="21.0" customHeight="1">
      <c r="A147" s="216"/>
      <c r="B147" s="111"/>
      <c r="C147" s="111"/>
      <c r="D147" s="111"/>
      <c r="E147" s="217"/>
      <c r="F147" s="218"/>
      <c r="G147" s="219"/>
      <c r="H147" s="219"/>
      <c r="I147" s="220"/>
      <c r="J147" s="220"/>
      <c r="K147" s="221"/>
      <c r="L147" s="222"/>
      <c r="M147" s="221"/>
      <c r="N147" s="218"/>
      <c r="O147" s="219"/>
      <c r="P147" s="111"/>
      <c r="Q147" s="223"/>
      <c r="R147" s="218"/>
      <c r="S147" s="111"/>
    </row>
    <row r="148" ht="21.0" customHeight="1">
      <c r="A148" s="216"/>
      <c r="B148" s="111"/>
      <c r="C148" s="111"/>
      <c r="D148" s="111"/>
      <c r="E148" s="217"/>
      <c r="F148" s="218"/>
      <c r="G148" s="219"/>
      <c r="H148" s="219"/>
      <c r="I148" s="220"/>
      <c r="J148" s="220"/>
      <c r="K148" s="221"/>
      <c r="L148" s="222"/>
      <c r="M148" s="221"/>
      <c r="N148" s="218"/>
      <c r="O148" s="219"/>
      <c r="P148" s="111"/>
      <c r="Q148" s="223"/>
      <c r="R148" s="218"/>
      <c r="S148" s="111"/>
    </row>
    <row r="149" ht="21.0" customHeight="1">
      <c r="A149" s="216"/>
      <c r="B149" s="111"/>
      <c r="C149" s="111"/>
      <c r="D149" s="111"/>
      <c r="E149" s="217"/>
      <c r="F149" s="218"/>
      <c r="G149" s="219"/>
      <c r="H149" s="219"/>
      <c r="I149" s="220"/>
      <c r="J149" s="220"/>
      <c r="K149" s="221"/>
      <c r="L149" s="222"/>
      <c r="M149" s="221"/>
      <c r="N149" s="218"/>
      <c r="O149" s="219"/>
      <c r="P149" s="111"/>
      <c r="Q149" s="223"/>
      <c r="R149" s="218"/>
      <c r="S149" s="111"/>
    </row>
    <row r="150" ht="21.0" customHeight="1">
      <c r="A150" s="216"/>
      <c r="B150" s="111"/>
      <c r="C150" s="111"/>
      <c r="D150" s="111"/>
      <c r="E150" s="217"/>
      <c r="F150" s="218"/>
      <c r="G150" s="219"/>
      <c r="H150" s="219"/>
      <c r="I150" s="220"/>
      <c r="J150" s="220"/>
      <c r="K150" s="221"/>
      <c r="L150" s="222"/>
      <c r="M150" s="221"/>
      <c r="N150" s="218"/>
      <c r="O150" s="219"/>
      <c r="P150" s="111"/>
      <c r="Q150" s="223"/>
      <c r="R150" s="218"/>
      <c r="S150" s="111"/>
    </row>
    <row r="151" ht="21.0" customHeight="1">
      <c r="A151" s="216"/>
      <c r="B151" s="111"/>
      <c r="C151" s="111"/>
      <c r="D151" s="111"/>
      <c r="E151" s="217"/>
      <c r="F151" s="218"/>
      <c r="G151" s="219"/>
      <c r="H151" s="219"/>
      <c r="I151" s="220"/>
      <c r="J151" s="220"/>
      <c r="K151" s="221"/>
      <c r="L151" s="222"/>
      <c r="M151" s="221"/>
      <c r="N151" s="218"/>
      <c r="O151" s="219"/>
      <c r="P151" s="111"/>
      <c r="Q151" s="223"/>
      <c r="R151" s="218"/>
      <c r="S151" s="111"/>
    </row>
    <row r="152" ht="21.0" customHeight="1">
      <c r="A152" s="216"/>
      <c r="B152" s="111"/>
      <c r="C152" s="111"/>
      <c r="D152" s="111"/>
      <c r="E152" s="217"/>
      <c r="F152" s="218"/>
      <c r="G152" s="219"/>
      <c r="H152" s="219"/>
      <c r="I152" s="220"/>
      <c r="J152" s="220"/>
      <c r="K152" s="221"/>
      <c r="L152" s="222"/>
      <c r="M152" s="221"/>
      <c r="N152" s="218"/>
      <c r="O152" s="219"/>
      <c r="P152" s="111"/>
      <c r="Q152" s="223"/>
      <c r="R152" s="218"/>
      <c r="S152" s="111"/>
    </row>
    <row r="153" ht="21.0" customHeight="1">
      <c r="A153" s="216"/>
      <c r="B153" s="111"/>
      <c r="C153" s="111"/>
      <c r="D153" s="111"/>
      <c r="E153" s="217"/>
      <c r="F153" s="218"/>
      <c r="G153" s="219"/>
      <c r="H153" s="219"/>
      <c r="I153" s="220"/>
      <c r="J153" s="220"/>
      <c r="K153" s="221"/>
      <c r="L153" s="222"/>
      <c r="M153" s="221"/>
      <c r="N153" s="218"/>
      <c r="O153" s="219"/>
      <c r="P153" s="111"/>
      <c r="Q153" s="223"/>
      <c r="R153" s="218"/>
      <c r="S153" s="111"/>
    </row>
    <row r="154" ht="21.0" customHeight="1">
      <c r="A154" s="216"/>
      <c r="B154" s="111"/>
      <c r="C154" s="111"/>
      <c r="D154" s="111"/>
      <c r="E154" s="217"/>
      <c r="F154" s="218"/>
      <c r="G154" s="219"/>
      <c r="H154" s="219"/>
      <c r="I154" s="220"/>
      <c r="J154" s="220"/>
      <c r="K154" s="221"/>
      <c r="L154" s="222"/>
      <c r="M154" s="221"/>
      <c r="N154" s="218"/>
      <c r="O154" s="219"/>
      <c r="P154" s="111"/>
      <c r="Q154" s="223"/>
      <c r="R154" s="218"/>
      <c r="S154" s="111"/>
    </row>
    <row r="155" ht="21.0" customHeight="1">
      <c r="A155" s="216"/>
      <c r="B155" s="111"/>
      <c r="C155" s="111"/>
      <c r="D155" s="111"/>
      <c r="E155" s="217"/>
      <c r="F155" s="218"/>
      <c r="G155" s="219"/>
      <c r="H155" s="219"/>
      <c r="I155" s="220"/>
      <c r="J155" s="220"/>
      <c r="K155" s="221"/>
      <c r="L155" s="222"/>
      <c r="M155" s="221"/>
      <c r="N155" s="218"/>
      <c r="O155" s="219"/>
      <c r="P155" s="111"/>
      <c r="Q155" s="223"/>
      <c r="R155" s="218"/>
      <c r="S155" s="111"/>
    </row>
    <row r="156" ht="21.0" customHeight="1">
      <c r="A156" s="216"/>
      <c r="B156" s="111"/>
      <c r="C156" s="111"/>
      <c r="D156" s="111"/>
      <c r="E156" s="217"/>
      <c r="F156" s="218"/>
      <c r="G156" s="219"/>
      <c r="H156" s="219"/>
      <c r="I156" s="220"/>
      <c r="J156" s="220"/>
      <c r="K156" s="221"/>
      <c r="L156" s="222"/>
      <c r="M156" s="221"/>
      <c r="N156" s="218"/>
      <c r="O156" s="219"/>
      <c r="P156" s="111"/>
      <c r="Q156" s="223"/>
      <c r="R156" s="218"/>
      <c r="S156" s="111"/>
    </row>
    <row r="157" ht="21.0" customHeight="1">
      <c r="A157" s="216"/>
      <c r="B157" s="111"/>
      <c r="C157" s="111"/>
      <c r="D157" s="111"/>
      <c r="E157" s="217"/>
      <c r="F157" s="218"/>
      <c r="G157" s="219"/>
      <c r="H157" s="219"/>
      <c r="I157" s="220"/>
      <c r="J157" s="220"/>
      <c r="K157" s="221"/>
      <c r="L157" s="222"/>
      <c r="M157" s="221"/>
      <c r="N157" s="218"/>
      <c r="O157" s="219"/>
      <c r="P157" s="111"/>
      <c r="Q157" s="223"/>
      <c r="R157" s="218"/>
      <c r="S157" s="111"/>
    </row>
    <row r="158" ht="21.0" customHeight="1">
      <c r="A158" s="216"/>
      <c r="B158" s="111"/>
      <c r="C158" s="111"/>
      <c r="D158" s="111"/>
      <c r="E158" s="217"/>
      <c r="F158" s="218"/>
      <c r="G158" s="219"/>
      <c r="H158" s="219"/>
      <c r="I158" s="220"/>
      <c r="J158" s="220"/>
      <c r="K158" s="221"/>
      <c r="L158" s="222"/>
      <c r="M158" s="221"/>
      <c r="N158" s="218"/>
      <c r="O158" s="219"/>
      <c r="P158" s="111"/>
      <c r="Q158" s="223"/>
      <c r="R158" s="218"/>
      <c r="S158" s="111"/>
    </row>
    <row r="159" ht="21.0" customHeight="1">
      <c r="A159" s="216"/>
      <c r="B159" s="111"/>
      <c r="C159" s="111"/>
      <c r="D159" s="111"/>
      <c r="E159" s="217"/>
      <c r="F159" s="218"/>
      <c r="G159" s="219"/>
      <c r="H159" s="219"/>
      <c r="I159" s="220"/>
      <c r="J159" s="220"/>
      <c r="K159" s="221"/>
      <c r="L159" s="222"/>
      <c r="M159" s="221"/>
      <c r="N159" s="218"/>
      <c r="O159" s="219"/>
      <c r="P159" s="111"/>
      <c r="Q159" s="223"/>
      <c r="R159" s="218"/>
      <c r="S159" s="111"/>
    </row>
    <row r="160" ht="21.0" customHeight="1">
      <c r="A160" s="216"/>
      <c r="B160" s="111"/>
      <c r="C160" s="111"/>
      <c r="D160" s="111"/>
      <c r="E160" s="217"/>
      <c r="F160" s="218"/>
      <c r="G160" s="219"/>
      <c r="H160" s="219"/>
      <c r="I160" s="220"/>
      <c r="J160" s="220"/>
      <c r="K160" s="221"/>
      <c r="L160" s="222"/>
      <c r="M160" s="221"/>
      <c r="N160" s="218"/>
      <c r="O160" s="219"/>
      <c r="P160" s="111"/>
      <c r="Q160" s="223"/>
      <c r="R160" s="218"/>
      <c r="S160" s="111"/>
    </row>
    <row r="161" ht="21.0" customHeight="1">
      <c r="A161" s="216"/>
      <c r="B161" s="111"/>
      <c r="C161" s="111"/>
      <c r="D161" s="111"/>
      <c r="E161" s="217"/>
      <c r="F161" s="218"/>
      <c r="G161" s="219"/>
      <c r="H161" s="219"/>
      <c r="I161" s="220"/>
      <c r="J161" s="220"/>
      <c r="K161" s="221"/>
      <c r="L161" s="222"/>
      <c r="M161" s="221"/>
      <c r="N161" s="218"/>
      <c r="O161" s="219"/>
      <c r="P161" s="111"/>
      <c r="Q161" s="223"/>
      <c r="R161" s="218"/>
      <c r="S161" s="111"/>
    </row>
    <row r="162" ht="21.0" customHeight="1">
      <c r="A162" s="216"/>
      <c r="B162" s="111"/>
      <c r="C162" s="111"/>
      <c r="D162" s="111"/>
      <c r="E162" s="217"/>
      <c r="F162" s="218"/>
      <c r="G162" s="219"/>
      <c r="H162" s="219"/>
      <c r="I162" s="220"/>
      <c r="J162" s="220"/>
      <c r="K162" s="221"/>
      <c r="L162" s="222"/>
      <c r="M162" s="221"/>
      <c r="N162" s="218"/>
      <c r="O162" s="219"/>
      <c r="P162" s="111"/>
      <c r="Q162" s="223"/>
      <c r="R162" s="218"/>
      <c r="S162" s="111"/>
    </row>
    <row r="163" ht="21.0" customHeight="1">
      <c r="A163" s="216"/>
      <c r="B163" s="111"/>
      <c r="C163" s="111"/>
      <c r="D163" s="111"/>
      <c r="E163" s="217"/>
      <c r="F163" s="218"/>
      <c r="G163" s="219"/>
      <c r="H163" s="219"/>
      <c r="I163" s="220"/>
      <c r="J163" s="220"/>
      <c r="K163" s="221"/>
      <c r="L163" s="222"/>
      <c r="M163" s="221"/>
      <c r="N163" s="218"/>
      <c r="O163" s="219"/>
      <c r="P163" s="111"/>
      <c r="Q163" s="223"/>
      <c r="R163" s="218"/>
      <c r="S163" s="111"/>
    </row>
    <row r="164" ht="21.0" customHeight="1">
      <c r="A164" s="216"/>
      <c r="B164" s="111"/>
      <c r="C164" s="111"/>
      <c r="D164" s="111"/>
      <c r="E164" s="217"/>
      <c r="F164" s="218"/>
      <c r="G164" s="219"/>
      <c r="H164" s="219"/>
      <c r="I164" s="220"/>
      <c r="J164" s="220"/>
      <c r="K164" s="221"/>
      <c r="L164" s="222"/>
      <c r="M164" s="221"/>
      <c r="N164" s="218"/>
      <c r="O164" s="219"/>
      <c r="P164" s="111"/>
      <c r="Q164" s="223"/>
      <c r="R164" s="218"/>
      <c r="S164" s="111"/>
    </row>
    <row r="165" ht="21.0" customHeight="1">
      <c r="A165" s="216"/>
      <c r="B165" s="111"/>
      <c r="C165" s="111"/>
      <c r="D165" s="111"/>
      <c r="E165" s="217"/>
      <c r="F165" s="218"/>
      <c r="G165" s="219"/>
      <c r="H165" s="219"/>
      <c r="I165" s="220"/>
      <c r="J165" s="220"/>
      <c r="K165" s="221"/>
      <c r="L165" s="222"/>
      <c r="M165" s="221"/>
      <c r="N165" s="218"/>
      <c r="O165" s="219"/>
      <c r="P165" s="111"/>
      <c r="Q165" s="223"/>
      <c r="R165" s="218"/>
      <c r="S165" s="111"/>
    </row>
    <row r="166" ht="21.0" customHeight="1">
      <c r="A166" s="216"/>
      <c r="B166" s="111"/>
      <c r="C166" s="111"/>
      <c r="D166" s="111"/>
      <c r="E166" s="217"/>
      <c r="F166" s="218"/>
      <c r="G166" s="219"/>
      <c r="H166" s="219"/>
      <c r="I166" s="220"/>
      <c r="J166" s="220"/>
      <c r="K166" s="221"/>
      <c r="L166" s="222"/>
      <c r="M166" s="221"/>
      <c r="N166" s="218"/>
      <c r="O166" s="219"/>
      <c r="P166" s="111"/>
      <c r="Q166" s="223"/>
      <c r="R166" s="218"/>
      <c r="S166" s="111"/>
    </row>
    <row r="167" ht="21.0" customHeight="1">
      <c r="A167" s="216"/>
      <c r="B167" s="111"/>
      <c r="C167" s="111"/>
      <c r="D167" s="111"/>
      <c r="E167" s="217"/>
      <c r="F167" s="218"/>
      <c r="G167" s="219"/>
      <c r="H167" s="219"/>
      <c r="I167" s="220"/>
      <c r="J167" s="220"/>
      <c r="K167" s="221"/>
      <c r="L167" s="222"/>
      <c r="M167" s="221"/>
      <c r="N167" s="218"/>
      <c r="O167" s="219"/>
      <c r="P167" s="111"/>
      <c r="Q167" s="223"/>
      <c r="R167" s="218"/>
      <c r="S167" s="111"/>
    </row>
    <row r="168" ht="21.0" customHeight="1">
      <c r="A168" s="216"/>
      <c r="B168" s="111"/>
      <c r="C168" s="111"/>
      <c r="D168" s="111"/>
      <c r="E168" s="217"/>
      <c r="F168" s="218"/>
      <c r="G168" s="219"/>
      <c r="H168" s="219"/>
      <c r="I168" s="220"/>
      <c r="J168" s="220"/>
      <c r="K168" s="221"/>
      <c r="L168" s="222"/>
      <c r="M168" s="221"/>
      <c r="N168" s="218"/>
      <c r="O168" s="219"/>
      <c r="P168" s="111"/>
      <c r="Q168" s="223"/>
      <c r="R168" s="218"/>
      <c r="S168" s="111"/>
    </row>
    <row r="169" ht="21.0" customHeight="1">
      <c r="A169" s="216"/>
      <c r="B169" s="111"/>
      <c r="C169" s="111"/>
      <c r="D169" s="111"/>
      <c r="E169" s="217"/>
      <c r="F169" s="218"/>
      <c r="G169" s="219"/>
      <c r="H169" s="219"/>
      <c r="I169" s="220"/>
      <c r="J169" s="220"/>
      <c r="K169" s="221"/>
      <c r="L169" s="222"/>
      <c r="M169" s="221"/>
      <c r="N169" s="218"/>
      <c r="O169" s="219"/>
      <c r="P169" s="111"/>
      <c r="Q169" s="223"/>
      <c r="R169" s="218"/>
      <c r="S169" s="111"/>
    </row>
    <row r="170" ht="21.0" customHeight="1">
      <c r="A170" s="216"/>
      <c r="B170" s="111"/>
      <c r="C170" s="111"/>
      <c r="D170" s="111"/>
      <c r="E170" s="217"/>
      <c r="F170" s="218"/>
      <c r="G170" s="219"/>
      <c r="H170" s="219"/>
      <c r="I170" s="220"/>
      <c r="J170" s="220"/>
      <c r="K170" s="221"/>
      <c r="L170" s="222"/>
      <c r="M170" s="221"/>
      <c r="N170" s="218"/>
      <c r="O170" s="219"/>
      <c r="P170" s="111"/>
      <c r="Q170" s="223"/>
      <c r="R170" s="218"/>
      <c r="S170" s="111"/>
    </row>
    <row r="171" ht="21.0" customHeight="1">
      <c r="A171" s="216"/>
      <c r="B171" s="111"/>
      <c r="C171" s="111"/>
      <c r="D171" s="111"/>
      <c r="E171" s="217"/>
      <c r="F171" s="218"/>
      <c r="G171" s="219"/>
      <c r="H171" s="219"/>
      <c r="I171" s="220"/>
      <c r="J171" s="220"/>
      <c r="K171" s="221"/>
      <c r="L171" s="222"/>
      <c r="M171" s="221"/>
      <c r="N171" s="218"/>
      <c r="O171" s="219"/>
      <c r="P171" s="111"/>
      <c r="Q171" s="223"/>
      <c r="R171" s="218"/>
      <c r="S171" s="111"/>
    </row>
    <row r="172" ht="21.0" customHeight="1">
      <c r="A172" s="216"/>
      <c r="B172" s="111"/>
      <c r="C172" s="111"/>
      <c r="D172" s="111"/>
      <c r="E172" s="217"/>
      <c r="F172" s="218"/>
      <c r="G172" s="219"/>
      <c r="H172" s="219"/>
      <c r="I172" s="220"/>
      <c r="J172" s="220"/>
      <c r="K172" s="221"/>
      <c r="L172" s="222"/>
      <c r="M172" s="221"/>
      <c r="N172" s="218"/>
      <c r="O172" s="219"/>
      <c r="P172" s="111"/>
      <c r="Q172" s="223"/>
      <c r="R172" s="218"/>
      <c r="S172" s="111"/>
    </row>
    <row r="173" ht="21.0" customHeight="1">
      <c r="A173" s="216"/>
      <c r="B173" s="111"/>
      <c r="C173" s="111"/>
      <c r="D173" s="111"/>
      <c r="E173" s="217"/>
      <c r="F173" s="218"/>
      <c r="G173" s="219"/>
      <c r="H173" s="219"/>
      <c r="I173" s="220"/>
      <c r="J173" s="220"/>
      <c r="K173" s="221"/>
      <c r="L173" s="222"/>
      <c r="M173" s="221"/>
      <c r="N173" s="218"/>
      <c r="O173" s="219"/>
      <c r="P173" s="111"/>
      <c r="Q173" s="223"/>
      <c r="R173" s="218"/>
      <c r="S173" s="111"/>
    </row>
    <row r="174" ht="21.0" customHeight="1">
      <c r="A174" s="216"/>
      <c r="B174" s="111"/>
      <c r="C174" s="111"/>
      <c r="D174" s="111"/>
      <c r="E174" s="217"/>
      <c r="F174" s="218"/>
      <c r="G174" s="219"/>
      <c r="H174" s="219"/>
      <c r="I174" s="220"/>
      <c r="J174" s="220"/>
      <c r="K174" s="221"/>
      <c r="L174" s="222"/>
      <c r="M174" s="221"/>
      <c r="N174" s="218"/>
      <c r="O174" s="219"/>
      <c r="P174" s="111"/>
      <c r="Q174" s="223"/>
      <c r="R174" s="218"/>
      <c r="S174" s="111"/>
    </row>
    <row r="175" ht="21.0" customHeight="1">
      <c r="A175" s="216"/>
      <c r="B175" s="111"/>
      <c r="C175" s="111"/>
      <c r="D175" s="111"/>
      <c r="E175" s="217"/>
      <c r="F175" s="218"/>
      <c r="G175" s="219"/>
      <c r="H175" s="219"/>
      <c r="I175" s="220"/>
      <c r="J175" s="220"/>
      <c r="K175" s="221"/>
      <c r="L175" s="222"/>
      <c r="M175" s="221"/>
      <c r="N175" s="218"/>
      <c r="O175" s="219"/>
      <c r="P175" s="111"/>
      <c r="Q175" s="223"/>
      <c r="R175" s="218"/>
      <c r="S175" s="111"/>
    </row>
    <row r="176" ht="21.0" customHeight="1">
      <c r="A176" s="216"/>
      <c r="B176" s="111"/>
      <c r="C176" s="111"/>
      <c r="D176" s="111"/>
      <c r="E176" s="217"/>
      <c r="F176" s="218"/>
      <c r="G176" s="219"/>
      <c r="H176" s="219"/>
      <c r="I176" s="220"/>
      <c r="J176" s="220"/>
      <c r="K176" s="221"/>
      <c r="L176" s="222"/>
      <c r="M176" s="221"/>
      <c r="N176" s="218"/>
      <c r="O176" s="219"/>
      <c r="P176" s="111"/>
      <c r="Q176" s="223"/>
      <c r="R176" s="218"/>
      <c r="S176" s="111"/>
    </row>
    <row r="177" ht="21.0" customHeight="1">
      <c r="A177" s="216"/>
      <c r="B177" s="111"/>
      <c r="C177" s="111"/>
      <c r="D177" s="111"/>
      <c r="E177" s="217"/>
      <c r="F177" s="218"/>
      <c r="G177" s="219"/>
      <c r="H177" s="219"/>
      <c r="I177" s="220"/>
      <c r="J177" s="220"/>
      <c r="K177" s="221"/>
      <c r="L177" s="222"/>
      <c r="M177" s="221"/>
      <c r="N177" s="218"/>
      <c r="O177" s="219"/>
      <c r="P177" s="111"/>
      <c r="Q177" s="223"/>
      <c r="R177" s="218"/>
      <c r="S177" s="111"/>
    </row>
    <row r="178" ht="21.0" customHeight="1">
      <c r="A178" s="216"/>
      <c r="B178" s="111"/>
      <c r="C178" s="111"/>
      <c r="D178" s="111"/>
      <c r="E178" s="217"/>
      <c r="F178" s="218"/>
      <c r="G178" s="219"/>
      <c r="H178" s="219"/>
      <c r="I178" s="220"/>
      <c r="J178" s="220"/>
      <c r="K178" s="221"/>
      <c r="L178" s="222"/>
      <c r="M178" s="221"/>
      <c r="N178" s="218"/>
      <c r="O178" s="219"/>
      <c r="P178" s="111"/>
      <c r="Q178" s="223"/>
      <c r="R178" s="218"/>
      <c r="S178" s="111"/>
    </row>
    <row r="179" ht="21.0" customHeight="1">
      <c r="A179" s="216"/>
      <c r="B179" s="111"/>
      <c r="C179" s="111"/>
      <c r="D179" s="111"/>
      <c r="E179" s="217"/>
      <c r="F179" s="218"/>
      <c r="G179" s="219"/>
      <c r="H179" s="219"/>
      <c r="I179" s="220"/>
      <c r="J179" s="220"/>
      <c r="K179" s="221"/>
      <c r="L179" s="222"/>
      <c r="M179" s="221"/>
      <c r="N179" s="218"/>
      <c r="O179" s="219"/>
      <c r="P179" s="111"/>
      <c r="Q179" s="223"/>
      <c r="R179" s="218"/>
      <c r="S179" s="111"/>
    </row>
    <row r="180" ht="21.0" customHeight="1">
      <c r="A180" s="216"/>
      <c r="B180" s="111"/>
      <c r="C180" s="111"/>
      <c r="D180" s="111"/>
      <c r="E180" s="217"/>
      <c r="F180" s="218"/>
      <c r="G180" s="219"/>
      <c r="H180" s="219"/>
      <c r="I180" s="220"/>
      <c r="J180" s="220"/>
      <c r="K180" s="221"/>
      <c r="L180" s="222"/>
      <c r="M180" s="221"/>
      <c r="N180" s="218"/>
      <c r="O180" s="219"/>
      <c r="P180" s="111"/>
      <c r="Q180" s="223"/>
      <c r="R180" s="218"/>
      <c r="S180" s="111"/>
    </row>
    <row r="181" ht="21.0" customHeight="1">
      <c r="A181" s="216"/>
      <c r="B181" s="111"/>
      <c r="C181" s="111"/>
      <c r="D181" s="111"/>
      <c r="E181" s="217"/>
      <c r="F181" s="218"/>
      <c r="G181" s="219"/>
      <c r="H181" s="219"/>
      <c r="I181" s="220"/>
      <c r="J181" s="220"/>
      <c r="K181" s="221"/>
      <c r="L181" s="222"/>
      <c r="M181" s="221"/>
      <c r="N181" s="218"/>
      <c r="O181" s="219"/>
      <c r="P181" s="111"/>
      <c r="Q181" s="223"/>
      <c r="R181" s="218"/>
      <c r="S181" s="111"/>
    </row>
    <row r="182" ht="21.0" customHeight="1">
      <c r="A182" s="216"/>
      <c r="B182" s="111"/>
      <c r="C182" s="111"/>
      <c r="D182" s="111"/>
      <c r="E182" s="217"/>
      <c r="F182" s="218"/>
      <c r="G182" s="219"/>
      <c r="H182" s="219"/>
      <c r="I182" s="220"/>
      <c r="J182" s="220"/>
      <c r="K182" s="221"/>
      <c r="L182" s="222"/>
      <c r="M182" s="221"/>
      <c r="N182" s="218"/>
      <c r="O182" s="219"/>
      <c r="P182" s="111"/>
      <c r="Q182" s="223"/>
      <c r="R182" s="218"/>
      <c r="S182" s="111"/>
    </row>
    <row r="183" ht="21.0" customHeight="1">
      <c r="A183" s="216"/>
      <c r="B183" s="111"/>
      <c r="C183" s="111"/>
      <c r="D183" s="111"/>
      <c r="E183" s="217"/>
      <c r="F183" s="218"/>
      <c r="G183" s="219"/>
      <c r="H183" s="219"/>
      <c r="I183" s="220"/>
      <c r="J183" s="220"/>
      <c r="K183" s="221"/>
      <c r="L183" s="222"/>
      <c r="M183" s="221"/>
      <c r="N183" s="218"/>
      <c r="O183" s="219"/>
      <c r="P183" s="111"/>
      <c r="Q183" s="223"/>
      <c r="R183" s="218"/>
      <c r="S183" s="111"/>
    </row>
    <row r="184" ht="21.0" customHeight="1">
      <c r="A184" s="216"/>
      <c r="B184" s="111"/>
      <c r="C184" s="111"/>
      <c r="D184" s="111"/>
      <c r="E184" s="217"/>
      <c r="F184" s="218"/>
      <c r="G184" s="219"/>
      <c r="H184" s="219"/>
      <c r="I184" s="220"/>
      <c r="J184" s="220"/>
      <c r="K184" s="221"/>
      <c r="L184" s="222"/>
      <c r="M184" s="221"/>
      <c r="N184" s="218"/>
      <c r="O184" s="219"/>
      <c r="P184" s="111"/>
      <c r="Q184" s="223"/>
      <c r="R184" s="218"/>
      <c r="S184" s="111"/>
    </row>
    <row r="185" ht="21.0" customHeight="1">
      <c r="A185" s="216"/>
      <c r="B185" s="111"/>
      <c r="C185" s="111"/>
      <c r="D185" s="111"/>
      <c r="E185" s="217"/>
      <c r="F185" s="218"/>
      <c r="G185" s="219"/>
      <c r="H185" s="219"/>
      <c r="I185" s="220"/>
      <c r="J185" s="220"/>
      <c r="K185" s="221"/>
      <c r="L185" s="222"/>
      <c r="M185" s="221"/>
      <c r="N185" s="218"/>
      <c r="O185" s="219"/>
      <c r="P185" s="111"/>
      <c r="Q185" s="223"/>
      <c r="R185" s="218"/>
      <c r="S185" s="111"/>
    </row>
    <row r="186" ht="21.0" customHeight="1">
      <c r="A186" s="216"/>
      <c r="B186" s="111"/>
      <c r="C186" s="111"/>
      <c r="D186" s="111"/>
      <c r="E186" s="217"/>
      <c r="F186" s="218"/>
      <c r="G186" s="219"/>
      <c r="H186" s="219"/>
      <c r="I186" s="220"/>
      <c r="J186" s="220"/>
      <c r="K186" s="221"/>
      <c r="L186" s="222"/>
      <c r="M186" s="221"/>
      <c r="N186" s="218"/>
      <c r="O186" s="219"/>
      <c r="P186" s="111"/>
      <c r="Q186" s="223"/>
      <c r="R186" s="218"/>
      <c r="S186" s="111"/>
    </row>
    <row r="187" ht="21.0" customHeight="1">
      <c r="A187" s="216"/>
      <c r="B187" s="111"/>
      <c r="C187" s="111"/>
      <c r="D187" s="111"/>
      <c r="E187" s="217"/>
      <c r="F187" s="218"/>
      <c r="G187" s="219"/>
      <c r="H187" s="219"/>
      <c r="I187" s="220"/>
      <c r="J187" s="220"/>
      <c r="K187" s="221"/>
      <c r="L187" s="222"/>
      <c r="M187" s="221"/>
      <c r="N187" s="218"/>
      <c r="O187" s="219"/>
      <c r="P187" s="111"/>
      <c r="Q187" s="223"/>
      <c r="R187" s="218"/>
      <c r="S187" s="111"/>
    </row>
    <row r="188" ht="21.0" customHeight="1">
      <c r="A188" s="216"/>
      <c r="B188" s="111"/>
      <c r="C188" s="111"/>
      <c r="D188" s="111"/>
      <c r="E188" s="217"/>
      <c r="F188" s="218"/>
      <c r="G188" s="219"/>
      <c r="H188" s="219"/>
      <c r="I188" s="220"/>
      <c r="J188" s="220"/>
      <c r="K188" s="221"/>
      <c r="L188" s="222"/>
      <c r="M188" s="221"/>
      <c r="N188" s="218"/>
      <c r="O188" s="219"/>
      <c r="P188" s="111"/>
      <c r="Q188" s="223"/>
      <c r="R188" s="218"/>
      <c r="S188" s="111"/>
    </row>
    <row r="189" ht="21.0" customHeight="1">
      <c r="A189" s="216"/>
      <c r="B189" s="111"/>
      <c r="C189" s="111"/>
      <c r="D189" s="111"/>
      <c r="E189" s="217"/>
      <c r="F189" s="218"/>
      <c r="G189" s="219"/>
      <c r="H189" s="219"/>
      <c r="I189" s="220"/>
      <c r="J189" s="220"/>
      <c r="K189" s="221"/>
      <c r="L189" s="222"/>
      <c r="M189" s="221"/>
      <c r="N189" s="218"/>
      <c r="O189" s="219"/>
      <c r="P189" s="111"/>
      <c r="Q189" s="223"/>
      <c r="R189" s="218"/>
      <c r="S189" s="111"/>
    </row>
    <row r="190" ht="21.0" customHeight="1">
      <c r="A190" s="216"/>
      <c r="B190" s="111"/>
      <c r="C190" s="111"/>
      <c r="D190" s="111"/>
      <c r="E190" s="217"/>
      <c r="F190" s="218"/>
      <c r="G190" s="219"/>
      <c r="H190" s="219"/>
      <c r="I190" s="220"/>
      <c r="J190" s="220"/>
      <c r="K190" s="221"/>
      <c r="L190" s="222"/>
      <c r="M190" s="221"/>
      <c r="N190" s="218"/>
      <c r="O190" s="219"/>
      <c r="P190" s="111"/>
      <c r="Q190" s="223"/>
      <c r="R190" s="218"/>
      <c r="S190" s="111"/>
    </row>
    <row r="191" ht="21.0" customHeight="1">
      <c r="A191" s="216"/>
      <c r="B191" s="111"/>
      <c r="C191" s="111"/>
      <c r="D191" s="111"/>
      <c r="E191" s="217"/>
      <c r="F191" s="218"/>
      <c r="G191" s="219"/>
      <c r="H191" s="219"/>
      <c r="I191" s="220"/>
      <c r="J191" s="220"/>
      <c r="K191" s="221"/>
      <c r="L191" s="222"/>
      <c r="M191" s="221"/>
      <c r="N191" s="218"/>
      <c r="O191" s="219"/>
      <c r="P191" s="111"/>
      <c r="Q191" s="223"/>
      <c r="R191" s="218"/>
      <c r="S191" s="111"/>
    </row>
    <row r="192" ht="21.0" customHeight="1">
      <c r="A192" s="216"/>
      <c r="B192" s="111"/>
      <c r="C192" s="111"/>
      <c r="D192" s="111"/>
      <c r="E192" s="217"/>
      <c r="F192" s="218"/>
      <c r="G192" s="219"/>
      <c r="H192" s="219"/>
      <c r="I192" s="220"/>
      <c r="J192" s="220"/>
      <c r="K192" s="221"/>
      <c r="L192" s="222"/>
      <c r="M192" s="221"/>
      <c r="N192" s="218"/>
      <c r="O192" s="219"/>
      <c r="P192" s="111"/>
      <c r="Q192" s="223"/>
      <c r="R192" s="218"/>
      <c r="S192" s="111"/>
    </row>
    <row r="193" ht="21.0" customHeight="1">
      <c r="A193" s="216"/>
      <c r="B193" s="111"/>
      <c r="C193" s="111"/>
      <c r="D193" s="111"/>
      <c r="E193" s="217"/>
      <c r="F193" s="218"/>
      <c r="G193" s="219"/>
      <c r="H193" s="219"/>
      <c r="I193" s="220"/>
      <c r="J193" s="220"/>
      <c r="K193" s="221"/>
      <c r="L193" s="222"/>
      <c r="M193" s="221"/>
      <c r="N193" s="218"/>
      <c r="O193" s="219"/>
      <c r="P193" s="111"/>
      <c r="Q193" s="223"/>
      <c r="R193" s="218"/>
      <c r="S193" s="111"/>
    </row>
    <row r="194" ht="21.0" customHeight="1">
      <c r="A194" s="216"/>
      <c r="B194" s="111"/>
      <c r="C194" s="111"/>
      <c r="D194" s="111"/>
      <c r="E194" s="217"/>
      <c r="F194" s="218"/>
      <c r="G194" s="219"/>
      <c r="H194" s="219"/>
      <c r="I194" s="220"/>
      <c r="J194" s="220"/>
      <c r="K194" s="221"/>
      <c r="L194" s="222"/>
      <c r="M194" s="221"/>
      <c r="N194" s="218"/>
      <c r="O194" s="219"/>
      <c r="P194" s="111"/>
      <c r="Q194" s="223"/>
      <c r="R194" s="218"/>
      <c r="S194" s="111"/>
    </row>
    <row r="195" ht="21.0" customHeight="1">
      <c r="A195" s="216"/>
      <c r="B195" s="111"/>
      <c r="C195" s="111"/>
      <c r="D195" s="111"/>
      <c r="E195" s="217"/>
      <c r="F195" s="218"/>
      <c r="G195" s="219"/>
      <c r="H195" s="219"/>
      <c r="I195" s="220"/>
      <c r="J195" s="220"/>
      <c r="K195" s="221"/>
      <c r="L195" s="222"/>
      <c r="M195" s="221"/>
      <c r="N195" s="218"/>
      <c r="O195" s="219"/>
      <c r="P195" s="111"/>
      <c r="Q195" s="223"/>
      <c r="R195" s="218"/>
      <c r="S195" s="111"/>
    </row>
    <row r="196" ht="21.0" customHeight="1">
      <c r="A196" s="216"/>
      <c r="B196" s="111"/>
      <c r="C196" s="111"/>
      <c r="D196" s="111"/>
      <c r="E196" s="217"/>
      <c r="F196" s="218"/>
      <c r="G196" s="219"/>
      <c r="H196" s="219"/>
      <c r="I196" s="220"/>
      <c r="J196" s="220"/>
      <c r="K196" s="221"/>
      <c r="L196" s="222"/>
      <c r="M196" s="221"/>
      <c r="N196" s="218"/>
      <c r="O196" s="219"/>
      <c r="P196" s="111"/>
      <c r="Q196" s="223"/>
      <c r="R196" s="218"/>
      <c r="S196" s="111"/>
    </row>
    <row r="197" ht="21.0" customHeight="1">
      <c r="A197" s="216"/>
      <c r="B197" s="111"/>
      <c r="C197" s="111"/>
      <c r="D197" s="111"/>
      <c r="E197" s="217"/>
      <c r="F197" s="218"/>
      <c r="G197" s="219"/>
      <c r="H197" s="219"/>
      <c r="I197" s="220"/>
      <c r="J197" s="220"/>
      <c r="K197" s="221"/>
      <c r="L197" s="222"/>
      <c r="M197" s="221"/>
      <c r="N197" s="218"/>
      <c r="O197" s="219"/>
      <c r="P197" s="111"/>
      <c r="Q197" s="223"/>
      <c r="R197" s="218"/>
      <c r="S197" s="111"/>
    </row>
    <row r="198" ht="21.0" customHeight="1">
      <c r="A198" s="216"/>
      <c r="B198" s="111"/>
      <c r="C198" s="111"/>
      <c r="D198" s="111"/>
      <c r="E198" s="217"/>
      <c r="F198" s="218"/>
      <c r="G198" s="219"/>
      <c r="H198" s="219"/>
      <c r="I198" s="220"/>
      <c r="J198" s="220"/>
      <c r="K198" s="221"/>
      <c r="L198" s="222"/>
      <c r="M198" s="221"/>
      <c r="N198" s="218"/>
      <c r="O198" s="219"/>
      <c r="P198" s="111"/>
      <c r="Q198" s="223"/>
      <c r="R198" s="218"/>
      <c r="S198" s="111"/>
    </row>
    <row r="199" ht="21.0" customHeight="1">
      <c r="A199" s="216"/>
      <c r="B199" s="111"/>
      <c r="C199" s="111"/>
      <c r="D199" s="111"/>
      <c r="E199" s="217"/>
      <c r="F199" s="218"/>
      <c r="G199" s="219"/>
      <c r="H199" s="219"/>
      <c r="I199" s="220"/>
      <c r="J199" s="220"/>
      <c r="K199" s="221"/>
      <c r="L199" s="222"/>
      <c r="M199" s="221"/>
      <c r="N199" s="218"/>
      <c r="O199" s="219"/>
      <c r="P199" s="111"/>
      <c r="Q199" s="223"/>
      <c r="R199" s="218"/>
      <c r="S199" s="111"/>
    </row>
    <row r="200" ht="21.0" customHeight="1">
      <c r="A200" s="216"/>
      <c r="B200" s="111"/>
      <c r="C200" s="111"/>
      <c r="D200" s="111"/>
      <c r="E200" s="217"/>
      <c r="F200" s="218"/>
      <c r="G200" s="219"/>
      <c r="H200" s="219"/>
      <c r="I200" s="220"/>
      <c r="J200" s="220"/>
      <c r="K200" s="221"/>
      <c r="L200" s="222"/>
      <c r="M200" s="221"/>
      <c r="N200" s="218"/>
      <c r="O200" s="219"/>
      <c r="P200" s="111"/>
      <c r="Q200" s="223"/>
      <c r="R200" s="218"/>
      <c r="S200" s="111"/>
    </row>
    <row r="201" ht="21.0" customHeight="1">
      <c r="A201" s="216"/>
      <c r="B201" s="111"/>
      <c r="C201" s="111"/>
      <c r="D201" s="111"/>
      <c r="E201" s="217"/>
      <c r="F201" s="218"/>
      <c r="G201" s="219"/>
      <c r="H201" s="219"/>
      <c r="I201" s="220"/>
      <c r="J201" s="220"/>
      <c r="K201" s="221"/>
      <c r="L201" s="222"/>
      <c r="M201" s="221"/>
      <c r="N201" s="218"/>
      <c r="O201" s="219"/>
      <c r="P201" s="111"/>
      <c r="Q201" s="223"/>
      <c r="R201" s="218"/>
      <c r="S201" s="111"/>
    </row>
    <row r="202" ht="21.0" customHeight="1">
      <c r="A202" s="216"/>
      <c r="B202" s="111"/>
      <c r="C202" s="111"/>
      <c r="D202" s="111"/>
      <c r="E202" s="217"/>
      <c r="F202" s="218"/>
      <c r="G202" s="219"/>
      <c r="H202" s="219"/>
      <c r="I202" s="220"/>
      <c r="J202" s="220"/>
      <c r="K202" s="221"/>
      <c r="L202" s="222"/>
      <c r="M202" s="221"/>
      <c r="N202" s="218"/>
      <c r="O202" s="219"/>
      <c r="P202" s="111"/>
      <c r="Q202" s="223"/>
      <c r="R202" s="218"/>
      <c r="S202" s="111"/>
    </row>
    <row r="203" ht="21.0" customHeight="1">
      <c r="A203" s="216"/>
      <c r="B203" s="111"/>
      <c r="C203" s="111"/>
      <c r="D203" s="111"/>
      <c r="E203" s="217"/>
      <c r="F203" s="218"/>
      <c r="G203" s="219"/>
      <c r="H203" s="219"/>
      <c r="I203" s="220"/>
      <c r="J203" s="220"/>
      <c r="K203" s="221"/>
      <c r="L203" s="222"/>
      <c r="M203" s="221"/>
      <c r="N203" s="218"/>
      <c r="O203" s="219"/>
      <c r="P203" s="111"/>
      <c r="Q203" s="223"/>
      <c r="R203" s="218"/>
      <c r="S203" s="111"/>
    </row>
    <row r="204" ht="21.0" customHeight="1">
      <c r="A204" s="216"/>
      <c r="B204" s="111"/>
      <c r="C204" s="111"/>
      <c r="D204" s="111"/>
      <c r="E204" s="217"/>
      <c r="F204" s="218"/>
      <c r="G204" s="219"/>
      <c r="H204" s="219"/>
      <c r="I204" s="220"/>
      <c r="J204" s="220"/>
      <c r="K204" s="221"/>
      <c r="L204" s="222"/>
      <c r="M204" s="221"/>
      <c r="N204" s="218"/>
      <c r="O204" s="219"/>
      <c r="P204" s="111"/>
      <c r="Q204" s="223"/>
      <c r="R204" s="218"/>
      <c r="S204" s="111"/>
    </row>
    <row r="205" ht="21.0" customHeight="1">
      <c r="A205" s="216"/>
      <c r="B205" s="111"/>
      <c r="C205" s="111"/>
      <c r="D205" s="111"/>
      <c r="E205" s="217"/>
      <c r="F205" s="218"/>
      <c r="G205" s="219"/>
      <c r="H205" s="219"/>
      <c r="I205" s="220"/>
      <c r="J205" s="220"/>
      <c r="K205" s="221"/>
      <c r="L205" s="222"/>
      <c r="M205" s="221"/>
      <c r="N205" s="218"/>
      <c r="O205" s="219"/>
      <c r="P205" s="111"/>
      <c r="Q205" s="223"/>
      <c r="R205" s="218"/>
      <c r="S205" s="111"/>
    </row>
    <row r="206" ht="21.0" customHeight="1">
      <c r="A206" s="216"/>
      <c r="B206" s="111"/>
      <c r="C206" s="111"/>
      <c r="D206" s="111"/>
      <c r="E206" s="217"/>
      <c r="F206" s="218"/>
      <c r="G206" s="219"/>
      <c r="H206" s="219"/>
      <c r="I206" s="220"/>
      <c r="J206" s="220"/>
      <c r="K206" s="221"/>
      <c r="L206" s="222"/>
      <c r="M206" s="221"/>
      <c r="N206" s="218"/>
      <c r="O206" s="219"/>
      <c r="P206" s="111"/>
      <c r="Q206" s="223"/>
      <c r="R206" s="218"/>
      <c r="S206" s="111"/>
    </row>
    <row r="207" ht="21.0" customHeight="1">
      <c r="A207" s="216"/>
      <c r="B207" s="111"/>
      <c r="C207" s="111"/>
      <c r="D207" s="111"/>
      <c r="E207" s="217"/>
      <c r="F207" s="218"/>
      <c r="G207" s="219"/>
      <c r="H207" s="219"/>
      <c r="I207" s="220"/>
      <c r="J207" s="220"/>
      <c r="K207" s="221"/>
      <c r="L207" s="222"/>
      <c r="M207" s="221"/>
      <c r="N207" s="218"/>
      <c r="O207" s="219"/>
      <c r="P207" s="111"/>
      <c r="Q207" s="223"/>
      <c r="R207" s="218"/>
      <c r="S207" s="111"/>
    </row>
    <row r="208" ht="21.0" customHeight="1">
      <c r="A208" s="216"/>
      <c r="B208" s="111"/>
      <c r="C208" s="111"/>
      <c r="D208" s="111"/>
      <c r="E208" s="217"/>
      <c r="F208" s="218"/>
      <c r="G208" s="219"/>
      <c r="H208" s="219"/>
      <c r="I208" s="220"/>
      <c r="J208" s="220"/>
      <c r="K208" s="221"/>
      <c r="L208" s="222"/>
      <c r="M208" s="221"/>
      <c r="N208" s="218"/>
      <c r="O208" s="219"/>
      <c r="P208" s="111"/>
      <c r="Q208" s="223"/>
      <c r="R208" s="218"/>
      <c r="S208" s="111"/>
    </row>
    <row r="209" ht="21.0" customHeight="1">
      <c r="A209" s="216"/>
      <c r="B209" s="111"/>
      <c r="C209" s="111"/>
      <c r="D209" s="111"/>
      <c r="E209" s="217"/>
      <c r="F209" s="218"/>
      <c r="G209" s="219"/>
      <c r="H209" s="219"/>
      <c r="I209" s="220"/>
      <c r="J209" s="220"/>
      <c r="K209" s="221"/>
      <c r="L209" s="222"/>
      <c r="M209" s="221"/>
      <c r="N209" s="218"/>
      <c r="O209" s="219"/>
      <c r="P209" s="111"/>
      <c r="Q209" s="223"/>
      <c r="R209" s="218"/>
      <c r="S209" s="111"/>
    </row>
    <row r="210" ht="21.0" customHeight="1">
      <c r="A210" s="216"/>
      <c r="B210" s="111"/>
      <c r="C210" s="111"/>
      <c r="D210" s="111"/>
      <c r="E210" s="217"/>
      <c r="F210" s="218"/>
      <c r="G210" s="219"/>
      <c r="H210" s="219"/>
      <c r="I210" s="220"/>
      <c r="J210" s="220"/>
      <c r="K210" s="221"/>
      <c r="L210" s="222"/>
      <c r="M210" s="221"/>
      <c r="N210" s="218"/>
      <c r="O210" s="219"/>
      <c r="P210" s="111"/>
      <c r="Q210" s="223"/>
      <c r="R210" s="218"/>
      <c r="S210" s="111"/>
    </row>
    <row r="211" ht="21.0" customHeight="1">
      <c r="A211" s="216"/>
      <c r="B211" s="111"/>
      <c r="C211" s="111"/>
      <c r="D211" s="111"/>
      <c r="E211" s="217"/>
      <c r="F211" s="218"/>
      <c r="G211" s="219"/>
      <c r="H211" s="219"/>
      <c r="I211" s="220"/>
      <c r="J211" s="220"/>
      <c r="K211" s="221"/>
      <c r="L211" s="222"/>
      <c r="M211" s="221"/>
      <c r="N211" s="218"/>
      <c r="O211" s="219"/>
      <c r="P211" s="111"/>
      <c r="Q211" s="223"/>
      <c r="R211" s="218"/>
      <c r="S211" s="111"/>
    </row>
    <row r="212" ht="21.0" customHeight="1">
      <c r="A212" s="216"/>
      <c r="B212" s="111"/>
      <c r="C212" s="111"/>
      <c r="D212" s="111"/>
      <c r="E212" s="217"/>
      <c r="F212" s="218"/>
      <c r="G212" s="219"/>
      <c r="H212" s="219"/>
      <c r="I212" s="220"/>
      <c r="J212" s="220"/>
      <c r="K212" s="221"/>
      <c r="L212" s="222"/>
      <c r="M212" s="221"/>
      <c r="N212" s="218"/>
      <c r="O212" s="219"/>
      <c r="P212" s="111"/>
      <c r="Q212" s="223"/>
      <c r="R212" s="218"/>
      <c r="S212" s="111"/>
    </row>
    <row r="213" ht="21.0" customHeight="1">
      <c r="A213" s="216"/>
      <c r="B213" s="111"/>
      <c r="C213" s="111"/>
      <c r="D213" s="111"/>
      <c r="E213" s="217"/>
      <c r="F213" s="218"/>
      <c r="G213" s="219"/>
      <c r="H213" s="219"/>
      <c r="I213" s="220"/>
      <c r="J213" s="220"/>
      <c r="K213" s="221"/>
      <c r="L213" s="222"/>
      <c r="M213" s="221"/>
      <c r="N213" s="218"/>
      <c r="O213" s="219"/>
      <c r="P213" s="111"/>
      <c r="Q213" s="223"/>
      <c r="R213" s="218"/>
      <c r="S213" s="111"/>
    </row>
    <row r="214" ht="21.0" customHeight="1">
      <c r="A214" s="216"/>
      <c r="B214" s="111"/>
      <c r="C214" s="111"/>
      <c r="D214" s="111"/>
      <c r="E214" s="217"/>
      <c r="F214" s="218"/>
      <c r="G214" s="219"/>
      <c r="H214" s="219"/>
      <c r="I214" s="220"/>
      <c r="J214" s="220"/>
      <c r="K214" s="221"/>
      <c r="L214" s="222"/>
      <c r="M214" s="221"/>
      <c r="N214" s="218"/>
      <c r="O214" s="219"/>
      <c r="P214" s="111"/>
      <c r="Q214" s="223"/>
      <c r="R214" s="218"/>
      <c r="S214" s="111"/>
    </row>
    <row r="215" ht="21.0" customHeight="1">
      <c r="A215" s="216"/>
      <c r="B215" s="111"/>
      <c r="C215" s="111"/>
      <c r="D215" s="111"/>
      <c r="E215" s="217"/>
      <c r="F215" s="218"/>
      <c r="G215" s="219"/>
      <c r="H215" s="219"/>
      <c r="I215" s="220"/>
      <c r="J215" s="220"/>
      <c r="K215" s="221"/>
      <c r="L215" s="222"/>
      <c r="M215" s="221"/>
      <c r="N215" s="218"/>
      <c r="O215" s="219"/>
      <c r="P215" s="111"/>
      <c r="Q215" s="223"/>
      <c r="R215" s="218"/>
      <c r="S215" s="111"/>
    </row>
    <row r="216" ht="21.0" customHeight="1">
      <c r="A216" s="216"/>
      <c r="B216" s="111"/>
      <c r="C216" s="111"/>
      <c r="D216" s="111"/>
      <c r="E216" s="217"/>
      <c r="F216" s="218"/>
      <c r="G216" s="219"/>
      <c r="H216" s="219"/>
      <c r="I216" s="220"/>
      <c r="J216" s="220"/>
      <c r="K216" s="221"/>
      <c r="L216" s="222"/>
      <c r="M216" s="221"/>
      <c r="N216" s="218"/>
      <c r="O216" s="219"/>
      <c r="P216" s="111"/>
      <c r="Q216" s="223"/>
      <c r="R216" s="218"/>
      <c r="S216" s="111"/>
    </row>
    <row r="217" ht="21.0" customHeight="1">
      <c r="A217" s="216"/>
      <c r="B217" s="111"/>
      <c r="C217" s="111"/>
      <c r="D217" s="111"/>
      <c r="E217" s="217"/>
      <c r="F217" s="218"/>
      <c r="G217" s="219"/>
      <c r="H217" s="219"/>
      <c r="I217" s="220"/>
      <c r="J217" s="220"/>
      <c r="K217" s="221"/>
      <c r="L217" s="222"/>
      <c r="M217" s="221"/>
      <c r="N217" s="218"/>
      <c r="O217" s="219"/>
      <c r="P217" s="111"/>
      <c r="Q217" s="223"/>
      <c r="R217" s="218"/>
      <c r="S217" s="111"/>
    </row>
    <row r="218" ht="21.0" customHeight="1">
      <c r="A218" s="216"/>
      <c r="B218" s="111"/>
      <c r="C218" s="111"/>
      <c r="D218" s="111"/>
      <c r="E218" s="217"/>
      <c r="F218" s="218"/>
      <c r="G218" s="219"/>
      <c r="H218" s="219"/>
      <c r="I218" s="220"/>
      <c r="J218" s="220"/>
      <c r="K218" s="221"/>
      <c r="L218" s="222"/>
      <c r="M218" s="221"/>
      <c r="N218" s="218"/>
      <c r="O218" s="219"/>
      <c r="P218" s="111"/>
      <c r="Q218" s="223"/>
      <c r="R218" s="218"/>
      <c r="S218" s="111"/>
    </row>
    <row r="219" ht="21.0" customHeight="1">
      <c r="A219" s="216"/>
      <c r="B219" s="111"/>
      <c r="C219" s="111"/>
      <c r="D219" s="111"/>
      <c r="E219" s="217"/>
      <c r="F219" s="218"/>
      <c r="G219" s="219"/>
      <c r="H219" s="219"/>
      <c r="I219" s="220"/>
      <c r="J219" s="220"/>
      <c r="K219" s="221"/>
      <c r="L219" s="222"/>
      <c r="M219" s="221"/>
      <c r="N219" s="218"/>
      <c r="O219" s="219"/>
      <c r="P219" s="111"/>
      <c r="Q219" s="223"/>
      <c r="R219" s="218"/>
      <c r="S219" s="111"/>
    </row>
    <row r="220" ht="21.0" customHeight="1">
      <c r="A220" s="216"/>
      <c r="B220" s="111"/>
      <c r="C220" s="111"/>
      <c r="D220" s="111"/>
      <c r="E220" s="217"/>
      <c r="F220" s="218"/>
      <c r="G220" s="219"/>
      <c r="H220" s="219"/>
      <c r="I220" s="220"/>
      <c r="J220" s="220"/>
      <c r="K220" s="221"/>
      <c r="L220" s="222"/>
      <c r="M220" s="221"/>
      <c r="N220" s="218"/>
      <c r="O220" s="219"/>
      <c r="P220" s="111"/>
      <c r="Q220" s="223"/>
      <c r="R220" s="218"/>
      <c r="S220" s="111"/>
    </row>
    <row r="221" ht="21.0" customHeight="1">
      <c r="A221" s="216"/>
      <c r="B221" s="111"/>
      <c r="C221" s="111"/>
      <c r="D221" s="111"/>
      <c r="E221" s="217"/>
      <c r="F221" s="218"/>
      <c r="G221" s="219"/>
      <c r="H221" s="219"/>
      <c r="I221" s="220"/>
      <c r="J221" s="220"/>
      <c r="K221" s="221"/>
      <c r="L221" s="222"/>
      <c r="M221" s="221"/>
      <c r="N221" s="218"/>
      <c r="O221" s="219"/>
      <c r="P221" s="111"/>
      <c r="Q221" s="223"/>
      <c r="R221" s="218"/>
      <c r="S221" s="111"/>
    </row>
    <row r="222" ht="21.0" customHeight="1">
      <c r="A222" s="216"/>
      <c r="B222" s="111"/>
      <c r="C222" s="111"/>
      <c r="D222" s="111"/>
      <c r="E222" s="217"/>
      <c r="F222" s="218"/>
      <c r="G222" s="219"/>
      <c r="H222" s="219"/>
      <c r="I222" s="220"/>
      <c r="J222" s="220"/>
      <c r="K222" s="221"/>
      <c r="L222" s="222"/>
      <c r="M222" s="221"/>
      <c r="N222" s="218"/>
      <c r="O222" s="219"/>
      <c r="P222" s="111"/>
      <c r="Q222" s="223"/>
      <c r="R222" s="218"/>
      <c r="S222" s="111"/>
    </row>
    <row r="223" ht="21.0" customHeight="1">
      <c r="A223" s="216"/>
      <c r="B223" s="111"/>
      <c r="C223" s="111"/>
      <c r="D223" s="111"/>
      <c r="E223" s="217"/>
      <c r="F223" s="218"/>
      <c r="G223" s="219"/>
      <c r="H223" s="219"/>
      <c r="I223" s="220"/>
      <c r="J223" s="220"/>
      <c r="K223" s="221"/>
      <c r="L223" s="222"/>
      <c r="M223" s="221"/>
      <c r="N223" s="218"/>
      <c r="O223" s="219"/>
      <c r="P223" s="111"/>
      <c r="Q223" s="223"/>
      <c r="R223" s="218"/>
      <c r="S223" s="111"/>
    </row>
    <row r="224" ht="21.0" customHeight="1">
      <c r="A224" s="216"/>
      <c r="B224" s="111"/>
      <c r="C224" s="111"/>
      <c r="D224" s="111"/>
      <c r="E224" s="217"/>
      <c r="F224" s="218"/>
      <c r="G224" s="219"/>
      <c r="H224" s="219"/>
      <c r="I224" s="220"/>
      <c r="J224" s="220"/>
      <c r="K224" s="221"/>
      <c r="L224" s="222"/>
      <c r="M224" s="221"/>
      <c r="N224" s="218"/>
      <c r="O224" s="219"/>
      <c r="P224" s="111"/>
      <c r="Q224" s="223"/>
      <c r="R224" s="218"/>
      <c r="S224" s="111"/>
    </row>
    <row r="225" ht="21.0" customHeight="1">
      <c r="A225" s="216"/>
      <c r="B225" s="111"/>
      <c r="C225" s="111"/>
      <c r="D225" s="111"/>
      <c r="E225" s="217"/>
      <c r="F225" s="218"/>
      <c r="G225" s="219"/>
      <c r="H225" s="219"/>
      <c r="I225" s="220"/>
      <c r="J225" s="220"/>
      <c r="K225" s="221"/>
      <c r="L225" s="222"/>
      <c r="M225" s="221"/>
      <c r="N225" s="218"/>
      <c r="O225" s="219"/>
      <c r="P225" s="111"/>
      <c r="Q225" s="223"/>
      <c r="R225" s="218"/>
      <c r="S225" s="111"/>
    </row>
    <row r="226" ht="21.0" customHeight="1">
      <c r="A226" s="216"/>
      <c r="B226" s="111"/>
      <c r="C226" s="111"/>
      <c r="D226" s="111"/>
      <c r="E226" s="217"/>
      <c r="F226" s="218"/>
      <c r="G226" s="219"/>
      <c r="H226" s="219"/>
      <c r="I226" s="220"/>
      <c r="J226" s="220"/>
      <c r="K226" s="221"/>
      <c r="L226" s="222"/>
      <c r="M226" s="221"/>
      <c r="N226" s="218"/>
      <c r="O226" s="219"/>
      <c r="P226" s="111"/>
      <c r="Q226" s="223"/>
      <c r="R226" s="218"/>
      <c r="S226" s="111"/>
    </row>
    <row r="227" ht="21.0" customHeight="1">
      <c r="A227" s="216"/>
      <c r="B227" s="111"/>
      <c r="C227" s="111"/>
      <c r="D227" s="111"/>
      <c r="E227" s="217"/>
      <c r="F227" s="218"/>
      <c r="G227" s="219"/>
      <c r="H227" s="219"/>
      <c r="I227" s="220"/>
      <c r="J227" s="220"/>
      <c r="K227" s="221"/>
      <c r="L227" s="222"/>
      <c r="M227" s="221"/>
      <c r="N227" s="218"/>
      <c r="O227" s="219"/>
      <c r="P227" s="111"/>
      <c r="Q227" s="223"/>
      <c r="R227" s="218"/>
      <c r="S227" s="111"/>
    </row>
    <row r="228" ht="21.0" customHeight="1">
      <c r="A228" s="216"/>
      <c r="B228" s="111"/>
      <c r="C228" s="111"/>
      <c r="D228" s="111"/>
      <c r="E228" s="217"/>
      <c r="F228" s="218"/>
      <c r="G228" s="219"/>
      <c r="H228" s="219"/>
      <c r="I228" s="220"/>
      <c r="J228" s="220"/>
      <c r="K228" s="221"/>
      <c r="L228" s="222"/>
      <c r="M228" s="221"/>
      <c r="N228" s="218"/>
      <c r="O228" s="219"/>
      <c r="P228" s="111"/>
      <c r="Q228" s="223"/>
      <c r="R228" s="218"/>
      <c r="S228" s="111"/>
    </row>
    <row r="229" ht="21.0" customHeight="1">
      <c r="A229" s="216"/>
      <c r="B229" s="111"/>
      <c r="C229" s="111"/>
      <c r="D229" s="111"/>
      <c r="E229" s="217"/>
      <c r="F229" s="218"/>
      <c r="G229" s="219"/>
      <c r="H229" s="219"/>
      <c r="I229" s="220"/>
      <c r="J229" s="220"/>
      <c r="K229" s="221"/>
      <c r="L229" s="222"/>
      <c r="M229" s="221"/>
      <c r="N229" s="218"/>
      <c r="O229" s="219"/>
      <c r="P229" s="111"/>
      <c r="Q229" s="223"/>
      <c r="R229" s="218"/>
      <c r="S229" s="111"/>
    </row>
    <row r="230" ht="21.0" customHeight="1">
      <c r="A230" s="216"/>
      <c r="B230" s="111"/>
      <c r="C230" s="111"/>
      <c r="D230" s="111"/>
      <c r="E230" s="217"/>
      <c r="F230" s="218"/>
      <c r="G230" s="219"/>
      <c r="H230" s="219"/>
      <c r="I230" s="220"/>
      <c r="J230" s="220"/>
      <c r="K230" s="221"/>
      <c r="L230" s="222"/>
      <c r="M230" s="221"/>
      <c r="N230" s="218"/>
      <c r="O230" s="219"/>
      <c r="P230" s="111"/>
      <c r="Q230" s="223"/>
      <c r="R230" s="218"/>
      <c r="S230" s="111"/>
    </row>
    <row r="231" ht="21.0" customHeight="1">
      <c r="A231" s="216"/>
      <c r="B231" s="111"/>
      <c r="C231" s="111"/>
      <c r="D231" s="111"/>
      <c r="E231" s="217"/>
      <c r="F231" s="218"/>
      <c r="G231" s="219"/>
      <c r="H231" s="219"/>
      <c r="I231" s="220"/>
      <c r="J231" s="220"/>
      <c r="K231" s="221"/>
      <c r="L231" s="222"/>
      <c r="M231" s="221"/>
      <c r="N231" s="218"/>
      <c r="O231" s="219"/>
      <c r="P231" s="111"/>
      <c r="Q231" s="223"/>
      <c r="R231" s="218"/>
      <c r="S231" s="111"/>
    </row>
    <row r="232" ht="21.0" customHeight="1">
      <c r="A232" s="216"/>
      <c r="B232" s="111"/>
      <c r="C232" s="111"/>
      <c r="D232" s="111"/>
      <c r="E232" s="217"/>
      <c r="F232" s="218"/>
      <c r="G232" s="219"/>
      <c r="H232" s="219"/>
      <c r="I232" s="220"/>
      <c r="J232" s="220"/>
      <c r="K232" s="221"/>
      <c r="L232" s="222"/>
      <c r="M232" s="221"/>
      <c r="N232" s="218"/>
      <c r="O232" s="219"/>
      <c r="P232" s="111"/>
      <c r="Q232" s="223"/>
      <c r="R232" s="218"/>
      <c r="S232" s="111"/>
    </row>
    <row r="233" ht="21.0" customHeight="1">
      <c r="A233" s="216"/>
      <c r="B233" s="111"/>
      <c r="C233" s="111"/>
      <c r="D233" s="111"/>
      <c r="E233" s="217"/>
      <c r="F233" s="218"/>
      <c r="G233" s="219"/>
      <c r="H233" s="219"/>
      <c r="I233" s="220"/>
      <c r="J233" s="220"/>
      <c r="K233" s="221"/>
      <c r="L233" s="222"/>
      <c r="M233" s="221"/>
      <c r="N233" s="218"/>
      <c r="O233" s="219"/>
      <c r="P233" s="111"/>
      <c r="Q233" s="223"/>
      <c r="R233" s="218"/>
      <c r="S233" s="111"/>
    </row>
    <row r="234" ht="21.0" customHeight="1">
      <c r="A234" s="216"/>
      <c r="B234" s="111"/>
      <c r="C234" s="111"/>
      <c r="D234" s="111"/>
      <c r="E234" s="217"/>
      <c r="F234" s="218"/>
      <c r="G234" s="219"/>
      <c r="H234" s="219"/>
      <c r="I234" s="220"/>
      <c r="J234" s="220"/>
      <c r="K234" s="221"/>
      <c r="L234" s="222"/>
      <c r="M234" s="221"/>
      <c r="N234" s="218"/>
      <c r="O234" s="219"/>
      <c r="P234" s="111"/>
      <c r="Q234" s="223"/>
      <c r="R234" s="218"/>
      <c r="S234" s="111"/>
    </row>
    <row r="235" ht="21.0" customHeight="1">
      <c r="A235" s="216"/>
      <c r="B235" s="111"/>
      <c r="C235" s="111"/>
      <c r="D235" s="111"/>
      <c r="E235" s="217"/>
      <c r="F235" s="218"/>
      <c r="G235" s="219"/>
      <c r="H235" s="219"/>
      <c r="I235" s="220"/>
      <c r="J235" s="220"/>
      <c r="K235" s="221"/>
      <c r="L235" s="222"/>
      <c r="M235" s="221"/>
      <c r="N235" s="218"/>
      <c r="O235" s="219"/>
      <c r="P235" s="111"/>
      <c r="Q235" s="223"/>
      <c r="R235" s="218"/>
      <c r="S235" s="111"/>
    </row>
    <row r="236" ht="21.0" customHeight="1">
      <c r="A236" s="216"/>
      <c r="B236" s="111"/>
      <c r="C236" s="111"/>
      <c r="D236" s="111"/>
      <c r="E236" s="217"/>
      <c r="F236" s="218"/>
      <c r="G236" s="219"/>
      <c r="H236" s="219"/>
      <c r="I236" s="220"/>
      <c r="J236" s="220"/>
      <c r="K236" s="221"/>
      <c r="L236" s="222"/>
      <c r="M236" s="221"/>
      <c r="N236" s="218"/>
      <c r="O236" s="219"/>
      <c r="P236" s="111"/>
      <c r="Q236" s="223"/>
      <c r="R236" s="218"/>
      <c r="S236" s="111"/>
    </row>
    <row r="237" ht="21.0" customHeight="1">
      <c r="A237" s="216"/>
      <c r="B237" s="111"/>
      <c r="C237" s="111"/>
      <c r="D237" s="111"/>
      <c r="E237" s="217"/>
      <c r="F237" s="218"/>
      <c r="G237" s="219"/>
      <c r="H237" s="219"/>
      <c r="I237" s="220"/>
      <c r="J237" s="220"/>
      <c r="K237" s="221"/>
      <c r="L237" s="222"/>
      <c r="M237" s="221"/>
      <c r="N237" s="218"/>
      <c r="O237" s="219"/>
      <c r="P237" s="111"/>
      <c r="Q237" s="223"/>
      <c r="R237" s="218"/>
      <c r="S237" s="111"/>
    </row>
    <row r="238" ht="21.0" customHeight="1">
      <c r="A238" s="216"/>
      <c r="B238" s="111"/>
      <c r="C238" s="111"/>
      <c r="D238" s="111"/>
      <c r="E238" s="217"/>
      <c r="F238" s="218"/>
      <c r="G238" s="219"/>
      <c r="H238" s="219"/>
      <c r="I238" s="220"/>
      <c r="J238" s="220"/>
      <c r="K238" s="221"/>
      <c r="L238" s="222"/>
      <c r="M238" s="221"/>
      <c r="N238" s="218"/>
      <c r="O238" s="219"/>
      <c r="P238" s="111"/>
      <c r="Q238" s="223"/>
      <c r="R238" s="218"/>
      <c r="S238" s="111"/>
    </row>
    <row r="239" ht="21.0" customHeight="1">
      <c r="A239" s="216"/>
      <c r="B239" s="111"/>
      <c r="C239" s="111"/>
      <c r="D239" s="111"/>
      <c r="E239" s="217"/>
      <c r="F239" s="218"/>
      <c r="G239" s="219"/>
      <c r="H239" s="219"/>
      <c r="I239" s="220"/>
      <c r="J239" s="220"/>
      <c r="K239" s="221"/>
      <c r="L239" s="222"/>
      <c r="M239" s="221"/>
      <c r="N239" s="218"/>
      <c r="O239" s="219"/>
      <c r="P239" s="111"/>
      <c r="Q239" s="223"/>
      <c r="R239" s="218"/>
      <c r="S239" s="111"/>
    </row>
    <row r="240" ht="21.0" customHeight="1">
      <c r="A240" s="216"/>
      <c r="B240" s="111"/>
      <c r="C240" s="111"/>
      <c r="D240" s="111"/>
      <c r="E240" s="217"/>
      <c r="F240" s="218"/>
      <c r="G240" s="219"/>
      <c r="H240" s="219"/>
      <c r="I240" s="220"/>
      <c r="J240" s="220"/>
      <c r="K240" s="221"/>
      <c r="L240" s="222"/>
      <c r="M240" s="221"/>
      <c r="N240" s="218"/>
      <c r="O240" s="219"/>
      <c r="P240" s="111"/>
      <c r="Q240" s="223"/>
      <c r="R240" s="218"/>
      <c r="S240" s="111"/>
    </row>
    <row r="241" ht="21.0" customHeight="1">
      <c r="A241" s="216"/>
      <c r="B241" s="111"/>
      <c r="C241" s="111"/>
      <c r="D241" s="111"/>
      <c r="E241" s="217"/>
      <c r="F241" s="218"/>
      <c r="G241" s="219"/>
      <c r="H241" s="219"/>
      <c r="I241" s="220"/>
      <c r="J241" s="220"/>
      <c r="K241" s="221"/>
      <c r="L241" s="222"/>
      <c r="M241" s="221"/>
      <c r="N241" s="218"/>
      <c r="O241" s="219"/>
      <c r="P241" s="111"/>
      <c r="Q241" s="223"/>
      <c r="R241" s="218"/>
      <c r="S241" s="111"/>
    </row>
    <row r="242" ht="21.0" customHeight="1">
      <c r="A242" s="216"/>
      <c r="B242" s="111"/>
      <c r="C242" s="111"/>
      <c r="D242" s="111"/>
      <c r="E242" s="217"/>
      <c r="F242" s="218"/>
      <c r="G242" s="219"/>
      <c r="H242" s="219"/>
      <c r="I242" s="220"/>
      <c r="J242" s="220"/>
      <c r="K242" s="221"/>
      <c r="L242" s="222"/>
      <c r="M242" s="221"/>
      <c r="N242" s="218"/>
      <c r="O242" s="219"/>
      <c r="P242" s="111"/>
      <c r="Q242" s="223"/>
      <c r="R242" s="218"/>
      <c r="S242" s="111"/>
    </row>
    <row r="243" ht="21.0" customHeight="1">
      <c r="A243" s="216"/>
      <c r="B243" s="111"/>
      <c r="C243" s="111"/>
      <c r="D243" s="111"/>
      <c r="E243" s="217"/>
      <c r="F243" s="218"/>
      <c r="G243" s="219"/>
      <c r="H243" s="219"/>
      <c r="I243" s="220"/>
      <c r="J243" s="220"/>
      <c r="K243" s="221"/>
      <c r="L243" s="222"/>
      <c r="M243" s="221"/>
      <c r="N243" s="218"/>
      <c r="O243" s="219"/>
      <c r="P243" s="111"/>
      <c r="Q243" s="223"/>
      <c r="R243" s="218"/>
      <c r="S243" s="111"/>
    </row>
    <row r="244" ht="21.0" customHeight="1">
      <c r="A244" s="216"/>
      <c r="B244" s="111"/>
      <c r="C244" s="111"/>
      <c r="D244" s="111"/>
      <c r="E244" s="217"/>
      <c r="F244" s="218"/>
      <c r="G244" s="219"/>
      <c r="H244" s="219"/>
      <c r="I244" s="220"/>
      <c r="J244" s="220"/>
      <c r="K244" s="221"/>
      <c r="L244" s="222"/>
      <c r="M244" s="221"/>
      <c r="N244" s="218"/>
      <c r="O244" s="219"/>
      <c r="P244" s="111"/>
      <c r="Q244" s="223"/>
      <c r="R244" s="218"/>
      <c r="S244" s="111"/>
    </row>
    <row r="245" ht="21.0" customHeight="1">
      <c r="A245" s="216"/>
      <c r="B245" s="111"/>
      <c r="C245" s="111"/>
      <c r="D245" s="111"/>
      <c r="E245" s="217"/>
      <c r="F245" s="218"/>
      <c r="G245" s="219"/>
      <c r="H245" s="219"/>
      <c r="I245" s="220"/>
      <c r="J245" s="220"/>
      <c r="K245" s="221"/>
      <c r="L245" s="222"/>
      <c r="M245" s="221"/>
      <c r="N245" s="218"/>
      <c r="O245" s="219"/>
      <c r="P245" s="111"/>
      <c r="Q245" s="223"/>
      <c r="R245" s="218"/>
      <c r="S245" s="111"/>
    </row>
    <row r="246" ht="21.0" customHeight="1">
      <c r="A246" s="216"/>
      <c r="B246" s="111"/>
      <c r="C246" s="111"/>
      <c r="D246" s="111"/>
      <c r="E246" s="217"/>
      <c r="F246" s="218"/>
      <c r="G246" s="219"/>
      <c r="H246" s="219"/>
      <c r="I246" s="220"/>
      <c r="J246" s="220"/>
      <c r="K246" s="221"/>
      <c r="L246" s="222"/>
      <c r="M246" s="221"/>
      <c r="N246" s="218"/>
      <c r="O246" s="219"/>
      <c r="P246" s="111"/>
      <c r="Q246" s="223"/>
      <c r="R246" s="218"/>
      <c r="S246" s="111"/>
    </row>
    <row r="247" ht="21.0" customHeight="1">
      <c r="A247" s="216"/>
      <c r="B247" s="111"/>
      <c r="C247" s="111"/>
      <c r="D247" s="111"/>
      <c r="E247" s="217"/>
      <c r="F247" s="218"/>
      <c r="G247" s="219"/>
      <c r="H247" s="219"/>
      <c r="I247" s="220"/>
      <c r="J247" s="220"/>
      <c r="K247" s="221"/>
      <c r="L247" s="222"/>
      <c r="M247" s="221"/>
      <c r="N247" s="218"/>
      <c r="O247" s="219"/>
      <c r="P247" s="111"/>
      <c r="Q247" s="223"/>
      <c r="R247" s="218"/>
      <c r="S247" s="111"/>
    </row>
    <row r="248" ht="21.0" customHeight="1">
      <c r="A248" s="216"/>
      <c r="B248" s="111"/>
      <c r="C248" s="111"/>
      <c r="D248" s="111"/>
      <c r="E248" s="217"/>
      <c r="F248" s="218"/>
      <c r="G248" s="219"/>
      <c r="H248" s="219"/>
      <c r="I248" s="220"/>
      <c r="J248" s="220"/>
      <c r="K248" s="221"/>
      <c r="L248" s="222"/>
      <c r="M248" s="221"/>
      <c r="N248" s="218"/>
      <c r="O248" s="219"/>
      <c r="P248" s="111"/>
      <c r="Q248" s="223"/>
      <c r="R248" s="218"/>
      <c r="S248" s="111"/>
    </row>
    <row r="249" ht="21.0" customHeight="1">
      <c r="A249" s="216"/>
      <c r="B249" s="111"/>
      <c r="C249" s="111"/>
      <c r="D249" s="111"/>
      <c r="E249" s="217"/>
      <c r="F249" s="218"/>
      <c r="G249" s="219"/>
      <c r="H249" s="219"/>
      <c r="I249" s="220"/>
      <c r="J249" s="220"/>
      <c r="K249" s="221"/>
      <c r="L249" s="222"/>
      <c r="M249" s="221"/>
      <c r="N249" s="218"/>
      <c r="O249" s="219"/>
      <c r="P249" s="111"/>
      <c r="Q249" s="223"/>
      <c r="R249" s="218"/>
      <c r="S249" s="111"/>
    </row>
    <row r="250" ht="21.0" customHeight="1">
      <c r="A250" s="216"/>
      <c r="B250" s="111"/>
      <c r="C250" s="111"/>
      <c r="D250" s="111"/>
      <c r="E250" s="217"/>
      <c r="F250" s="218"/>
      <c r="G250" s="219"/>
      <c r="H250" s="219"/>
      <c r="I250" s="220"/>
      <c r="J250" s="220"/>
      <c r="K250" s="221"/>
      <c r="L250" s="222"/>
      <c r="M250" s="221"/>
      <c r="N250" s="218"/>
      <c r="O250" s="219"/>
      <c r="P250" s="111"/>
      <c r="Q250" s="223"/>
      <c r="R250" s="218"/>
      <c r="S250" s="111"/>
    </row>
    <row r="251" ht="21.0" customHeight="1">
      <c r="A251" s="216"/>
      <c r="B251" s="111"/>
      <c r="C251" s="111"/>
      <c r="D251" s="111"/>
      <c r="E251" s="217"/>
      <c r="F251" s="218"/>
      <c r="G251" s="219"/>
      <c r="H251" s="219"/>
      <c r="I251" s="220"/>
      <c r="J251" s="220"/>
      <c r="K251" s="221"/>
      <c r="L251" s="222"/>
      <c r="M251" s="221"/>
      <c r="N251" s="218"/>
      <c r="O251" s="219"/>
      <c r="P251" s="111"/>
      <c r="Q251" s="223"/>
      <c r="R251" s="218"/>
      <c r="S251" s="111"/>
    </row>
    <row r="252" ht="21.0" customHeight="1">
      <c r="A252" s="216"/>
      <c r="B252" s="111"/>
      <c r="C252" s="111"/>
      <c r="D252" s="111"/>
      <c r="E252" s="217"/>
      <c r="F252" s="218"/>
      <c r="G252" s="219"/>
      <c r="H252" s="219"/>
      <c r="I252" s="220"/>
      <c r="J252" s="220"/>
      <c r="K252" s="221"/>
      <c r="L252" s="222"/>
      <c r="M252" s="221"/>
      <c r="N252" s="218"/>
      <c r="O252" s="219"/>
      <c r="P252" s="111"/>
      <c r="Q252" s="223"/>
      <c r="R252" s="218"/>
      <c r="S252" s="111"/>
    </row>
    <row r="253" ht="21.0" customHeight="1">
      <c r="A253" s="216"/>
      <c r="B253" s="111"/>
      <c r="C253" s="111"/>
      <c r="D253" s="111"/>
      <c r="E253" s="217"/>
      <c r="F253" s="218"/>
      <c r="G253" s="219"/>
      <c r="H253" s="219"/>
      <c r="I253" s="220"/>
      <c r="J253" s="220"/>
      <c r="K253" s="221"/>
      <c r="L253" s="222"/>
      <c r="M253" s="221"/>
      <c r="N253" s="218"/>
      <c r="O253" s="219"/>
      <c r="P253" s="111"/>
      <c r="Q253" s="223"/>
      <c r="R253" s="218"/>
      <c r="S253" s="111"/>
    </row>
    <row r="254" ht="21.0" customHeight="1">
      <c r="A254" s="216"/>
      <c r="B254" s="111"/>
      <c r="C254" s="111"/>
      <c r="D254" s="111"/>
      <c r="E254" s="217"/>
      <c r="F254" s="218"/>
      <c r="G254" s="219"/>
      <c r="H254" s="219"/>
      <c r="I254" s="220"/>
      <c r="J254" s="220"/>
      <c r="K254" s="221"/>
      <c r="L254" s="222"/>
      <c r="M254" s="221"/>
      <c r="N254" s="218"/>
      <c r="O254" s="219"/>
      <c r="P254" s="111"/>
      <c r="Q254" s="223"/>
      <c r="R254" s="218"/>
      <c r="S254" s="111"/>
    </row>
    <row r="255" ht="21.0" customHeight="1">
      <c r="A255" s="216"/>
      <c r="B255" s="111"/>
      <c r="C255" s="111"/>
      <c r="D255" s="111"/>
      <c r="E255" s="217"/>
      <c r="F255" s="218"/>
      <c r="G255" s="219"/>
      <c r="H255" s="219"/>
      <c r="I255" s="220"/>
      <c r="J255" s="220"/>
      <c r="K255" s="221"/>
      <c r="L255" s="222"/>
      <c r="M255" s="221"/>
      <c r="N255" s="218"/>
      <c r="O255" s="219"/>
      <c r="P255" s="111"/>
      <c r="Q255" s="223"/>
      <c r="R255" s="218"/>
      <c r="S255" s="111"/>
    </row>
    <row r="256" ht="21.0" customHeight="1">
      <c r="A256" s="216"/>
      <c r="B256" s="111"/>
      <c r="C256" s="111"/>
      <c r="D256" s="111"/>
      <c r="E256" s="217"/>
      <c r="F256" s="218"/>
      <c r="G256" s="219"/>
      <c r="H256" s="219"/>
      <c r="I256" s="220"/>
      <c r="J256" s="220"/>
      <c r="K256" s="221"/>
      <c r="L256" s="222"/>
      <c r="M256" s="221"/>
      <c r="N256" s="218"/>
      <c r="O256" s="219"/>
      <c r="P256" s="111"/>
      <c r="Q256" s="223"/>
      <c r="R256" s="218"/>
      <c r="S256" s="111"/>
    </row>
    <row r="257" ht="21.0" customHeight="1">
      <c r="A257" s="216"/>
      <c r="B257" s="111"/>
      <c r="C257" s="111"/>
      <c r="D257" s="111"/>
      <c r="E257" s="217"/>
      <c r="F257" s="218"/>
      <c r="G257" s="219"/>
      <c r="H257" s="219"/>
      <c r="I257" s="220"/>
      <c r="J257" s="220"/>
      <c r="K257" s="221"/>
      <c r="L257" s="222"/>
      <c r="M257" s="221"/>
      <c r="N257" s="218"/>
      <c r="O257" s="219"/>
      <c r="P257" s="111"/>
      <c r="Q257" s="223"/>
      <c r="R257" s="218"/>
      <c r="S257" s="111"/>
    </row>
    <row r="258" ht="21.0" customHeight="1">
      <c r="A258" s="216"/>
      <c r="B258" s="111"/>
      <c r="C258" s="111"/>
      <c r="D258" s="111"/>
      <c r="E258" s="217"/>
      <c r="F258" s="218"/>
      <c r="G258" s="219"/>
      <c r="H258" s="219"/>
      <c r="I258" s="220"/>
      <c r="J258" s="220"/>
      <c r="K258" s="221"/>
      <c r="L258" s="222"/>
      <c r="M258" s="221"/>
      <c r="N258" s="218"/>
      <c r="O258" s="219"/>
      <c r="P258" s="111"/>
      <c r="Q258" s="223"/>
      <c r="R258" s="218"/>
      <c r="S258" s="111"/>
    </row>
    <row r="259" ht="21.0" customHeight="1">
      <c r="A259" s="216"/>
      <c r="B259" s="111"/>
      <c r="C259" s="111"/>
      <c r="D259" s="111"/>
      <c r="E259" s="217"/>
      <c r="F259" s="218"/>
      <c r="G259" s="219"/>
      <c r="H259" s="219"/>
      <c r="I259" s="220"/>
      <c r="J259" s="220"/>
      <c r="K259" s="221"/>
      <c r="L259" s="222"/>
      <c r="M259" s="221"/>
      <c r="N259" s="218"/>
      <c r="O259" s="219"/>
      <c r="P259" s="111"/>
      <c r="Q259" s="223"/>
      <c r="R259" s="218"/>
      <c r="S259" s="111"/>
    </row>
    <row r="260" ht="21.0" customHeight="1">
      <c r="A260" s="216"/>
      <c r="B260" s="111"/>
      <c r="C260" s="111"/>
      <c r="D260" s="111"/>
      <c r="E260" s="217"/>
      <c r="F260" s="218"/>
      <c r="G260" s="219"/>
      <c r="H260" s="219"/>
      <c r="I260" s="220"/>
      <c r="J260" s="220"/>
      <c r="K260" s="221"/>
      <c r="L260" s="222"/>
      <c r="M260" s="221"/>
      <c r="N260" s="218"/>
      <c r="O260" s="219"/>
      <c r="P260" s="111"/>
      <c r="Q260" s="223"/>
      <c r="R260" s="218"/>
      <c r="S260" s="111"/>
    </row>
    <row r="261" ht="21.0" customHeight="1">
      <c r="A261" s="216"/>
      <c r="B261" s="111"/>
      <c r="C261" s="111"/>
      <c r="D261" s="111"/>
      <c r="E261" s="217"/>
      <c r="F261" s="218"/>
      <c r="G261" s="219"/>
      <c r="H261" s="219"/>
      <c r="I261" s="220"/>
      <c r="J261" s="220"/>
      <c r="K261" s="221"/>
      <c r="L261" s="222"/>
      <c r="M261" s="221"/>
      <c r="N261" s="218"/>
      <c r="O261" s="219"/>
      <c r="P261" s="111"/>
      <c r="Q261" s="223"/>
      <c r="R261" s="218"/>
      <c r="S261" s="111"/>
    </row>
    <row r="262" ht="21.0" customHeight="1">
      <c r="A262" s="216"/>
      <c r="B262" s="111"/>
      <c r="C262" s="111"/>
      <c r="D262" s="111"/>
      <c r="E262" s="217"/>
      <c r="F262" s="218"/>
      <c r="G262" s="219"/>
      <c r="H262" s="219"/>
      <c r="I262" s="220"/>
      <c r="J262" s="220"/>
      <c r="K262" s="221"/>
      <c r="L262" s="222"/>
      <c r="M262" s="221"/>
      <c r="N262" s="218"/>
      <c r="O262" s="219"/>
      <c r="P262" s="111"/>
      <c r="Q262" s="223"/>
      <c r="R262" s="218"/>
      <c r="S262" s="111"/>
    </row>
    <row r="263" ht="21.0" customHeight="1">
      <c r="A263" s="216"/>
      <c r="B263" s="111"/>
      <c r="C263" s="111"/>
      <c r="D263" s="111"/>
      <c r="E263" s="217"/>
      <c r="F263" s="218"/>
      <c r="G263" s="219"/>
      <c r="H263" s="219"/>
      <c r="I263" s="220"/>
      <c r="J263" s="220"/>
      <c r="K263" s="221"/>
      <c r="L263" s="222"/>
      <c r="M263" s="221"/>
      <c r="N263" s="218"/>
      <c r="O263" s="219"/>
      <c r="P263" s="111"/>
      <c r="Q263" s="223"/>
      <c r="R263" s="218"/>
      <c r="S263" s="111"/>
    </row>
    <row r="264" ht="21.0" customHeight="1">
      <c r="A264" s="216"/>
      <c r="B264" s="111"/>
      <c r="C264" s="111"/>
      <c r="D264" s="111"/>
      <c r="E264" s="217"/>
      <c r="F264" s="218"/>
      <c r="G264" s="219"/>
      <c r="H264" s="219"/>
      <c r="I264" s="220"/>
      <c r="J264" s="220"/>
      <c r="K264" s="221"/>
      <c r="L264" s="222"/>
      <c r="M264" s="221"/>
      <c r="N264" s="218"/>
      <c r="O264" s="219"/>
      <c r="P264" s="111"/>
      <c r="Q264" s="223"/>
      <c r="R264" s="218"/>
      <c r="S264" s="111"/>
    </row>
    <row r="265" ht="21.0" customHeight="1">
      <c r="A265" s="216"/>
      <c r="B265" s="111"/>
      <c r="C265" s="111"/>
      <c r="D265" s="111"/>
      <c r="E265" s="217"/>
      <c r="F265" s="218"/>
      <c r="G265" s="219"/>
      <c r="H265" s="219"/>
      <c r="I265" s="220"/>
      <c r="J265" s="220"/>
      <c r="K265" s="221"/>
      <c r="L265" s="222"/>
      <c r="M265" s="221"/>
      <c r="N265" s="218"/>
      <c r="O265" s="219"/>
      <c r="P265" s="111"/>
      <c r="Q265" s="223"/>
      <c r="R265" s="218"/>
      <c r="S265" s="111"/>
    </row>
    <row r="266" ht="21.0" customHeight="1">
      <c r="A266" s="216"/>
      <c r="B266" s="111"/>
      <c r="C266" s="111"/>
      <c r="D266" s="111"/>
      <c r="E266" s="217"/>
      <c r="F266" s="218"/>
      <c r="G266" s="219"/>
      <c r="H266" s="219"/>
      <c r="I266" s="220"/>
      <c r="J266" s="220"/>
      <c r="K266" s="221"/>
      <c r="L266" s="222"/>
      <c r="M266" s="221"/>
      <c r="N266" s="218"/>
      <c r="O266" s="219"/>
      <c r="P266" s="111"/>
      <c r="Q266" s="223"/>
      <c r="R266" s="218"/>
      <c r="S266" s="111"/>
    </row>
    <row r="267" ht="21.0" customHeight="1">
      <c r="A267" s="216"/>
      <c r="B267" s="111"/>
      <c r="C267" s="111"/>
      <c r="D267" s="111"/>
      <c r="E267" s="217"/>
      <c r="F267" s="218"/>
      <c r="G267" s="219"/>
      <c r="H267" s="219"/>
      <c r="I267" s="220"/>
      <c r="J267" s="220"/>
      <c r="K267" s="221"/>
      <c r="L267" s="222"/>
      <c r="M267" s="221"/>
      <c r="N267" s="218"/>
      <c r="O267" s="219"/>
      <c r="P267" s="111"/>
      <c r="Q267" s="223"/>
      <c r="R267" s="218"/>
      <c r="S267" s="111"/>
    </row>
    <row r="268" ht="21.0" customHeight="1">
      <c r="A268" s="216"/>
      <c r="B268" s="111"/>
      <c r="C268" s="111"/>
      <c r="D268" s="111"/>
      <c r="E268" s="217"/>
      <c r="F268" s="218"/>
      <c r="G268" s="219"/>
      <c r="H268" s="219"/>
      <c r="I268" s="220"/>
      <c r="J268" s="220"/>
      <c r="K268" s="221"/>
      <c r="L268" s="222"/>
      <c r="M268" s="221"/>
      <c r="N268" s="218"/>
      <c r="O268" s="219"/>
      <c r="P268" s="111"/>
      <c r="Q268" s="223"/>
      <c r="R268" s="218"/>
      <c r="S268" s="111"/>
    </row>
    <row r="269" ht="21.0" customHeight="1">
      <c r="A269" s="216"/>
      <c r="B269" s="111"/>
      <c r="C269" s="111"/>
      <c r="D269" s="111"/>
      <c r="E269" s="217"/>
      <c r="F269" s="218"/>
      <c r="G269" s="219"/>
      <c r="H269" s="219"/>
      <c r="I269" s="220"/>
      <c r="J269" s="220"/>
      <c r="K269" s="221"/>
      <c r="L269" s="222"/>
      <c r="M269" s="221"/>
      <c r="N269" s="218"/>
      <c r="O269" s="219"/>
      <c r="P269" s="111"/>
      <c r="Q269" s="223"/>
      <c r="R269" s="218"/>
      <c r="S269" s="111"/>
    </row>
    <row r="270" ht="21.0" customHeight="1">
      <c r="A270" s="216"/>
      <c r="B270" s="111"/>
      <c r="C270" s="111"/>
      <c r="D270" s="111"/>
      <c r="E270" s="217"/>
      <c r="F270" s="218"/>
      <c r="G270" s="219"/>
      <c r="H270" s="219"/>
      <c r="I270" s="220"/>
      <c r="J270" s="220"/>
      <c r="K270" s="221"/>
      <c r="L270" s="222"/>
      <c r="M270" s="221"/>
      <c r="N270" s="218"/>
      <c r="O270" s="219"/>
      <c r="P270" s="111"/>
      <c r="Q270" s="223"/>
      <c r="R270" s="218"/>
      <c r="S270" s="111"/>
    </row>
    <row r="271" ht="21.0" customHeight="1">
      <c r="A271" s="216"/>
      <c r="B271" s="111"/>
      <c r="C271" s="111"/>
      <c r="D271" s="111"/>
      <c r="E271" s="217"/>
      <c r="F271" s="218"/>
      <c r="G271" s="219"/>
      <c r="H271" s="219"/>
      <c r="I271" s="220"/>
      <c r="J271" s="220"/>
      <c r="K271" s="221"/>
      <c r="L271" s="222"/>
      <c r="M271" s="221"/>
      <c r="N271" s="218"/>
      <c r="O271" s="219"/>
      <c r="P271" s="111"/>
      <c r="Q271" s="223"/>
      <c r="R271" s="218"/>
      <c r="S271" s="111"/>
    </row>
    <row r="272" ht="21.0" customHeight="1">
      <c r="A272" s="216"/>
      <c r="B272" s="111"/>
      <c r="C272" s="111"/>
      <c r="D272" s="111"/>
      <c r="E272" s="217"/>
      <c r="F272" s="218"/>
      <c r="G272" s="219"/>
      <c r="H272" s="219"/>
      <c r="I272" s="220"/>
      <c r="J272" s="220"/>
      <c r="K272" s="221"/>
      <c r="L272" s="222"/>
      <c r="M272" s="221"/>
      <c r="N272" s="218"/>
      <c r="O272" s="219"/>
      <c r="P272" s="111"/>
      <c r="Q272" s="223"/>
      <c r="R272" s="218"/>
      <c r="S272" s="111"/>
    </row>
    <row r="273" ht="21.0" customHeight="1">
      <c r="A273" s="216"/>
      <c r="B273" s="111"/>
      <c r="C273" s="111"/>
      <c r="D273" s="111"/>
      <c r="E273" s="217"/>
      <c r="F273" s="218"/>
      <c r="G273" s="219"/>
      <c r="H273" s="219"/>
      <c r="I273" s="220"/>
      <c r="J273" s="220"/>
      <c r="K273" s="221"/>
      <c r="L273" s="222"/>
      <c r="M273" s="221"/>
      <c r="N273" s="218"/>
      <c r="O273" s="219"/>
      <c r="P273" s="111"/>
      <c r="Q273" s="223"/>
      <c r="R273" s="218"/>
      <c r="S273" s="111"/>
    </row>
    <row r="274" ht="21.0" customHeight="1">
      <c r="A274" s="216"/>
      <c r="B274" s="111"/>
      <c r="C274" s="111"/>
      <c r="D274" s="111"/>
      <c r="E274" s="217"/>
      <c r="F274" s="218"/>
      <c r="G274" s="219"/>
      <c r="H274" s="219"/>
      <c r="I274" s="220"/>
      <c r="J274" s="220"/>
      <c r="K274" s="221"/>
      <c r="L274" s="222"/>
      <c r="M274" s="221"/>
      <c r="N274" s="218"/>
      <c r="O274" s="219"/>
      <c r="P274" s="111"/>
      <c r="Q274" s="223"/>
      <c r="R274" s="218"/>
      <c r="S274" s="111"/>
    </row>
    <row r="275" ht="21.0" customHeight="1">
      <c r="A275" s="216"/>
      <c r="B275" s="111"/>
      <c r="C275" s="111"/>
      <c r="D275" s="111"/>
      <c r="E275" s="217"/>
      <c r="F275" s="218"/>
      <c r="G275" s="219"/>
      <c r="H275" s="219"/>
      <c r="I275" s="220"/>
      <c r="J275" s="220"/>
      <c r="K275" s="221"/>
      <c r="L275" s="222"/>
      <c r="M275" s="221"/>
      <c r="N275" s="218"/>
      <c r="O275" s="219"/>
      <c r="P275" s="111"/>
      <c r="Q275" s="223"/>
      <c r="R275" s="218"/>
      <c r="S275" s="111"/>
    </row>
    <row r="276" ht="21.0" customHeight="1">
      <c r="A276" s="216"/>
      <c r="B276" s="111"/>
      <c r="C276" s="111"/>
      <c r="D276" s="111"/>
      <c r="E276" s="217"/>
      <c r="F276" s="218"/>
      <c r="G276" s="219"/>
      <c r="H276" s="219"/>
      <c r="I276" s="220"/>
      <c r="J276" s="220"/>
      <c r="K276" s="221"/>
      <c r="L276" s="222"/>
      <c r="M276" s="221"/>
      <c r="N276" s="218"/>
      <c r="O276" s="219"/>
      <c r="P276" s="111"/>
      <c r="Q276" s="223"/>
      <c r="R276" s="218"/>
      <c r="S276" s="111"/>
    </row>
    <row r="277" ht="21.0" customHeight="1">
      <c r="A277" s="216"/>
      <c r="B277" s="111"/>
      <c r="C277" s="111"/>
      <c r="D277" s="111"/>
      <c r="E277" s="217"/>
      <c r="F277" s="218"/>
      <c r="G277" s="219"/>
      <c r="H277" s="219"/>
      <c r="I277" s="220"/>
      <c r="J277" s="220"/>
      <c r="K277" s="221"/>
      <c r="L277" s="222"/>
      <c r="M277" s="221"/>
      <c r="N277" s="218"/>
      <c r="O277" s="219"/>
      <c r="P277" s="111"/>
      <c r="Q277" s="223"/>
      <c r="R277" s="218"/>
      <c r="S277" s="111"/>
    </row>
    <row r="278" ht="21.0" customHeight="1">
      <c r="A278" s="216"/>
      <c r="B278" s="111"/>
      <c r="C278" s="111"/>
      <c r="D278" s="111"/>
      <c r="E278" s="217"/>
      <c r="F278" s="218"/>
      <c r="G278" s="219"/>
      <c r="H278" s="219"/>
      <c r="I278" s="220"/>
      <c r="J278" s="220"/>
      <c r="K278" s="221"/>
      <c r="L278" s="222"/>
      <c r="M278" s="221"/>
      <c r="N278" s="218"/>
      <c r="O278" s="219"/>
      <c r="P278" s="111"/>
      <c r="Q278" s="223"/>
      <c r="R278" s="218"/>
      <c r="S278" s="111"/>
    </row>
    <row r="279" ht="21.0" customHeight="1">
      <c r="A279" s="216"/>
      <c r="B279" s="111"/>
      <c r="C279" s="111"/>
      <c r="D279" s="111"/>
      <c r="E279" s="217"/>
      <c r="F279" s="218"/>
      <c r="G279" s="219"/>
      <c r="H279" s="219"/>
      <c r="I279" s="220"/>
      <c r="J279" s="220"/>
      <c r="K279" s="221"/>
      <c r="L279" s="222"/>
      <c r="M279" s="221"/>
      <c r="N279" s="218"/>
      <c r="O279" s="219"/>
      <c r="P279" s="111"/>
      <c r="Q279" s="223"/>
      <c r="R279" s="218"/>
      <c r="S279" s="111"/>
    </row>
    <row r="280" ht="21.0" customHeight="1">
      <c r="A280" s="216"/>
      <c r="B280" s="111"/>
      <c r="C280" s="111"/>
      <c r="D280" s="111"/>
      <c r="E280" s="217"/>
      <c r="F280" s="218"/>
      <c r="G280" s="219"/>
      <c r="H280" s="219"/>
      <c r="I280" s="220"/>
      <c r="J280" s="220"/>
      <c r="K280" s="221"/>
      <c r="L280" s="222"/>
      <c r="M280" s="221"/>
      <c r="N280" s="218"/>
      <c r="O280" s="219"/>
      <c r="P280" s="111"/>
      <c r="Q280" s="223"/>
      <c r="R280" s="218"/>
      <c r="S280" s="111"/>
    </row>
    <row r="281" ht="21.0" customHeight="1">
      <c r="A281" s="216"/>
      <c r="B281" s="111"/>
      <c r="C281" s="111"/>
      <c r="D281" s="111"/>
      <c r="E281" s="217"/>
      <c r="F281" s="218"/>
      <c r="G281" s="219"/>
      <c r="H281" s="219"/>
      <c r="I281" s="220"/>
      <c r="J281" s="220"/>
      <c r="K281" s="221"/>
      <c r="L281" s="222"/>
      <c r="M281" s="221"/>
      <c r="N281" s="218"/>
      <c r="O281" s="219"/>
      <c r="P281" s="111"/>
      <c r="Q281" s="223"/>
      <c r="R281" s="218"/>
      <c r="S281" s="111"/>
    </row>
    <row r="282" ht="21.0" customHeight="1">
      <c r="A282" s="216"/>
      <c r="B282" s="111"/>
      <c r="C282" s="111"/>
      <c r="D282" s="111"/>
      <c r="E282" s="217"/>
      <c r="F282" s="218"/>
      <c r="G282" s="219"/>
      <c r="H282" s="219"/>
      <c r="I282" s="220"/>
      <c r="J282" s="220"/>
      <c r="K282" s="221"/>
      <c r="L282" s="222"/>
      <c r="M282" s="221"/>
      <c r="N282" s="218"/>
      <c r="O282" s="219"/>
      <c r="P282" s="111"/>
      <c r="Q282" s="223"/>
      <c r="R282" s="218"/>
      <c r="S282" s="111"/>
    </row>
    <row r="283" ht="21.0" customHeight="1">
      <c r="A283" s="216"/>
      <c r="B283" s="111"/>
      <c r="C283" s="111"/>
      <c r="D283" s="111"/>
      <c r="E283" s="217"/>
      <c r="F283" s="218"/>
      <c r="G283" s="219"/>
      <c r="H283" s="219"/>
      <c r="I283" s="220"/>
      <c r="J283" s="220"/>
      <c r="K283" s="221"/>
      <c r="L283" s="222"/>
      <c r="M283" s="221"/>
      <c r="N283" s="218"/>
      <c r="O283" s="219"/>
      <c r="P283" s="111"/>
      <c r="Q283" s="223"/>
      <c r="R283" s="218"/>
      <c r="S283" s="111"/>
    </row>
    <row r="284" ht="21.0" customHeight="1">
      <c r="A284" s="216"/>
      <c r="B284" s="111"/>
      <c r="C284" s="111"/>
      <c r="D284" s="111"/>
      <c r="E284" s="217"/>
      <c r="F284" s="218"/>
      <c r="G284" s="219"/>
      <c r="H284" s="219"/>
      <c r="I284" s="220"/>
      <c r="J284" s="220"/>
      <c r="K284" s="221"/>
      <c r="L284" s="222"/>
      <c r="M284" s="221"/>
      <c r="N284" s="218"/>
      <c r="O284" s="219"/>
      <c r="P284" s="111"/>
      <c r="Q284" s="223"/>
      <c r="R284" s="218"/>
      <c r="S284" s="111"/>
    </row>
    <row r="285" ht="21.0" customHeight="1">
      <c r="A285" s="216"/>
      <c r="B285" s="111"/>
      <c r="C285" s="111"/>
      <c r="D285" s="111"/>
      <c r="E285" s="217"/>
      <c r="F285" s="218"/>
      <c r="G285" s="219"/>
      <c r="H285" s="219"/>
      <c r="I285" s="220"/>
      <c r="J285" s="220"/>
      <c r="K285" s="221"/>
      <c r="L285" s="222"/>
      <c r="M285" s="221"/>
      <c r="N285" s="218"/>
      <c r="O285" s="219"/>
      <c r="P285" s="111"/>
      <c r="Q285" s="223"/>
      <c r="R285" s="218"/>
      <c r="S285" s="111"/>
    </row>
    <row r="286" ht="21.0" customHeight="1">
      <c r="A286" s="216"/>
      <c r="B286" s="111"/>
      <c r="C286" s="111"/>
      <c r="D286" s="111"/>
      <c r="E286" s="217"/>
      <c r="F286" s="218"/>
      <c r="G286" s="219"/>
      <c r="H286" s="219"/>
      <c r="I286" s="220"/>
      <c r="J286" s="220"/>
      <c r="K286" s="221"/>
      <c r="L286" s="222"/>
      <c r="M286" s="221"/>
      <c r="N286" s="218"/>
      <c r="O286" s="219"/>
      <c r="P286" s="111"/>
      <c r="Q286" s="223"/>
      <c r="R286" s="218"/>
      <c r="S286" s="111"/>
    </row>
    <row r="287" ht="21.0" customHeight="1">
      <c r="A287" s="216"/>
      <c r="B287" s="111"/>
      <c r="C287" s="111"/>
      <c r="D287" s="111"/>
      <c r="E287" s="217"/>
      <c r="F287" s="218"/>
      <c r="G287" s="219"/>
      <c r="H287" s="219"/>
      <c r="I287" s="220"/>
      <c r="J287" s="220"/>
      <c r="K287" s="221"/>
      <c r="L287" s="222"/>
      <c r="M287" s="221"/>
      <c r="N287" s="218"/>
      <c r="O287" s="219"/>
      <c r="P287" s="111"/>
      <c r="Q287" s="223"/>
      <c r="R287" s="218"/>
      <c r="S287" s="111"/>
    </row>
    <row r="288" ht="21.0" customHeight="1">
      <c r="A288" s="216"/>
      <c r="B288" s="111"/>
      <c r="C288" s="111"/>
      <c r="D288" s="111"/>
      <c r="E288" s="217"/>
      <c r="F288" s="218"/>
      <c r="G288" s="219"/>
      <c r="H288" s="219"/>
      <c r="I288" s="220"/>
      <c r="J288" s="220"/>
      <c r="K288" s="221"/>
      <c r="L288" s="222"/>
      <c r="M288" s="221"/>
      <c r="N288" s="218"/>
      <c r="O288" s="219"/>
      <c r="P288" s="111"/>
      <c r="Q288" s="223"/>
      <c r="R288" s="218"/>
      <c r="S288" s="111"/>
    </row>
    <row r="289" ht="21.0" customHeight="1">
      <c r="A289" s="216"/>
      <c r="B289" s="111"/>
      <c r="C289" s="111"/>
      <c r="D289" s="111"/>
      <c r="E289" s="217"/>
      <c r="F289" s="218"/>
      <c r="G289" s="219"/>
      <c r="H289" s="219"/>
      <c r="I289" s="220"/>
      <c r="J289" s="220"/>
      <c r="K289" s="221"/>
      <c r="L289" s="222"/>
      <c r="M289" s="221"/>
      <c r="N289" s="218"/>
      <c r="O289" s="219"/>
      <c r="P289" s="111"/>
      <c r="Q289" s="223"/>
      <c r="R289" s="218"/>
      <c r="S289" s="111"/>
    </row>
    <row r="290" ht="21.0" customHeight="1">
      <c r="A290" s="216"/>
      <c r="B290" s="111"/>
      <c r="C290" s="111"/>
      <c r="D290" s="111"/>
      <c r="E290" s="217"/>
      <c r="F290" s="218"/>
      <c r="G290" s="219"/>
      <c r="H290" s="219"/>
      <c r="I290" s="220"/>
      <c r="J290" s="220"/>
      <c r="K290" s="221"/>
      <c r="L290" s="222"/>
      <c r="M290" s="221"/>
      <c r="N290" s="218"/>
      <c r="O290" s="219"/>
      <c r="P290" s="111"/>
      <c r="Q290" s="223"/>
      <c r="R290" s="218"/>
      <c r="S290" s="111"/>
    </row>
    <row r="291" ht="21.0" customHeight="1">
      <c r="A291" s="216"/>
      <c r="B291" s="111"/>
      <c r="C291" s="111"/>
      <c r="D291" s="111"/>
      <c r="E291" s="217"/>
      <c r="F291" s="218"/>
      <c r="G291" s="219"/>
      <c r="H291" s="219"/>
      <c r="I291" s="220"/>
      <c r="J291" s="220"/>
      <c r="K291" s="221"/>
      <c r="L291" s="222"/>
      <c r="M291" s="221"/>
      <c r="N291" s="218"/>
      <c r="O291" s="219"/>
      <c r="P291" s="111"/>
      <c r="Q291" s="223"/>
      <c r="R291" s="218"/>
      <c r="S291" s="111"/>
    </row>
    <row r="292" ht="21.0" customHeight="1">
      <c r="A292" s="216"/>
      <c r="B292" s="111"/>
      <c r="C292" s="111"/>
      <c r="D292" s="111"/>
      <c r="E292" s="217"/>
      <c r="F292" s="218"/>
      <c r="G292" s="219"/>
      <c r="H292" s="219"/>
      <c r="I292" s="220"/>
      <c r="J292" s="220"/>
      <c r="K292" s="221"/>
      <c r="L292" s="222"/>
      <c r="M292" s="221"/>
      <c r="N292" s="218"/>
      <c r="O292" s="219"/>
      <c r="P292" s="111"/>
      <c r="Q292" s="223"/>
      <c r="R292" s="218"/>
      <c r="S292" s="111"/>
    </row>
    <row r="293" ht="21.0" customHeight="1">
      <c r="A293" s="216"/>
      <c r="B293" s="111"/>
      <c r="C293" s="111"/>
      <c r="D293" s="111"/>
      <c r="E293" s="217"/>
      <c r="F293" s="218"/>
      <c r="G293" s="219"/>
      <c r="H293" s="219"/>
      <c r="I293" s="220"/>
      <c r="J293" s="220"/>
      <c r="K293" s="221"/>
      <c r="L293" s="222"/>
      <c r="M293" s="221"/>
      <c r="N293" s="218"/>
      <c r="O293" s="219"/>
      <c r="P293" s="111"/>
      <c r="Q293" s="223"/>
      <c r="R293" s="218"/>
      <c r="S293" s="111"/>
    </row>
    <row r="294" ht="21.0" customHeight="1">
      <c r="A294" s="216"/>
      <c r="B294" s="111"/>
      <c r="C294" s="111"/>
      <c r="D294" s="111"/>
      <c r="E294" s="217"/>
      <c r="F294" s="218"/>
      <c r="G294" s="219"/>
      <c r="H294" s="219"/>
      <c r="I294" s="220"/>
      <c r="J294" s="220"/>
      <c r="K294" s="221"/>
      <c r="L294" s="222"/>
      <c r="M294" s="221"/>
      <c r="N294" s="218"/>
      <c r="O294" s="219"/>
      <c r="P294" s="111"/>
      <c r="Q294" s="223"/>
      <c r="R294" s="218"/>
      <c r="S294" s="111"/>
    </row>
    <row r="295" ht="21.0" customHeight="1">
      <c r="A295" s="216"/>
      <c r="B295" s="111"/>
      <c r="C295" s="111"/>
      <c r="D295" s="111"/>
      <c r="E295" s="217"/>
      <c r="F295" s="218"/>
      <c r="G295" s="219"/>
      <c r="H295" s="219"/>
      <c r="I295" s="220"/>
      <c r="J295" s="220"/>
      <c r="K295" s="221"/>
      <c r="L295" s="222"/>
      <c r="M295" s="221"/>
      <c r="N295" s="218"/>
      <c r="O295" s="219"/>
      <c r="P295" s="111"/>
      <c r="Q295" s="223"/>
      <c r="R295" s="218"/>
      <c r="S295" s="111"/>
    </row>
    <row r="296" ht="21.0" customHeight="1">
      <c r="A296" s="216"/>
      <c r="B296" s="111"/>
      <c r="C296" s="111"/>
      <c r="D296" s="111"/>
      <c r="E296" s="217"/>
      <c r="F296" s="218"/>
      <c r="G296" s="219"/>
      <c r="H296" s="219"/>
      <c r="I296" s="220"/>
      <c r="J296" s="220"/>
      <c r="K296" s="221"/>
      <c r="L296" s="222"/>
      <c r="M296" s="221"/>
      <c r="N296" s="218"/>
      <c r="O296" s="219"/>
      <c r="P296" s="111"/>
      <c r="Q296" s="223"/>
      <c r="R296" s="218"/>
      <c r="S296" s="111"/>
    </row>
    <row r="297" ht="21.0" customHeight="1">
      <c r="A297" s="216"/>
      <c r="B297" s="111"/>
      <c r="C297" s="111"/>
      <c r="D297" s="111"/>
      <c r="E297" s="217"/>
      <c r="F297" s="218"/>
      <c r="G297" s="219"/>
      <c r="H297" s="219"/>
      <c r="I297" s="220"/>
      <c r="J297" s="220"/>
      <c r="K297" s="221"/>
      <c r="L297" s="222"/>
      <c r="M297" s="221"/>
      <c r="N297" s="218"/>
      <c r="O297" s="219"/>
      <c r="P297" s="111"/>
      <c r="Q297" s="223"/>
      <c r="R297" s="218"/>
      <c r="S297" s="111"/>
    </row>
    <row r="298" ht="21.0" customHeight="1">
      <c r="A298" s="216"/>
      <c r="B298" s="111"/>
      <c r="C298" s="111"/>
      <c r="D298" s="111"/>
      <c r="E298" s="217"/>
      <c r="F298" s="218"/>
      <c r="G298" s="219"/>
      <c r="H298" s="219"/>
      <c r="I298" s="220"/>
      <c r="J298" s="220"/>
      <c r="K298" s="221"/>
      <c r="L298" s="222"/>
      <c r="M298" s="221"/>
      <c r="N298" s="218"/>
      <c r="O298" s="219"/>
      <c r="P298" s="111"/>
      <c r="Q298" s="223"/>
      <c r="R298" s="218"/>
      <c r="S298" s="111"/>
    </row>
    <row r="299" ht="21.0" customHeight="1">
      <c r="A299" s="216"/>
      <c r="B299" s="111"/>
      <c r="C299" s="111"/>
      <c r="D299" s="111"/>
      <c r="E299" s="217"/>
      <c r="F299" s="218"/>
      <c r="G299" s="219"/>
      <c r="H299" s="219"/>
      <c r="I299" s="220"/>
      <c r="J299" s="220"/>
      <c r="K299" s="221"/>
      <c r="L299" s="222"/>
      <c r="M299" s="221"/>
      <c r="N299" s="218"/>
      <c r="O299" s="219"/>
      <c r="P299" s="111"/>
      <c r="Q299" s="223"/>
      <c r="R299" s="218"/>
      <c r="S299" s="111"/>
    </row>
    <row r="300" ht="21.0" customHeight="1">
      <c r="A300" s="216"/>
      <c r="B300" s="111"/>
      <c r="C300" s="111"/>
      <c r="D300" s="111"/>
      <c r="E300" s="217"/>
      <c r="F300" s="218"/>
      <c r="G300" s="219"/>
      <c r="H300" s="219"/>
      <c r="I300" s="220"/>
      <c r="J300" s="220"/>
      <c r="K300" s="221"/>
      <c r="L300" s="222"/>
      <c r="M300" s="221"/>
      <c r="N300" s="218"/>
      <c r="O300" s="219"/>
      <c r="P300" s="111"/>
      <c r="Q300" s="223"/>
      <c r="R300" s="218"/>
      <c r="S300" s="111"/>
    </row>
    <row r="301" ht="21.0" customHeight="1">
      <c r="A301" s="216"/>
      <c r="B301" s="111"/>
      <c r="C301" s="111"/>
      <c r="D301" s="111"/>
      <c r="E301" s="217"/>
      <c r="F301" s="218"/>
      <c r="G301" s="219"/>
      <c r="H301" s="219"/>
      <c r="I301" s="220"/>
      <c r="J301" s="220"/>
      <c r="K301" s="221"/>
      <c r="L301" s="222"/>
      <c r="M301" s="221"/>
      <c r="N301" s="218"/>
      <c r="O301" s="219"/>
      <c r="P301" s="111"/>
      <c r="Q301" s="223"/>
      <c r="R301" s="218"/>
      <c r="S301" s="111"/>
    </row>
    <row r="302" ht="21.0" customHeight="1">
      <c r="A302" s="216"/>
      <c r="B302" s="111"/>
      <c r="C302" s="111"/>
      <c r="D302" s="111"/>
      <c r="E302" s="217"/>
      <c r="F302" s="218"/>
      <c r="G302" s="219"/>
      <c r="H302" s="219"/>
      <c r="I302" s="220"/>
      <c r="J302" s="220"/>
      <c r="K302" s="221"/>
      <c r="L302" s="222"/>
      <c r="M302" s="221"/>
      <c r="N302" s="218"/>
      <c r="O302" s="219"/>
      <c r="P302" s="111"/>
      <c r="Q302" s="223"/>
      <c r="R302" s="218"/>
      <c r="S302" s="111"/>
    </row>
    <row r="303" ht="21.0" customHeight="1">
      <c r="A303" s="216"/>
      <c r="B303" s="111"/>
      <c r="C303" s="111"/>
      <c r="D303" s="111"/>
      <c r="E303" s="217"/>
      <c r="F303" s="218"/>
      <c r="G303" s="219"/>
      <c r="H303" s="219"/>
      <c r="I303" s="220"/>
      <c r="J303" s="220"/>
      <c r="K303" s="221"/>
      <c r="L303" s="222"/>
      <c r="M303" s="221"/>
      <c r="N303" s="218"/>
      <c r="O303" s="219"/>
      <c r="P303" s="111"/>
      <c r="Q303" s="223"/>
      <c r="R303" s="218"/>
      <c r="S303" s="111"/>
    </row>
    <row r="304" ht="21.0" customHeight="1">
      <c r="A304" s="216"/>
      <c r="B304" s="111"/>
      <c r="C304" s="111"/>
      <c r="D304" s="111"/>
      <c r="E304" s="217"/>
      <c r="F304" s="218"/>
      <c r="G304" s="219"/>
      <c r="H304" s="219"/>
      <c r="I304" s="220"/>
      <c r="J304" s="220"/>
      <c r="K304" s="221"/>
      <c r="L304" s="222"/>
      <c r="M304" s="221"/>
      <c r="N304" s="218"/>
      <c r="O304" s="219"/>
      <c r="P304" s="111"/>
      <c r="Q304" s="223"/>
      <c r="R304" s="218"/>
      <c r="S304" s="111"/>
    </row>
    <row r="305" ht="21.0" customHeight="1">
      <c r="A305" s="216"/>
      <c r="B305" s="111"/>
      <c r="C305" s="111"/>
      <c r="D305" s="111"/>
      <c r="E305" s="217"/>
      <c r="F305" s="218"/>
      <c r="G305" s="219"/>
      <c r="H305" s="219"/>
      <c r="I305" s="220"/>
      <c r="J305" s="220"/>
      <c r="K305" s="221"/>
      <c r="L305" s="222"/>
      <c r="M305" s="221"/>
      <c r="N305" s="218"/>
      <c r="O305" s="219"/>
      <c r="P305" s="111"/>
      <c r="Q305" s="223"/>
      <c r="R305" s="218"/>
      <c r="S305" s="111"/>
    </row>
    <row r="306" ht="21.0" customHeight="1">
      <c r="A306" s="216"/>
      <c r="B306" s="111"/>
      <c r="C306" s="111"/>
      <c r="D306" s="111"/>
      <c r="E306" s="217"/>
      <c r="F306" s="218"/>
      <c r="G306" s="219"/>
      <c r="H306" s="219"/>
      <c r="I306" s="220"/>
      <c r="J306" s="220"/>
      <c r="K306" s="221"/>
      <c r="L306" s="222"/>
      <c r="M306" s="221"/>
      <c r="N306" s="218"/>
      <c r="O306" s="219"/>
      <c r="P306" s="111"/>
      <c r="Q306" s="223"/>
      <c r="R306" s="218"/>
      <c r="S306" s="111"/>
    </row>
    <row r="307" ht="21.0" customHeight="1">
      <c r="A307" s="216"/>
      <c r="B307" s="111"/>
      <c r="C307" s="111"/>
      <c r="D307" s="111"/>
      <c r="E307" s="217"/>
      <c r="F307" s="218"/>
      <c r="G307" s="219"/>
      <c r="H307" s="219"/>
      <c r="I307" s="220"/>
      <c r="J307" s="220"/>
      <c r="K307" s="221"/>
      <c r="L307" s="222"/>
      <c r="M307" s="221"/>
      <c r="N307" s="218"/>
      <c r="O307" s="219"/>
      <c r="P307" s="111"/>
      <c r="Q307" s="223"/>
      <c r="R307" s="218"/>
      <c r="S307" s="111"/>
    </row>
    <row r="308" ht="21.0" customHeight="1">
      <c r="A308" s="216"/>
      <c r="B308" s="111"/>
      <c r="C308" s="111"/>
      <c r="D308" s="111"/>
      <c r="E308" s="217"/>
      <c r="F308" s="218"/>
      <c r="G308" s="219"/>
      <c r="H308" s="219"/>
      <c r="I308" s="220"/>
      <c r="J308" s="220"/>
      <c r="K308" s="221"/>
      <c r="L308" s="222"/>
      <c r="M308" s="221"/>
      <c r="N308" s="218"/>
      <c r="O308" s="219"/>
      <c r="P308" s="111"/>
      <c r="Q308" s="223"/>
      <c r="R308" s="218"/>
      <c r="S308" s="111"/>
    </row>
    <row r="309" ht="21.0" customHeight="1">
      <c r="A309" s="216"/>
      <c r="B309" s="111"/>
      <c r="C309" s="111"/>
      <c r="D309" s="111"/>
      <c r="E309" s="217"/>
      <c r="F309" s="218"/>
      <c r="G309" s="219"/>
      <c r="H309" s="219"/>
      <c r="I309" s="220"/>
      <c r="J309" s="220"/>
      <c r="K309" s="221"/>
      <c r="L309" s="222"/>
      <c r="M309" s="221"/>
      <c r="N309" s="218"/>
      <c r="O309" s="219"/>
      <c r="P309" s="111"/>
      <c r="Q309" s="223"/>
      <c r="R309" s="218"/>
      <c r="S309" s="111"/>
    </row>
    <row r="310" ht="21.0" customHeight="1">
      <c r="A310" s="216"/>
      <c r="B310" s="111"/>
      <c r="C310" s="111"/>
      <c r="D310" s="111"/>
      <c r="E310" s="217"/>
      <c r="F310" s="218"/>
      <c r="G310" s="219"/>
      <c r="H310" s="219"/>
      <c r="I310" s="220"/>
      <c r="J310" s="220"/>
      <c r="K310" s="221"/>
      <c r="L310" s="222"/>
      <c r="M310" s="221"/>
      <c r="N310" s="218"/>
      <c r="O310" s="219"/>
      <c r="P310" s="111"/>
      <c r="Q310" s="223"/>
      <c r="R310" s="218"/>
      <c r="S310" s="111"/>
    </row>
    <row r="311" ht="21.0" customHeight="1">
      <c r="A311" s="216"/>
      <c r="B311" s="111"/>
      <c r="C311" s="111"/>
      <c r="D311" s="111"/>
      <c r="E311" s="217"/>
      <c r="F311" s="218"/>
      <c r="G311" s="219"/>
      <c r="H311" s="219"/>
      <c r="I311" s="220"/>
      <c r="J311" s="220"/>
      <c r="K311" s="221"/>
      <c r="L311" s="222"/>
      <c r="M311" s="221"/>
      <c r="N311" s="218"/>
      <c r="O311" s="219"/>
      <c r="P311" s="111"/>
      <c r="Q311" s="223"/>
      <c r="R311" s="218"/>
      <c r="S311" s="111"/>
    </row>
    <row r="312" ht="21.0" customHeight="1">
      <c r="A312" s="216"/>
      <c r="B312" s="111"/>
      <c r="C312" s="111"/>
      <c r="D312" s="111"/>
      <c r="E312" s="217"/>
      <c r="F312" s="218"/>
      <c r="G312" s="219"/>
      <c r="H312" s="219"/>
      <c r="I312" s="220"/>
      <c r="J312" s="220"/>
      <c r="K312" s="221"/>
      <c r="L312" s="222"/>
      <c r="M312" s="221"/>
      <c r="N312" s="218"/>
      <c r="O312" s="219"/>
      <c r="P312" s="111"/>
      <c r="Q312" s="223"/>
      <c r="R312" s="218"/>
      <c r="S312" s="111"/>
    </row>
    <row r="313" ht="21.0" customHeight="1">
      <c r="A313" s="216"/>
      <c r="B313" s="111"/>
      <c r="C313" s="111"/>
      <c r="D313" s="111"/>
      <c r="E313" s="217"/>
      <c r="F313" s="218"/>
      <c r="G313" s="219"/>
      <c r="H313" s="219"/>
      <c r="I313" s="220"/>
      <c r="J313" s="220"/>
      <c r="K313" s="221"/>
      <c r="L313" s="222"/>
      <c r="M313" s="221"/>
      <c r="N313" s="218"/>
      <c r="O313" s="219"/>
      <c r="P313" s="111"/>
      <c r="Q313" s="223"/>
      <c r="R313" s="218"/>
      <c r="S313" s="111"/>
    </row>
    <row r="314" ht="21.0" customHeight="1">
      <c r="A314" s="216"/>
      <c r="B314" s="111"/>
      <c r="C314" s="111"/>
      <c r="D314" s="111"/>
      <c r="E314" s="217"/>
      <c r="F314" s="218"/>
      <c r="G314" s="219"/>
      <c r="H314" s="219"/>
      <c r="I314" s="220"/>
      <c r="J314" s="220"/>
      <c r="K314" s="221"/>
      <c r="L314" s="222"/>
      <c r="M314" s="221"/>
      <c r="N314" s="218"/>
      <c r="O314" s="219"/>
      <c r="P314" s="111"/>
      <c r="Q314" s="223"/>
      <c r="R314" s="218"/>
      <c r="S314" s="111"/>
    </row>
    <row r="315" ht="21.0" customHeight="1">
      <c r="A315" s="216"/>
      <c r="B315" s="111"/>
      <c r="C315" s="111"/>
      <c r="D315" s="111"/>
      <c r="E315" s="217"/>
      <c r="F315" s="218"/>
      <c r="G315" s="219"/>
      <c r="H315" s="219"/>
      <c r="I315" s="220"/>
      <c r="J315" s="220"/>
      <c r="K315" s="221"/>
      <c r="L315" s="222"/>
      <c r="M315" s="221"/>
      <c r="N315" s="218"/>
      <c r="O315" s="219"/>
      <c r="P315" s="111"/>
      <c r="Q315" s="223"/>
      <c r="R315" s="218"/>
      <c r="S315" s="111"/>
    </row>
    <row r="316" ht="21.0" customHeight="1">
      <c r="A316" s="216"/>
      <c r="B316" s="111"/>
      <c r="C316" s="111"/>
      <c r="D316" s="111"/>
      <c r="E316" s="217"/>
      <c r="F316" s="218"/>
      <c r="G316" s="219"/>
      <c r="H316" s="219"/>
      <c r="I316" s="220"/>
      <c r="J316" s="220"/>
      <c r="K316" s="221"/>
      <c r="L316" s="222"/>
      <c r="M316" s="221"/>
      <c r="N316" s="218"/>
      <c r="O316" s="219"/>
      <c r="P316" s="111"/>
      <c r="Q316" s="223"/>
      <c r="R316" s="218"/>
      <c r="S316" s="111"/>
    </row>
    <row r="317" ht="21.0" customHeight="1">
      <c r="A317" s="216"/>
      <c r="B317" s="111"/>
      <c r="C317" s="111"/>
      <c r="D317" s="111"/>
      <c r="E317" s="217"/>
      <c r="F317" s="218"/>
      <c r="G317" s="219"/>
      <c r="H317" s="219"/>
      <c r="I317" s="220"/>
      <c r="J317" s="220"/>
      <c r="K317" s="221"/>
      <c r="L317" s="222"/>
      <c r="M317" s="221"/>
      <c r="N317" s="218"/>
      <c r="O317" s="219"/>
      <c r="P317" s="111"/>
      <c r="Q317" s="223"/>
      <c r="R317" s="218"/>
      <c r="S317" s="111"/>
    </row>
    <row r="318" ht="21.0" customHeight="1">
      <c r="A318" s="216"/>
      <c r="B318" s="111"/>
      <c r="C318" s="111"/>
      <c r="D318" s="111"/>
      <c r="E318" s="217"/>
      <c r="F318" s="218"/>
      <c r="G318" s="219"/>
      <c r="H318" s="219"/>
      <c r="I318" s="220"/>
      <c r="J318" s="220"/>
      <c r="K318" s="221"/>
      <c r="L318" s="222"/>
      <c r="M318" s="221"/>
      <c r="N318" s="218"/>
      <c r="O318" s="219"/>
      <c r="P318" s="111"/>
      <c r="Q318" s="223"/>
      <c r="R318" s="218"/>
      <c r="S318" s="111"/>
    </row>
    <row r="319" ht="21.0" customHeight="1">
      <c r="A319" s="216"/>
      <c r="B319" s="111"/>
      <c r="C319" s="111"/>
      <c r="D319" s="111"/>
      <c r="E319" s="217"/>
      <c r="F319" s="218"/>
      <c r="G319" s="219"/>
      <c r="H319" s="219"/>
      <c r="I319" s="220"/>
      <c r="J319" s="220"/>
      <c r="K319" s="221"/>
      <c r="L319" s="222"/>
      <c r="M319" s="221"/>
      <c r="N319" s="218"/>
      <c r="O319" s="219"/>
      <c r="P319" s="111"/>
      <c r="Q319" s="223"/>
      <c r="R319" s="218"/>
      <c r="S319" s="111"/>
    </row>
    <row r="320" ht="21.0" customHeight="1">
      <c r="A320" s="216"/>
      <c r="B320" s="111"/>
      <c r="C320" s="111"/>
      <c r="D320" s="111"/>
      <c r="E320" s="217"/>
      <c r="F320" s="218"/>
      <c r="G320" s="219"/>
      <c r="H320" s="219"/>
      <c r="I320" s="220"/>
      <c r="J320" s="220"/>
      <c r="K320" s="221"/>
      <c r="L320" s="222"/>
      <c r="M320" s="221"/>
      <c r="N320" s="218"/>
      <c r="O320" s="219"/>
      <c r="P320" s="111"/>
      <c r="Q320" s="223"/>
      <c r="R320" s="218"/>
      <c r="S320" s="111"/>
    </row>
    <row r="321" ht="21.0" customHeight="1">
      <c r="A321" s="216"/>
      <c r="B321" s="111"/>
      <c r="C321" s="111"/>
      <c r="D321" s="111"/>
      <c r="E321" s="217"/>
      <c r="F321" s="218"/>
      <c r="G321" s="219"/>
      <c r="H321" s="219"/>
      <c r="I321" s="220"/>
      <c r="J321" s="220"/>
      <c r="K321" s="221"/>
      <c r="L321" s="222"/>
      <c r="M321" s="221"/>
      <c r="N321" s="218"/>
      <c r="O321" s="219"/>
      <c r="P321" s="111"/>
      <c r="Q321" s="223"/>
      <c r="R321" s="218"/>
      <c r="S321" s="111"/>
    </row>
    <row r="322" ht="21.0" customHeight="1">
      <c r="A322" s="216"/>
      <c r="B322" s="111"/>
      <c r="C322" s="111"/>
      <c r="D322" s="111"/>
      <c r="E322" s="217"/>
      <c r="F322" s="218"/>
      <c r="G322" s="219"/>
      <c r="H322" s="219"/>
      <c r="I322" s="220"/>
      <c r="J322" s="220"/>
      <c r="K322" s="221"/>
      <c r="L322" s="222"/>
      <c r="M322" s="221"/>
      <c r="N322" s="218"/>
      <c r="O322" s="219"/>
      <c r="P322" s="111"/>
      <c r="Q322" s="223"/>
      <c r="R322" s="218"/>
      <c r="S322" s="111"/>
    </row>
    <row r="323" ht="21.0" customHeight="1">
      <c r="A323" s="216"/>
      <c r="B323" s="111"/>
      <c r="C323" s="111"/>
      <c r="D323" s="111"/>
      <c r="E323" s="217"/>
      <c r="F323" s="218"/>
      <c r="G323" s="219"/>
      <c r="H323" s="219"/>
      <c r="I323" s="220"/>
      <c r="J323" s="220"/>
      <c r="K323" s="221"/>
      <c r="L323" s="222"/>
      <c r="M323" s="221"/>
      <c r="N323" s="218"/>
      <c r="O323" s="219"/>
      <c r="P323" s="111"/>
      <c r="Q323" s="223"/>
      <c r="R323" s="218"/>
      <c r="S323" s="111"/>
    </row>
    <row r="324" ht="21.0" customHeight="1">
      <c r="A324" s="216"/>
      <c r="B324" s="111"/>
      <c r="C324" s="111"/>
      <c r="D324" s="111"/>
      <c r="E324" s="217"/>
      <c r="F324" s="218"/>
      <c r="G324" s="219"/>
      <c r="H324" s="219"/>
      <c r="I324" s="220"/>
      <c r="J324" s="220"/>
      <c r="K324" s="221"/>
      <c r="L324" s="222"/>
      <c r="M324" s="221"/>
      <c r="N324" s="218"/>
      <c r="O324" s="219"/>
      <c r="P324" s="111"/>
      <c r="Q324" s="223"/>
      <c r="R324" s="218"/>
      <c r="S324" s="111"/>
    </row>
    <row r="325" ht="21.0" customHeight="1">
      <c r="A325" s="216"/>
      <c r="B325" s="111"/>
      <c r="C325" s="111"/>
      <c r="D325" s="111"/>
      <c r="E325" s="217"/>
      <c r="F325" s="218"/>
      <c r="G325" s="219"/>
      <c r="H325" s="219"/>
      <c r="I325" s="220"/>
      <c r="J325" s="220"/>
      <c r="K325" s="221"/>
      <c r="L325" s="222"/>
      <c r="M325" s="221"/>
      <c r="N325" s="218"/>
      <c r="O325" s="219"/>
      <c r="P325" s="111"/>
      <c r="Q325" s="223"/>
      <c r="R325" s="218"/>
      <c r="S325" s="111"/>
    </row>
    <row r="326" ht="21.0" customHeight="1">
      <c r="A326" s="216"/>
      <c r="B326" s="111"/>
      <c r="C326" s="111"/>
      <c r="D326" s="111"/>
      <c r="E326" s="217"/>
      <c r="F326" s="218"/>
      <c r="G326" s="219"/>
      <c r="H326" s="219"/>
      <c r="I326" s="220"/>
      <c r="J326" s="220"/>
      <c r="K326" s="221"/>
      <c r="L326" s="222"/>
      <c r="M326" s="221"/>
      <c r="N326" s="218"/>
      <c r="O326" s="219"/>
      <c r="P326" s="111"/>
      <c r="Q326" s="223"/>
      <c r="R326" s="218"/>
      <c r="S326" s="111"/>
    </row>
    <row r="327" ht="21.0" customHeight="1">
      <c r="A327" s="216"/>
      <c r="B327" s="111"/>
      <c r="C327" s="111"/>
      <c r="D327" s="111"/>
      <c r="E327" s="217"/>
      <c r="F327" s="218"/>
      <c r="G327" s="219"/>
      <c r="H327" s="219"/>
      <c r="I327" s="220"/>
      <c r="J327" s="220"/>
      <c r="K327" s="221"/>
      <c r="L327" s="222"/>
      <c r="M327" s="221"/>
      <c r="N327" s="218"/>
      <c r="O327" s="219"/>
      <c r="P327" s="111"/>
      <c r="Q327" s="223"/>
      <c r="R327" s="218"/>
      <c r="S327" s="111"/>
    </row>
    <row r="328" ht="21.0" customHeight="1">
      <c r="A328" s="216"/>
      <c r="B328" s="111"/>
      <c r="C328" s="111"/>
      <c r="D328" s="111"/>
      <c r="E328" s="217"/>
      <c r="F328" s="218"/>
      <c r="G328" s="219"/>
      <c r="H328" s="219"/>
      <c r="I328" s="220"/>
      <c r="J328" s="220"/>
      <c r="K328" s="221"/>
      <c r="L328" s="222"/>
      <c r="M328" s="221"/>
      <c r="N328" s="218"/>
      <c r="O328" s="219"/>
      <c r="P328" s="111"/>
      <c r="Q328" s="223"/>
      <c r="R328" s="218"/>
      <c r="S328" s="111"/>
    </row>
    <row r="329" ht="21.0" customHeight="1">
      <c r="A329" s="216"/>
      <c r="B329" s="111"/>
      <c r="C329" s="111"/>
      <c r="D329" s="111"/>
      <c r="E329" s="217"/>
      <c r="F329" s="218"/>
      <c r="G329" s="219"/>
      <c r="H329" s="219"/>
      <c r="I329" s="220"/>
      <c r="J329" s="220"/>
      <c r="K329" s="221"/>
      <c r="L329" s="222"/>
      <c r="M329" s="221"/>
      <c r="N329" s="218"/>
      <c r="O329" s="219"/>
      <c r="P329" s="111"/>
      <c r="Q329" s="223"/>
      <c r="R329" s="218"/>
      <c r="S329" s="111"/>
    </row>
    <row r="330" ht="21.0" customHeight="1">
      <c r="A330" s="216"/>
      <c r="B330" s="111"/>
      <c r="C330" s="111"/>
      <c r="D330" s="111"/>
      <c r="E330" s="217"/>
      <c r="F330" s="218"/>
      <c r="G330" s="219"/>
      <c r="H330" s="219"/>
      <c r="I330" s="220"/>
      <c r="J330" s="220"/>
      <c r="K330" s="221"/>
      <c r="L330" s="222"/>
      <c r="M330" s="221"/>
      <c r="N330" s="218"/>
      <c r="O330" s="219"/>
      <c r="P330" s="111"/>
      <c r="Q330" s="223"/>
      <c r="R330" s="218"/>
      <c r="S330" s="111"/>
    </row>
    <row r="331" ht="21.0" customHeight="1">
      <c r="A331" s="216"/>
      <c r="B331" s="111"/>
      <c r="C331" s="111"/>
      <c r="D331" s="111"/>
      <c r="E331" s="217"/>
      <c r="F331" s="218"/>
      <c r="G331" s="219"/>
      <c r="H331" s="219"/>
      <c r="I331" s="220"/>
      <c r="J331" s="220"/>
      <c r="K331" s="221"/>
      <c r="L331" s="222"/>
      <c r="M331" s="221"/>
      <c r="N331" s="218"/>
      <c r="O331" s="219"/>
      <c r="P331" s="111"/>
      <c r="Q331" s="223"/>
      <c r="R331" s="218"/>
      <c r="S331" s="111"/>
    </row>
    <row r="332" ht="21.0" customHeight="1">
      <c r="A332" s="216"/>
      <c r="B332" s="111"/>
      <c r="C332" s="111"/>
      <c r="D332" s="111"/>
      <c r="E332" s="217"/>
      <c r="F332" s="218"/>
      <c r="G332" s="219"/>
      <c r="H332" s="219"/>
      <c r="I332" s="220"/>
      <c r="J332" s="220"/>
      <c r="K332" s="221"/>
      <c r="L332" s="222"/>
      <c r="M332" s="221"/>
      <c r="N332" s="218"/>
      <c r="O332" s="219"/>
      <c r="P332" s="111"/>
      <c r="Q332" s="223"/>
      <c r="R332" s="218"/>
      <c r="S332" s="111"/>
    </row>
    <row r="333" ht="21.0" customHeight="1">
      <c r="A333" s="216"/>
      <c r="B333" s="111"/>
      <c r="C333" s="111"/>
      <c r="D333" s="111"/>
      <c r="E333" s="217"/>
      <c r="F333" s="218"/>
      <c r="G333" s="219"/>
      <c r="H333" s="219"/>
      <c r="I333" s="220"/>
      <c r="J333" s="220"/>
      <c r="K333" s="221"/>
      <c r="L333" s="222"/>
      <c r="M333" s="221"/>
      <c r="N333" s="218"/>
      <c r="O333" s="219"/>
      <c r="P333" s="111"/>
      <c r="Q333" s="223"/>
      <c r="R333" s="218"/>
      <c r="S333" s="111"/>
    </row>
    <row r="334" ht="21.0" customHeight="1">
      <c r="A334" s="216"/>
      <c r="B334" s="111"/>
      <c r="C334" s="111"/>
      <c r="D334" s="111"/>
      <c r="E334" s="217"/>
      <c r="F334" s="218"/>
      <c r="G334" s="219"/>
      <c r="H334" s="219"/>
      <c r="I334" s="220"/>
      <c r="J334" s="220"/>
      <c r="K334" s="221"/>
      <c r="L334" s="222"/>
      <c r="M334" s="221"/>
      <c r="N334" s="218"/>
      <c r="O334" s="219"/>
      <c r="P334" s="111"/>
      <c r="Q334" s="223"/>
      <c r="R334" s="218"/>
      <c r="S334" s="111"/>
    </row>
    <row r="335" ht="21.0" customHeight="1">
      <c r="A335" s="216"/>
      <c r="B335" s="111"/>
      <c r="C335" s="111"/>
      <c r="D335" s="111"/>
      <c r="E335" s="217"/>
      <c r="F335" s="218"/>
      <c r="G335" s="219"/>
      <c r="H335" s="219"/>
      <c r="I335" s="220"/>
      <c r="J335" s="220"/>
      <c r="K335" s="221"/>
      <c r="L335" s="222"/>
      <c r="M335" s="221"/>
      <c r="N335" s="218"/>
      <c r="O335" s="219"/>
      <c r="P335" s="111"/>
      <c r="Q335" s="223"/>
      <c r="R335" s="218"/>
      <c r="S335" s="111"/>
    </row>
    <row r="336" ht="21.0" customHeight="1">
      <c r="A336" s="216"/>
      <c r="B336" s="111"/>
      <c r="C336" s="111"/>
      <c r="D336" s="111"/>
      <c r="E336" s="217"/>
      <c r="F336" s="218"/>
      <c r="G336" s="219"/>
      <c r="H336" s="219"/>
      <c r="I336" s="220"/>
      <c r="J336" s="220"/>
      <c r="K336" s="221"/>
      <c r="L336" s="222"/>
      <c r="M336" s="221"/>
      <c r="N336" s="218"/>
      <c r="O336" s="219"/>
      <c r="P336" s="111"/>
      <c r="Q336" s="223"/>
      <c r="R336" s="218"/>
      <c r="S336" s="111"/>
    </row>
    <row r="337" ht="21.0" customHeight="1">
      <c r="A337" s="216"/>
      <c r="B337" s="111"/>
      <c r="C337" s="111"/>
      <c r="D337" s="111"/>
      <c r="E337" s="217"/>
      <c r="F337" s="218"/>
      <c r="G337" s="219"/>
      <c r="H337" s="219"/>
      <c r="I337" s="220"/>
      <c r="J337" s="220"/>
      <c r="K337" s="221"/>
      <c r="L337" s="222"/>
      <c r="M337" s="221"/>
      <c r="N337" s="218"/>
      <c r="O337" s="219"/>
      <c r="P337" s="111"/>
      <c r="Q337" s="223"/>
      <c r="R337" s="218"/>
      <c r="S337" s="111"/>
    </row>
    <row r="338" ht="21.0" customHeight="1">
      <c r="A338" s="216"/>
      <c r="B338" s="111"/>
      <c r="C338" s="111"/>
      <c r="D338" s="111"/>
      <c r="E338" s="217"/>
      <c r="F338" s="218"/>
      <c r="G338" s="219"/>
      <c r="H338" s="219"/>
      <c r="I338" s="220"/>
      <c r="J338" s="220"/>
      <c r="K338" s="221"/>
      <c r="L338" s="222"/>
      <c r="M338" s="221"/>
      <c r="N338" s="218"/>
      <c r="O338" s="219"/>
      <c r="P338" s="111"/>
      <c r="Q338" s="223"/>
      <c r="R338" s="218"/>
      <c r="S338" s="111"/>
    </row>
    <row r="339" ht="21.0" customHeight="1">
      <c r="A339" s="216"/>
      <c r="B339" s="111"/>
      <c r="C339" s="111"/>
      <c r="D339" s="111"/>
      <c r="E339" s="217"/>
      <c r="F339" s="218"/>
      <c r="G339" s="219"/>
      <c r="H339" s="219"/>
      <c r="I339" s="220"/>
      <c r="J339" s="220"/>
      <c r="K339" s="221"/>
      <c r="L339" s="222"/>
      <c r="M339" s="221"/>
      <c r="N339" s="218"/>
      <c r="O339" s="219"/>
      <c r="P339" s="111"/>
      <c r="Q339" s="223"/>
      <c r="R339" s="218"/>
      <c r="S339" s="111"/>
    </row>
    <row r="340" ht="21.0" customHeight="1">
      <c r="A340" s="216"/>
      <c r="B340" s="111"/>
      <c r="C340" s="111"/>
      <c r="D340" s="111"/>
      <c r="E340" s="217"/>
      <c r="F340" s="218"/>
      <c r="G340" s="219"/>
      <c r="H340" s="219"/>
      <c r="I340" s="220"/>
      <c r="J340" s="220"/>
      <c r="K340" s="221"/>
      <c r="L340" s="222"/>
      <c r="M340" s="221"/>
      <c r="N340" s="218"/>
      <c r="O340" s="219"/>
      <c r="P340" s="111"/>
      <c r="Q340" s="223"/>
      <c r="R340" s="218"/>
      <c r="S340" s="111"/>
    </row>
    <row r="341" ht="21.0" customHeight="1">
      <c r="A341" s="216"/>
      <c r="B341" s="111"/>
      <c r="C341" s="111"/>
      <c r="D341" s="111"/>
      <c r="E341" s="217"/>
      <c r="F341" s="218"/>
      <c r="G341" s="219"/>
      <c r="H341" s="219"/>
      <c r="I341" s="220"/>
      <c r="J341" s="220"/>
      <c r="K341" s="221"/>
      <c r="L341" s="222"/>
      <c r="M341" s="221"/>
      <c r="N341" s="218"/>
      <c r="O341" s="219"/>
      <c r="P341" s="111"/>
      <c r="Q341" s="223"/>
      <c r="R341" s="218"/>
      <c r="S341" s="111"/>
    </row>
    <row r="342" ht="21.0" customHeight="1">
      <c r="A342" s="216"/>
      <c r="B342" s="111"/>
      <c r="C342" s="111"/>
      <c r="D342" s="111"/>
      <c r="E342" s="217"/>
      <c r="F342" s="218"/>
      <c r="G342" s="219"/>
      <c r="H342" s="219"/>
      <c r="I342" s="220"/>
      <c r="J342" s="220"/>
      <c r="K342" s="221"/>
      <c r="L342" s="222"/>
      <c r="M342" s="221"/>
      <c r="N342" s="218"/>
      <c r="O342" s="219"/>
      <c r="P342" s="111"/>
      <c r="Q342" s="223"/>
      <c r="R342" s="218"/>
      <c r="S342" s="111"/>
    </row>
    <row r="343" ht="21.0" customHeight="1">
      <c r="A343" s="216"/>
      <c r="B343" s="111"/>
      <c r="C343" s="111"/>
      <c r="D343" s="111"/>
      <c r="E343" s="217"/>
      <c r="F343" s="218"/>
      <c r="G343" s="219"/>
      <c r="H343" s="219"/>
      <c r="I343" s="220"/>
      <c r="J343" s="220"/>
      <c r="K343" s="221"/>
      <c r="L343" s="222"/>
      <c r="M343" s="221"/>
      <c r="N343" s="218"/>
      <c r="O343" s="219"/>
      <c r="P343" s="111"/>
      <c r="Q343" s="223"/>
      <c r="R343" s="218"/>
      <c r="S343" s="111"/>
    </row>
    <row r="344" ht="21.0" customHeight="1">
      <c r="A344" s="216"/>
      <c r="B344" s="111"/>
      <c r="C344" s="111"/>
      <c r="D344" s="111"/>
      <c r="E344" s="217"/>
      <c r="F344" s="218"/>
      <c r="G344" s="219"/>
      <c r="H344" s="219"/>
      <c r="I344" s="220"/>
      <c r="J344" s="220"/>
      <c r="K344" s="221"/>
      <c r="L344" s="222"/>
      <c r="M344" s="221"/>
      <c r="N344" s="218"/>
      <c r="O344" s="219"/>
      <c r="P344" s="111"/>
      <c r="Q344" s="223"/>
      <c r="R344" s="218"/>
      <c r="S344" s="111"/>
    </row>
    <row r="345" ht="21.0" customHeight="1">
      <c r="A345" s="216"/>
      <c r="B345" s="111"/>
      <c r="C345" s="111"/>
      <c r="D345" s="111"/>
      <c r="E345" s="217"/>
      <c r="F345" s="218"/>
      <c r="G345" s="219"/>
      <c r="H345" s="219"/>
      <c r="I345" s="220"/>
      <c r="J345" s="220"/>
      <c r="K345" s="221"/>
      <c r="L345" s="222"/>
      <c r="M345" s="221"/>
      <c r="N345" s="218"/>
      <c r="O345" s="219"/>
      <c r="P345" s="111"/>
      <c r="Q345" s="223"/>
      <c r="R345" s="218"/>
      <c r="S345" s="111"/>
    </row>
    <row r="346" ht="21.0" customHeight="1">
      <c r="A346" s="216"/>
      <c r="B346" s="111"/>
      <c r="C346" s="111"/>
      <c r="D346" s="111"/>
      <c r="E346" s="217"/>
      <c r="F346" s="218"/>
      <c r="G346" s="219"/>
      <c r="H346" s="219"/>
      <c r="I346" s="220"/>
      <c r="J346" s="220"/>
      <c r="K346" s="221"/>
      <c r="L346" s="222"/>
      <c r="M346" s="221"/>
      <c r="N346" s="218"/>
      <c r="O346" s="219"/>
      <c r="P346" s="111"/>
      <c r="Q346" s="223"/>
      <c r="R346" s="218"/>
      <c r="S346" s="111"/>
    </row>
    <row r="347" ht="21.0" customHeight="1">
      <c r="A347" s="216"/>
      <c r="B347" s="111"/>
      <c r="C347" s="111"/>
      <c r="D347" s="111"/>
      <c r="E347" s="217"/>
      <c r="F347" s="218"/>
      <c r="G347" s="219"/>
      <c r="H347" s="219"/>
      <c r="I347" s="220"/>
      <c r="J347" s="220"/>
      <c r="K347" s="221"/>
      <c r="L347" s="222"/>
      <c r="M347" s="221"/>
      <c r="N347" s="218"/>
      <c r="O347" s="219"/>
      <c r="P347" s="111"/>
      <c r="Q347" s="223"/>
      <c r="R347" s="218"/>
      <c r="S347" s="111"/>
    </row>
    <row r="348" ht="21.0" customHeight="1">
      <c r="A348" s="216"/>
      <c r="B348" s="111"/>
      <c r="C348" s="111"/>
      <c r="D348" s="111"/>
      <c r="E348" s="217"/>
      <c r="F348" s="218"/>
      <c r="G348" s="219"/>
      <c r="H348" s="219"/>
      <c r="I348" s="220"/>
      <c r="J348" s="220"/>
      <c r="K348" s="221"/>
      <c r="L348" s="222"/>
      <c r="M348" s="221"/>
      <c r="N348" s="218"/>
      <c r="O348" s="219"/>
      <c r="P348" s="111"/>
      <c r="Q348" s="223"/>
      <c r="R348" s="218"/>
      <c r="S348" s="111"/>
    </row>
    <row r="349" ht="21.0" customHeight="1">
      <c r="A349" s="216"/>
      <c r="B349" s="111"/>
      <c r="C349" s="111"/>
      <c r="D349" s="111"/>
      <c r="E349" s="217"/>
      <c r="F349" s="218"/>
      <c r="G349" s="219"/>
      <c r="H349" s="219"/>
      <c r="I349" s="220"/>
      <c r="J349" s="220"/>
      <c r="K349" s="221"/>
      <c r="L349" s="222"/>
      <c r="M349" s="221"/>
      <c r="N349" s="218"/>
      <c r="O349" s="219"/>
      <c r="P349" s="111"/>
      <c r="Q349" s="223"/>
      <c r="R349" s="218"/>
      <c r="S349" s="111"/>
    </row>
    <row r="350" ht="21.0" customHeight="1">
      <c r="A350" s="216"/>
      <c r="B350" s="111"/>
      <c r="C350" s="111"/>
      <c r="D350" s="111"/>
      <c r="E350" s="217"/>
      <c r="F350" s="218"/>
      <c r="G350" s="219"/>
      <c r="H350" s="219"/>
      <c r="I350" s="220"/>
      <c r="J350" s="220"/>
      <c r="K350" s="221"/>
      <c r="L350" s="222"/>
      <c r="M350" s="221"/>
      <c r="N350" s="218"/>
      <c r="O350" s="219"/>
      <c r="P350" s="111"/>
      <c r="Q350" s="223"/>
      <c r="R350" s="218"/>
      <c r="S350" s="111"/>
    </row>
    <row r="351" ht="21.0" customHeight="1">
      <c r="A351" s="216"/>
      <c r="B351" s="111"/>
      <c r="C351" s="111"/>
      <c r="D351" s="111"/>
      <c r="E351" s="217"/>
      <c r="F351" s="218"/>
      <c r="G351" s="219"/>
      <c r="H351" s="219"/>
      <c r="I351" s="220"/>
      <c r="J351" s="220"/>
      <c r="K351" s="221"/>
      <c r="L351" s="222"/>
      <c r="M351" s="221"/>
      <c r="N351" s="218"/>
      <c r="O351" s="219"/>
      <c r="P351" s="111"/>
      <c r="Q351" s="223"/>
      <c r="R351" s="218"/>
      <c r="S351" s="111"/>
    </row>
    <row r="352" ht="21.0" customHeight="1">
      <c r="A352" s="216"/>
      <c r="B352" s="111"/>
      <c r="C352" s="111"/>
      <c r="D352" s="111"/>
      <c r="E352" s="217"/>
      <c r="F352" s="218"/>
      <c r="G352" s="219"/>
      <c r="H352" s="219"/>
      <c r="I352" s="220"/>
      <c r="J352" s="220"/>
      <c r="K352" s="221"/>
      <c r="L352" s="222"/>
      <c r="M352" s="221"/>
      <c r="N352" s="218"/>
      <c r="O352" s="219"/>
      <c r="P352" s="111"/>
      <c r="Q352" s="223"/>
      <c r="R352" s="218"/>
      <c r="S352" s="111"/>
    </row>
    <row r="353" ht="21.0" customHeight="1">
      <c r="A353" s="216"/>
      <c r="B353" s="111"/>
      <c r="C353" s="111"/>
      <c r="D353" s="111"/>
      <c r="E353" s="217"/>
      <c r="F353" s="218"/>
      <c r="G353" s="219"/>
      <c r="H353" s="219"/>
      <c r="I353" s="220"/>
      <c r="J353" s="220"/>
      <c r="K353" s="221"/>
      <c r="L353" s="222"/>
      <c r="M353" s="221"/>
      <c r="N353" s="218"/>
      <c r="O353" s="219"/>
      <c r="P353" s="111"/>
      <c r="Q353" s="223"/>
      <c r="R353" s="218"/>
      <c r="S353" s="111"/>
    </row>
    <row r="354" ht="21.0" customHeight="1">
      <c r="A354" s="216"/>
      <c r="B354" s="111"/>
      <c r="C354" s="111"/>
      <c r="D354" s="111"/>
      <c r="E354" s="217"/>
      <c r="F354" s="218"/>
      <c r="G354" s="219"/>
      <c r="H354" s="219"/>
      <c r="I354" s="220"/>
      <c r="J354" s="220"/>
      <c r="K354" s="221"/>
      <c r="L354" s="222"/>
      <c r="M354" s="221"/>
      <c r="N354" s="218"/>
      <c r="O354" s="219"/>
      <c r="P354" s="111"/>
      <c r="Q354" s="223"/>
      <c r="R354" s="218"/>
      <c r="S354" s="111"/>
    </row>
    <row r="355" ht="21.0" customHeight="1">
      <c r="A355" s="216"/>
      <c r="B355" s="111"/>
      <c r="C355" s="111"/>
      <c r="D355" s="111"/>
      <c r="E355" s="217"/>
      <c r="F355" s="218"/>
      <c r="G355" s="219"/>
      <c r="H355" s="219"/>
      <c r="I355" s="220"/>
      <c r="J355" s="220"/>
      <c r="K355" s="221"/>
      <c r="L355" s="222"/>
      <c r="M355" s="221"/>
      <c r="N355" s="218"/>
      <c r="O355" s="219"/>
      <c r="P355" s="111"/>
      <c r="Q355" s="223"/>
      <c r="R355" s="218"/>
      <c r="S355" s="111"/>
    </row>
    <row r="356" ht="21.0" customHeight="1">
      <c r="A356" s="216"/>
      <c r="B356" s="111"/>
      <c r="C356" s="111"/>
      <c r="D356" s="111"/>
      <c r="E356" s="217"/>
      <c r="F356" s="218"/>
      <c r="G356" s="219"/>
      <c r="H356" s="219"/>
      <c r="I356" s="220"/>
      <c r="J356" s="220"/>
      <c r="K356" s="221"/>
      <c r="L356" s="222"/>
      <c r="M356" s="221"/>
      <c r="N356" s="218"/>
      <c r="O356" s="219"/>
      <c r="P356" s="111"/>
      <c r="Q356" s="223"/>
      <c r="R356" s="218"/>
      <c r="S356" s="111"/>
    </row>
    <row r="357" ht="21.0" customHeight="1">
      <c r="A357" s="216"/>
      <c r="B357" s="111"/>
      <c r="C357" s="111"/>
      <c r="D357" s="111"/>
      <c r="E357" s="217"/>
      <c r="F357" s="218"/>
      <c r="G357" s="219"/>
      <c r="H357" s="219"/>
      <c r="I357" s="220"/>
      <c r="J357" s="220"/>
      <c r="K357" s="221"/>
      <c r="L357" s="222"/>
      <c r="M357" s="221"/>
      <c r="N357" s="218"/>
      <c r="O357" s="219"/>
      <c r="P357" s="111"/>
      <c r="Q357" s="223"/>
      <c r="R357" s="218"/>
      <c r="S357" s="111"/>
    </row>
    <row r="358" ht="21.0" customHeight="1">
      <c r="A358" s="216"/>
      <c r="B358" s="111"/>
      <c r="C358" s="111"/>
      <c r="D358" s="111"/>
      <c r="E358" s="217"/>
      <c r="F358" s="218"/>
      <c r="G358" s="219"/>
      <c r="H358" s="219"/>
      <c r="I358" s="220"/>
      <c r="J358" s="220"/>
      <c r="K358" s="221"/>
      <c r="L358" s="222"/>
      <c r="M358" s="221"/>
      <c r="N358" s="218"/>
      <c r="O358" s="219"/>
      <c r="P358" s="111"/>
      <c r="Q358" s="223"/>
      <c r="R358" s="218"/>
      <c r="S358" s="111"/>
    </row>
    <row r="359" ht="21.0" customHeight="1">
      <c r="A359" s="216"/>
      <c r="B359" s="111"/>
      <c r="C359" s="111"/>
      <c r="D359" s="111"/>
      <c r="E359" s="217"/>
      <c r="F359" s="218"/>
      <c r="G359" s="219"/>
      <c r="H359" s="219"/>
      <c r="I359" s="220"/>
      <c r="J359" s="220"/>
      <c r="K359" s="221"/>
      <c r="L359" s="222"/>
      <c r="M359" s="221"/>
      <c r="N359" s="218"/>
      <c r="O359" s="219"/>
      <c r="P359" s="111"/>
      <c r="Q359" s="223"/>
      <c r="R359" s="218"/>
      <c r="S359" s="111"/>
    </row>
    <row r="360" ht="21.0" customHeight="1">
      <c r="A360" s="216"/>
      <c r="B360" s="111"/>
      <c r="C360" s="111"/>
      <c r="D360" s="111"/>
      <c r="E360" s="217"/>
      <c r="F360" s="218"/>
      <c r="G360" s="219"/>
      <c r="H360" s="219"/>
      <c r="I360" s="220"/>
      <c r="J360" s="220"/>
      <c r="K360" s="221"/>
      <c r="L360" s="222"/>
      <c r="M360" s="221"/>
      <c r="N360" s="218"/>
      <c r="O360" s="219"/>
      <c r="P360" s="111"/>
      <c r="Q360" s="223"/>
      <c r="R360" s="218"/>
      <c r="S360" s="111"/>
    </row>
    <row r="361" ht="21.0" customHeight="1">
      <c r="A361" s="216"/>
      <c r="B361" s="111"/>
      <c r="C361" s="111"/>
      <c r="D361" s="111"/>
      <c r="E361" s="217"/>
      <c r="F361" s="218"/>
      <c r="G361" s="219"/>
      <c r="H361" s="219"/>
      <c r="I361" s="220"/>
      <c r="J361" s="220"/>
      <c r="K361" s="221"/>
      <c r="L361" s="222"/>
      <c r="M361" s="221"/>
      <c r="N361" s="218"/>
      <c r="O361" s="219"/>
      <c r="P361" s="111"/>
      <c r="Q361" s="223"/>
      <c r="R361" s="218"/>
      <c r="S361" s="111"/>
    </row>
    <row r="362" ht="21.0" customHeight="1">
      <c r="A362" s="216"/>
      <c r="B362" s="111"/>
      <c r="C362" s="111"/>
      <c r="D362" s="111"/>
      <c r="E362" s="217"/>
      <c r="F362" s="218"/>
      <c r="G362" s="219"/>
      <c r="H362" s="219"/>
      <c r="I362" s="220"/>
      <c r="J362" s="220"/>
      <c r="K362" s="221"/>
      <c r="L362" s="222"/>
      <c r="M362" s="221"/>
      <c r="N362" s="218"/>
      <c r="O362" s="219"/>
      <c r="P362" s="111"/>
      <c r="Q362" s="223"/>
      <c r="R362" s="218"/>
      <c r="S362" s="111"/>
    </row>
    <row r="363" ht="21.0" customHeight="1">
      <c r="A363" s="216"/>
      <c r="B363" s="111"/>
      <c r="C363" s="111"/>
      <c r="D363" s="111"/>
      <c r="E363" s="217"/>
      <c r="F363" s="218"/>
      <c r="G363" s="219"/>
      <c r="H363" s="219"/>
      <c r="I363" s="220"/>
      <c r="J363" s="220"/>
      <c r="K363" s="221"/>
      <c r="L363" s="222"/>
      <c r="M363" s="221"/>
      <c r="N363" s="218"/>
      <c r="O363" s="219"/>
      <c r="P363" s="111"/>
      <c r="Q363" s="223"/>
      <c r="R363" s="218"/>
      <c r="S363" s="111"/>
    </row>
    <row r="364" ht="21.0" customHeight="1">
      <c r="A364" s="216"/>
      <c r="B364" s="111"/>
      <c r="C364" s="111"/>
      <c r="D364" s="111"/>
      <c r="E364" s="217"/>
      <c r="F364" s="218"/>
      <c r="G364" s="219"/>
      <c r="H364" s="219"/>
      <c r="I364" s="220"/>
      <c r="J364" s="220"/>
      <c r="K364" s="221"/>
      <c r="L364" s="222"/>
      <c r="M364" s="221"/>
      <c r="N364" s="218"/>
      <c r="O364" s="219"/>
      <c r="P364" s="111"/>
      <c r="Q364" s="223"/>
      <c r="R364" s="218"/>
      <c r="S364" s="111"/>
    </row>
    <row r="365" ht="21.0" customHeight="1">
      <c r="A365" s="216"/>
      <c r="B365" s="111"/>
      <c r="C365" s="111"/>
      <c r="D365" s="111"/>
      <c r="E365" s="217"/>
      <c r="F365" s="218"/>
      <c r="G365" s="219"/>
      <c r="H365" s="219"/>
      <c r="I365" s="220"/>
      <c r="J365" s="220"/>
      <c r="K365" s="221"/>
      <c r="L365" s="222"/>
      <c r="M365" s="221"/>
      <c r="N365" s="218"/>
      <c r="O365" s="219"/>
      <c r="P365" s="111"/>
      <c r="Q365" s="223"/>
      <c r="R365" s="218"/>
      <c r="S365" s="111"/>
    </row>
    <row r="366" ht="21.0" customHeight="1">
      <c r="A366" s="216"/>
      <c r="B366" s="111"/>
      <c r="C366" s="111"/>
      <c r="D366" s="111"/>
      <c r="E366" s="217"/>
      <c r="F366" s="218"/>
      <c r="G366" s="219"/>
      <c r="H366" s="219"/>
      <c r="I366" s="220"/>
      <c r="J366" s="220"/>
      <c r="K366" s="221"/>
      <c r="L366" s="222"/>
      <c r="M366" s="221"/>
      <c r="N366" s="218"/>
      <c r="O366" s="219"/>
      <c r="P366" s="111"/>
      <c r="Q366" s="223"/>
      <c r="R366" s="218"/>
      <c r="S366" s="111"/>
    </row>
    <row r="367" ht="21.0" customHeight="1">
      <c r="A367" s="216"/>
      <c r="B367" s="111"/>
      <c r="C367" s="111"/>
      <c r="D367" s="111"/>
      <c r="E367" s="217"/>
      <c r="F367" s="218"/>
      <c r="G367" s="219"/>
      <c r="H367" s="219"/>
      <c r="I367" s="220"/>
      <c r="J367" s="220"/>
      <c r="K367" s="221"/>
      <c r="L367" s="222"/>
      <c r="M367" s="221"/>
      <c r="N367" s="218"/>
      <c r="O367" s="219"/>
      <c r="P367" s="111"/>
      <c r="Q367" s="223"/>
      <c r="R367" s="218"/>
      <c r="S367" s="111"/>
    </row>
    <row r="368" ht="21.0" customHeight="1">
      <c r="A368" s="216"/>
      <c r="B368" s="111"/>
      <c r="C368" s="111"/>
      <c r="D368" s="111"/>
      <c r="E368" s="217"/>
      <c r="F368" s="218"/>
      <c r="G368" s="219"/>
      <c r="H368" s="219"/>
      <c r="I368" s="220"/>
      <c r="J368" s="220"/>
      <c r="K368" s="221"/>
      <c r="L368" s="222"/>
      <c r="M368" s="221"/>
      <c r="N368" s="218"/>
      <c r="O368" s="219"/>
      <c r="P368" s="111"/>
      <c r="Q368" s="223"/>
      <c r="R368" s="218"/>
      <c r="S368" s="111"/>
    </row>
    <row r="369" ht="21.0" customHeight="1">
      <c r="A369" s="216"/>
      <c r="B369" s="111"/>
      <c r="C369" s="111"/>
      <c r="D369" s="111"/>
      <c r="E369" s="217"/>
      <c r="F369" s="218"/>
      <c r="G369" s="219"/>
      <c r="H369" s="219"/>
      <c r="I369" s="220"/>
      <c r="J369" s="220"/>
      <c r="K369" s="221"/>
      <c r="L369" s="222"/>
      <c r="M369" s="221"/>
      <c r="N369" s="218"/>
      <c r="O369" s="219"/>
      <c r="P369" s="111"/>
      <c r="Q369" s="223"/>
      <c r="R369" s="218"/>
      <c r="S369" s="111"/>
    </row>
    <row r="370" ht="21.0" customHeight="1">
      <c r="A370" s="216"/>
      <c r="B370" s="111"/>
      <c r="C370" s="111"/>
      <c r="D370" s="111"/>
      <c r="E370" s="217"/>
      <c r="F370" s="218"/>
      <c r="G370" s="219"/>
      <c r="H370" s="219"/>
      <c r="I370" s="220"/>
      <c r="J370" s="220"/>
      <c r="K370" s="221"/>
      <c r="L370" s="222"/>
      <c r="M370" s="221"/>
      <c r="N370" s="218"/>
      <c r="O370" s="219"/>
      <c r="P370" s="111"/>
      <c r="Q370" s="223"/>
      <c r="R370" s="218"/>
      <c r="S370" s="111"/>
    </row>
    <row r="371" ht="21.0" customHeight="1">
      <c r="A371" s="216"/>
      <c r="B371" s="111"/>
      <c r="C371" s="111"/>
      <c r="D371" s="111"/>
      <c r="E371" s="217"/>
      <c r="F371" s="218"/>
      <c r="G371" s="219"/>
      <c r="H371" s="219"/>
      <c r="I371" s="220"/>
      <c r="J371" s="220"/>
      <c r="K371" s="221"/>
      <c r="L371" s="222"/>
      <c r="M371" s="221"/>
      <c r="N371" s="218"/>
      <c r="O371" s="219"/>
      <c r="P371" s="111"/>
      <c r="Q371" s="223"/>
      <c r="R371" s="218"/>
      <c r="S371" s="111"/>
    </row>
    <row r="372" ht="21.0" customHeight="1">
      <c r="A372" s="216"/>
      <c r="B372" s="111"/>
      <c r="C372" s="111"/>
      <c r="D372" s="111"/>
      <c r="E372" s="217"/>
      <c r="F372" s="218"/>
      <c r="G372" s="219"/>
      <c r="H372" s="219"/>
      <c r="I372" s="220"/>
      <c r="J372" s="220"/>
      <c r="K372" s="221"/>
      <c r="L372" s="222"/>
      <c r="M372" s="221"/>
      <c r="N372" s="218"/>
      <c r="O372" s="219"/>
      <c r="P372" s="111"/>
      <c r="Q372" s="223"/>
      <c r="R372" s="218"/>
      <c r="S372" s="111"/>
    </row>
    <row r="373" ht="21.0" customHeight="1">
      <c r="A373" s="216"/>
      <c r="B373" s="111"/>
      <c r="C373" s="111"/>
      <c r="D373" s="111"/>
      <c r="E373" s="217"/>
      <c r="F373" s="218"/>
      <c r="G373" s="219"/>
      <c r="H373" s="219"/>
      <c r="I373" s="220"/>
      <c r="J373" s="220"/>
      <c r="K373" s="221"/>
      <c r="L373" s="222"/>
      <c r="M373" s="221"/>
      <c r="N373" s="218"/>
      <c r="O373" s="219"/>
      <c r="P373" s="111"/>
      <c r="Q373" s="223"/>
      <c r="R373" s="218"/>
      <c r="S373" s="111"/>
    </row>
    <row r="374" ht="21.0" customHeight="1">
      <c r="A374" s="216"/>
      <c r="B374" s="111"/>
      <c r="C374" s="111"/>
      <c r="D374" s="111"/>
      <c r="E374" s="217"/>
      <c r="F374" s="218"/>
      <c r="G374" s="219"/>
      <c r="H374" s="219"/>
      <c r="I374" s="220"/>
      <c r="J374" s="220"/>
      <c r="K374" s="221"/>
      <c r="L374" s="222"/>
      <c r="M374" s="221"/>
      <c r="N374" s="218"/>
      <c r="O374" s="219"/>
      <c r="P374" s="111"/>
      <c r="Q374" s="223"/>
      <c r="R374" s="218"/>
      <c r="S374" s="111"/>
    </row>
    <row r="375" ht="21.0" customHeight="1">
      <c r="A375" s="216"/>
      <c r="B375" s="111"/>
      <c r="C375" s="111"/>
      <c r="D375" s="111"/>
      <c r="E375" s="217"/>
      <c r="F375" s="218"/>
      <c r="G375" s="219"/>
      <c r="H375" s="219"/>
      <c r="I375" s="220"/>
      <c r="J375" s="220"/>
      <c r="K375" s="221"/>
      <c r="L375" s="222"/>
      <c r="M375" s="221"/>
      <c r="N375" s="218"/>
      <c r="O375" s="219"/>
      <c r="P375" s="111"/>
      <c r="Q375" s="223"/>
      <c r="R375" s="218"/>
      <c r="S375" s="111"/>
    </row>
    <row r="376" ht="21.0" customHeight="1">
      <c r="A376" s="216"/>
      <c r="B376" s="111"/>
      <c r="C376" s="111"/>
      <c r="D376" s="111"/>
      <c r="E376" s="217"/>
      <c r="F376" s="218"/>
      <c r="G376" s="219"/>
      <c r="H376" s="219"/>
      <c r="I376" s="220"/>
      <c r="J376" s="220"/>
      <c r="K376" s="221"/>
      <c r="L376" s="222"/>
      <c r="M376" s="221"/>
      <c r="N376" s="218"/>
      <c r="O376" s="219"/>
      <c r="P376" s="111"/>
      <c r="Q376" s="223"/>
      <c r="R376" s="218"/>
      <c r="S376" s="111"/>
    </row>
    <row r="377" ht="21.0" customHeight="1">
      <c r="A377" s="216"/>
      <c r="B377" s="111"/>
      <c r="C377" s="111"/>
      <c r="D377" s="111"/>
      <c r="E377" s="217"/>
      <c r="F377" s="218"/>
      <c r="G377" s="219"/>
      <c r="H377" s="219"/>
      <c r="I377" s="220"/>
      <c r="J377" s="220"/>
      <c r="K377" s="221"/>
      <c r="L377" s="222"/>
      <c r="M377" s="221"/>
      <c r="N377" s="218"/>
      <c r="O377" s="219"/>
      <c r="P377" s="111"/>
      <c r="Q377" s="223"/>
      <c r="R377" s="218"/>
      <c r="S377" s="111"/>
    </row>
    <row r="378" ht="21.0" customHeight="1">
      <c r="A378" s="216"/>
      <c r="B378" s="111"/>
      <c r="C378" s="111"/>
      <c r="D378" s="111"/>
      <c r="E378" s="217"/>
      <c r="F378" s="218"/>
      <c r="G378" s="219"/>
      <c r="H378" s="219"/>
      <c r="I378" s="220"/>
      <c r="J378" s="220"/>
      <c r="K378" s="221"/>
      <c r="L378" s="222"/>
      <c r="M378" s="221"/>
      <c r="N378" s="218"/>
      <c r="O378" s="219"/>
      <c r="P378" s="111"/>
      <c r="Q378" s="223"/>
      <c r="R378" s="218"/>
      <c r="S378" s="111"/>
    </row>
    <row r="379" ht="21.0" customHeight="1">
      <c r="A379" s="216"/>
      <c r="B379" s="111"/>
      <c r="C379" s="111"/>
      <c r="D379" s="111"/>
      <c r="E379" s="217"/>
      <c r="F379" s="218"/>
      <c r="G379" s="219"/>
      <c r="H379" s="219"/>
      <c r="I379" s="220"/>
      <c r="J379" s="220"/>
      <c r="K379" s="221"/>
      <c r="L379" s="222"/>
      <c r="M379" s="221"/>
      <c r="N379" s="218"/>
      <c r="O379" s="219"/>
      <c r="P379" s="111"/>
      <c r="Q379" s="223"/>
      <c r="R379" s="218"/>
      <c r="S379" s="111"/>
    </row>
    <row r="380" ht="21.0" customHeight="1">
      <c r="A380" s="216"/>
      <c r="B380" s="111"/>
      <c r="C380" s="111"/>
      <c r="D380" s="111"/>
      <c r="E380" s="217"/>
      <c r="F380" s="218"/>
      <c r="G380" s="219"/>
      <c r="H380" s="219"/>
      <c r="I380" s="220"/>
      <c r="J380" s="220"/>
      <c r="K380" s="221"/>
      <c r="L380" s="222"/>
      <c r="M380" s="221"/>
      <c r="N380" s="218"/>
      <c r="O380" s="219"/>
      <c r="P380" s="111"/>
      <c r="Q380" s="223"/>
      <c r="R380" s="218"/>
      <c r="S380" s="111"/>
    </row>
    <row r="381" ht="21.0" customHeight="1">
      <c r="A381" s="216"/>
      <c r="B381" s="111"/>
      <c r="C381" s="111"/>
      <c r="D381" s="111"/>
      <c r="E381" s="217"/>
      <c r="F381" s="218"/>
      <c r="G381" s="219"/>
      <c r="H381" s="219"/>
      <c r="I381" s="220"/>
      <c r="J381" s="220"/>
      <c r="K381" s="221"/>
      <c r="L381" s="222"/>
      <c r="M381" s="221"/>
      <c r="N381" s="218"/>
      <c r="O381" s="219"/>
      <c r="P381" s="111"/>
      <c r="Q381" s="223"/>
      <c r="R381" s="218"/>
      <c r="S381" s="111"/>
    </row>
    <row r="382" ht="21.0" customHeight="1">
      <c r="A382" s="216"/>
      <c r="B382" s="111"/>
      <c r="C382" s="111"/>
      <c r="D382" s="111"/>
      <c r="E382" s="217"/>
      <c r="F382" s="218"/>
      <c r="G382" s="219"/>
      <c r="H382" s="219"/>
      <c r="I382" s="220"/>
      <c r="J382" s="220"/>
      <c r="K382" s="221"/>
      <c r="L382" s="222"/>
      <c r="M382" s="221"/>
      <c r="N382" s="218"/>
      <c r="O382" s="219"/>
      <c r="P382" s="111"/>
      <c r="Q382" s="223"/>
      <c r="R382" s="218"/>
      <c r="S382" s="111"/>
    </row>
    <row r="383" ht="21.0" customHeight="1">
      <c r="A383" s="216"/>
      <c r="B383" s="111"/>
      <c r="C383" s="111"/>
      <c r="D383" s="111"/>
      <c r="E383" s="217"/>
      <c r="F383" s="218"/>
      <c r="G383" s="219"/>
      <c r="H383" s="219"/>
      <c r="I383" s="220"/>
      <c r="J383" s="220"/>
      <c r="K383" s="221"/>
      <c r="L383" s="222"/>
      <c r="M383" s="221"/>
      <c r="N383" s="218"/>
      <c r="O383" s="219"/>
      <c r="P383" s="111"/>
      <c r="Q383" s="223"/>
      <c r="R383" s="218"/>
      <c r="S383" s="111"/>
    </row>
    <row r="384" ht="21.0" customHeight="1">
      <c r="A384" s="216"/>
      <c r="B384" s="111"/>
      <c r="C384" s="111"/>
      <c r="D384" s="111"/>
      <c r="E384" s="217"/>
      <c r="F384" s="218"/>
      <c r="G384" s="219"/>
      <c r="H384" s="219"/>
      <c r="I384" s="220"/>
      <c r="J384" s="220"/>
      <c r="K384" s="221"/>
      <c r="L384" s="222"/>
      <c r="M384" s="221"/>
      <c r="N384" s="218"/>
      <c r="O384" s="219"/>
      <c r="P384" s="111"/>
      <c r="Q384" s="223"/>
      <c r="R384" s="218"/>
      <c r="S384" s="111"/>
    </row>
    <row r="385" ht="21.0" customHeight="1">
      <c r="A385" s="216"/>
      <c r="B385" s="111"/>
      <c r="C385" s="111"/>
      <c r="D385" s="111"/>
      <c r="E385" s="217"/>
      <c r="F385" s="218"/>
      <c r="G385" s="219"/>
      <c r="H385" s="219"/>
      <c r="I385" s="220"/>
      <c r="J385" s="220"/>
      <c r="K385" s="221"/>
      <c r="L385" s="222"/>
      <c r="M385" s="221"/>
      <c r="N385" s="218"/>
      <c r="O385" s="219"/>
      <c r="P385" s="111"/>
      <c r="Q385" s="223"/>
      <c r="R385" s="218"/>
      <c r="S385" s="111"/>
    </row>
    <row r="386" ht="21.0" customHeight="1">
      <c r="A386" s="216"/>
      <c r="B386" s="111"/>
      <c r="C386" s="111"/>
      <c r="D386" s="111"/>
      <c r="E386" s="217"/>
      <c r="F386" s="218"/>
      <c r="G386" s="219"/>
      <c r="H386" s="219"/>
      <c r="I386" s="220"/>
      <c r="J386" s="220"/>
      <c r="K386" s="221"/>
      <c r="L386" s="222"/>
      <c r="M386" s="221"/>
      <c r="N386" s="218"/>
      <c r="O386" s="219"/>
      <c r="P386" s="111"/>
      <c r="Q386" s="223"/>
      <c r="R386" s="218"/>
      <c r="S386" s="111"/>
    </row>
    <row r="387" ht="21.0" customHeight="1">
      <c r="A387" s="216"/>
      <c r="B387" s="111"/>
      <c r="C387" s="111"/>
      <c r="D387" s="111"/>
      <c r="E387" s="217"/>
      <c r="F387" s="218"/>
      <c r="G387" s="219"/>
      <c r="H387" s="219"/>
      <c r="I387" s="220"/>
      <c r="J387" s="220"/>
      <c r="K387" s="221"/>
      <c r="L387" s="222"/>
      <c r="M387" s="221"/>
      <c r="N387" s="218"/>
      <c r="O387" s="219"/>
      <c r="P387" s="111"/>
      <c r="Q387" s="223"/>
      <c r="R387" s="218"/>
      <c r="S387" s="111"/>
    </row>
    <row r="388" ht="21.0" customHeight="1">
      <c r="A388" s="216"/>
      <c r="B388" s="111"/>
      <c r="C388" s="111"/>
      <c r="D388" s="111"/>
      <c r="E388" s="217"/>
      <c r="F388" s="218"/>
      <c r="G388" s="219"/>
      <c r="H388" s="219"/>
      <c r="I388" s="220"/>
      <c r="J388" s="220"/>
      <c r="K388" s="221"/>
      <c r="L388" s="222"/>
      <c r="M388" s="221"/>
      <c r="N388" s="218"/>
      <c r="O388" s="219"/>
      <c r="P388" s="111"/>
      <c r="Q388" s="223"/>
      <c r="R388" s="218"/>
      <c r="S388" s="111"/>
    </row>
    <row r="389" ht="21.0" customHeight="1">
      <c r="A389" s="216"/>
      <c r="B389" s="111"/>
      <c r="C389" s="111"/>
      <c r="D389" s="111"/>
      <c r="E389" s="217"/>
      <c r="F389" s="218"/>
      <c r="G389" s="219"/>
      <c r="H389" s="219"/>
      <c r="I389" s="220"/>
      <c r="J389" s="220"/>
      <c r="K389" s="221"/>
      <c r="L389" s="222"/>
      <c r="M389" s="221"/>
      <c r="N389" s="218"/>
      <c r="O389" s="219"/>
      <c r="P389" s="111"/>
      <c r="Q389" s="223"/>
      <c r="R389" s="218"/>
      <c r="S389" s="111"/>
    </row>
    <row r="390" ht="21.0" customHeight="1">
      <c r="A390" s="216"/>
      <c r="B390" s="111"/>
      <c r="C390" s="111"/>
      <c r="D390" s="111"/>
      <c r="E390" s="217"/>
      <c r="F390" s="218"/>
      <c r="G390" s="219"/>
      <c r="H390" s="219"/>
      <c r="I390" s="220"/>
      <c r="J390" s="220"/>
      <c r="K390" s="221"/>
      <c r="L390" s="222"/>
      <c r="M390" s="221"/>
      <c r="N390" s="218"/>
      <c r="O390" s="219"/>
      <c r="P390" s="111"/>
      <c r="Q390" s="223"/>
      <c r="R390" s="218"/>
      <c r="S390" s="111"/>
    </row>
    <row r="391" ht="21.0" customHeight="1">
      <c r="A391" s="216"/>
      <c r="B391" s="111"/>
      <c r="C391" s="111"/>
      <c r="D391" s="111"/>
      <c r="E391" s="217"/>
      <c r="F391" s="218"/>
      <c r="G391" s="219"/>
      <c r="H391" s="219"/>
      <c r="I391" s="220"/>
      <c r="J391" s="220"/>
      <c r="K391" s="221"/>
      <c r="L391" s="222"/>
      <c r="M391" s="221"/>
      <c r="N391" s="218"/>
      <c r="O391" s="219"/>
      <c r="P391" s="111"/>
      <c r="Q391" s="223"/>
      <c r="R391" s="218"/>
      <c r="S391" s="111"/>
    </row>
    <row r="392" ht="21.0" customHeight="1">
      <c r="A392" s="216"/>
      <c r="B392" s="111"/>
      <c r="C392" s="111"/>
      <c r="D392" s="111"/>
      <c r="E392" s="217"/>
      <c r="F392" s="218"/>
      <c r="G392" s="219"/>
      <c r="H392" s="219"/>
      <c r="I392" s="220"/>
      <c r="J392" s="220"/>
      <c r="K392" s="221"/>
      <c r="L392" s="222"/>
      <c r="M392" s="221"/>
      <c r="N392" s="218"/>
      <c r="O392" s="219"/>
      <c r="P392" s="111"/>
      <c r="Q392" s="223"/>
      <c r="R392" s="218"/>
      <c r="S392" s="111"/>
    </row>
    <row r="393" ht="21.0" customHeight="1">
      <c r="A393" s="216"/>
      <c r="B393" s="111"/>
      <c r="C393" s="111"/>
      <c r="D393" s="111"/>
      <c r="E393" s="217"/>
      <c r="F393" s="218"/>
      <c r="G393" s="219"/>
      <c r="H393" s="219"/>
      <c r="I393" s="220"/>
      <c r="J393" s="220"/>
      <c r="K393" s="221"/>
      <c r="L393" s="222"/>
      <c r="M393" s="221"/>
      <c r="N393" s="218"/>
      <c r="O393" s="219"/>
      <c r="P393" s="111"/>
      <c r="Q393" s="223"/>
      <c r="R393" s="218"/>
      <c r="S393" s="111"/>
    </row>
    <row r="394" ht="21.0" customHeight="1">
      <c r="A394" s="216"/>
      <c r="B394" s="111"/>
      <c r="C394" s="111"/>
      <c r="D394" s="111"/>
      <c r="E394" s="217"/>
      <c r="F394" s="218"/>
      <c r="G394" s="219"/>
      <c r="H394" s="219"/>
      <c r="I394" s="220"/>
      <c r="J394" s="220"/>
      <c r="K394" s="221"/>
      <c r="L394" s="222"/>
      <c r="M394" s="221"/>
      <c r="N394" s="218"/>
      <c r="O394" s="219"/>
      <c r="P394" s="111"/>
      <c r="Q394" s="223"/>
      <c r="R394" s="218"/>
      <c r="S394" s="111"/>
    </row>
    <row r="395" ht="21.0" customHeight="1">
      <c r="A395" s="216"/>
      <c r="B395" s="111"/>
      <c r="C395" s="111"/>
      <c r="D395" s="111"/>
      <c r="E395" s="217"/>
      <c r="F395" s="218"/>
      <c r="G395" s="219"/>
      <c r="H395" s="219"/>
      <c r="I395" s="220"/>
      <c r="J395" s="220"/>
      <c r="K395" s="221"/>
      <c r="L395" s="222"/>
      <c r="M395" s="221"/>
      <c r="N395" s="218"/>
      <c r="O395" s="219"/>
      <c r="P395" s="111"/>
      <c r="Q395" s="223"/>
      <c r="R395" s="218"/>
      <c r="S395" s="111"/>
    </row>
    <row r="396" ht="21.0" customHeight="1">
      <c r="A396" s="216"/>
      <c r="B396" s="111"/>
      <c r="C396" s="111"/>
      <c r="D396" s="111"/>
      <c r="E396" s="217"/>
      <c r="F396" s="218"/>
      <c r="G396" s="219"/>
      <c r="H396" s="219"/>
      <c r="I396" s="220"/>
      <c r="J396" s="220"/>
      <c r="K396" s="221"/>
      <c r="L396" s="222"/>
      <c r="M396" s="221"/>
      <c r="N396" s="218"/>
      <c r="O396" s="219"/>
      <c r="P396" s="111"/>
      <c r="Q396" s="223"/>
      <c r="R396" s="218"/>
      <c r="S396" s="111"/>
    </row>
    <row r="397" ht="21.0" customHeight="1">
      <c r="A397" s="216"/>
      <c r="B397" s="111"/>
      <c r="C397" s="111"/>
      <c r="D397" s="111"/>
      <c r="E397" s="217"/>
      <c r="F397" s="218"/>
      <c r="G397" s="219"/>
      <c r="H397" s="219"/>
      <c r="I397" s="220"/>
      <c r="J397" s="220"/>
      <c r="K397" s="221"/>
      <c r="L397" s="222"/>
      <c r="M397" s="221"/>
      <c r="N397" s="218"/>
      <c r="O397" s="219"/>
      <c r="P397" s="111"/>
      <c r="Q397" s="223"/>
      <c r="R397" s="218"/>
      <c r="S397" s="111"/>
    </row>
    <row r="398" ht="21.0" customHeight="1">
      <c r="A398" s="216"/>
      <c r="B398" s="111"/>
      <c r="C398" s="111"/>
      <c r="D398" s="111"/>
      <c r="E398" s="217"/>
      <c r="F398" s="218"/>
      <c r="G398" s="219"/>
      <c r="H398" s="219"/>
      <c r="I398" s="220"/>
      <c r="J398" s="220"/>
      <c r="K398" s="221"/>
      <c r="L398" s="222"/>
      <c r="M398" s="221"/>
      <c r="N398" s="218"/>
      <c r="O398" s="219"/>
      <c r="P398" s="111"/>
      <c r="Q398" s="223"/>
      <c r="R398" s="218"/>
      <c r="S398" s="111"/>
    </row>
    <row r="399" ht="21.0" customHeight="1">
      <c r="A399" s="216"/>
      <c r="B399" s="111"/>
      <c r="C399" s="111"/>
      <c r="D399" s="111"/>
      <c r="E399" s="217"/>
      <c r="F399" s="218"/>
      <c r="G399" s="219"/>
      <c r="H399" s="219"/>
      <c r="I399" s="220"/>
      <c r="J399" s="220"/>
      <c r="K399" s="221"/>
      <c r="L399" s="222"/>
      <c r="M399" s="221"/>
      <c r="N399" s="218"/>
      <c r="O399" s="219"/>
      <c r="P399" s="111"/>
      <c r="Q399" s="223"/>
      <c r="R399" s="218"/>
      <c r="S399" s="111"/>
    </row>
    <row r="400" ht="21.0" customHeight="1">
      <c r="A400" s="216"/>
      <c r="B400" s="111"/>
      <c r="C400" s="111"/>
      <c r="D400" s="111"/>
      <c r="E400" s="217"/>
      <c r="F400" s="218"/>
      <c r="G400" s="219"/>
      <c r="H400" s="219"/>
      <c r="I400" s="220"/>
      <c r="J400" s="220"/>
      <c r="K400" s="221"/>
      <c r="L400" s="222"/>
      <c r="M400" s="221"/>
      <c r="N400" s="218"/>
      <c r="O400" s="219"/>
      <c r="P400" s="111"/>
      <c r="Q400" s="223"/>
      <c r="R400" s="218"/>
      <c r="S400" s="111"/>
    </row>
    <row r="401" ht="21.0" customHeight="1">
      <c r="A401" s="216"/>
      <c r="B401" s="111"/>
      <c r="C401" s="111"/>
      <c r="D401" s="111"/>
      <c r="E401" s="217"/>
      <c r="F401" s="218"/>
      <c r="G401" s="219"/>
      <c r="H401" s="219"/>
      <c r="I401" s="220"/>
      <c r="J401" s="220"/>
      <c r="K401" s="221"/>
      <c r="L401" s="222"/>
      <c r="M401" s="221"/>
      <c r="N401" s="218"/>
      <c r="O401" s="219"/>
      <c r="P401" s="111"/>
      <c r="Q401" s="223"/>
      <c r="R401" s="218"/>
      <c r="S401" s="111"/>
    </row>
    <row r="402" ht="21.0" customHeight="1">
      <c r="A402" s="216"/>
      <c r="B402" s="111"/>
      <c r="C402" s="111"/>
      <c r="D402" s="111"/>
      <c r="E402" s="217"/>
      <c r="F402" s="218"/>
      <c r="G402" s="219"/>
      <c r="H402" s="219"/>
      <c r="I402" s="220"/>
      <c r="J402" s="220"/>
      <c r="K402" s="221"/>
      <c r="L402" s="222"/>
      <c r="M402" s="221"/>
      <c r="N402" s="218"/>
      <c r="O402" s="219"/>
      <c r="P402" s="111"/>
      <c r="Q402" s="223"/>
      <c r="R402" s="218"/>
      <c r="S402" s="111"/>
    </row>
    <row r="403" ht="21.0" customHeight="1">
      <c r="A403" s="216"/>
      <c r="B403" s="111"/>
      <c r="C403" s="111"/>
      <c r="D403" s="111"/>
      <c r="E403" s="217"/>
      <c r="F403" s="218"/>
      <c r="G403" s="219"/>
      <c r="H403" s="219"/>
      <c r="I403" s="220"/>
      <c r="J403" s="220"/>
      <c r="K403" s="221"/>
      <c r="L403" s="222"/>
      <c r="M403" s="221"/>
      <c r="N403" s="218"/>
      <c r="O403" s="219"/>
      <c r="P403" s="111"/>
      <c r="Q403" s="223"/>
      <c r="R403" s="218"/>
      <c r="S403" s="111"/>
    </row>
    <row r="404" ht="21.0" customHeight="1">
      <c r="A404" s="216"/>
      <c r="B404" s="111"/>
      <c r="C404" s="111"/>
      <c r="D404" s="111"/>
      <c r="E404" s="217"/>
      <c r="F404" s="218"/>
      <c r="G404" s="219"/>
      <c r="H404" s="219"/>
      <c r="I404" s="220"/>
      <c r="J404" s="220"/>
      <c r="K404" s="221"/>
      <c r="L404" s="222"/>
      <c r="M404" s="221"/>
      <c r="N404" s="218"/>
      <c r="O404" s="219"/>
      <c r="P404" s="111"/>
      <c r="Q404" s="223"/>
      <c r="R404" s="218"/>
      <c r="S404" s="111"/>
    </row>
    <row r="405" ht="21.0" customHeight="1">
      <c r="A405" s="216"/>
      <c r="B405" s="111"/>
      <c r="C405" s="111"/>
      <c r="D405" s="111"/>
      <c r="E405" s="217"/>
      <c r="F405" s="218"/>
      <c r="G405" s="219"/>
      <c r="H405" s="219"/>
      <c r="I405" s="220"/>
      <c r="J405" s="220"/>
      <c r="K405" s="221"/>
      <c r="L405" s="222"/>
      <c r="M405" s="221"/>
      <c r="N405" s="218"/>
      <c r="O405" s="219"/>
      <c r="P405" s="111"/>
      <c r="Q405" s="223"/>
      <c r="R405" s="218"/>
      <c r="S405" s="111"/>
    </row>
    <row r="406" ht="21.0" customHeight="1">
      <c r="A406" s="216"/>
      <c r="B406" s="111"/>
      <c r="C406" s="111"/>
      <c r="D406" s="111"/>
      <c r="E406" s="217"/>
      <c r="F406" s="218"/>
      <c r="G406" s="219"/>
      <c r="H406" s="219"/>
      <c r="I406" s="220"/>
      <c r="J406" s="220"/>
      <c r="K406" s="221"/>
      <c r="L406" s="222"/>
      <c r="M406" s="221"/>
      <c r="N406" s="218"/>
      <c r="O406" s="219"/>
      <c r="P406" s="111"/>
      <c r="Q406" s="223"/>
      <c r="R406" s="218"/>
      <c r="S406" s="111"/>
    </row>
    <row r="407" ht="21.0" customHeight="1">
      <c r="A407" s="216"/>
      <c r="B407" s="111"/>
      <c r="C407" s="111"/>
      <c r="D407" s="111"/>
      <c r="E407" s="217"/>
      <c r="F407" s="218"/>
      <c r="G407" s="219"/>
      <c r="H407" s="219"/>
      <c r="I407" s="220"/>
      <c r="J407" s="220"/>
      <c r="K407" s="221"/>
      <c r="L407" s="222"/>
      <c r="M407" s="221"/>
      <c r="N407" s="218"/>
      <c r="O407" s="219"/>
      <c r="P407" s="111"/>
      <c r="Q407" s="223"/>
      <c r="R407" s="218"/>
      <c r="S407" s="111"/>
    </row>
    <row r="408" ht="21.0" customHeight="1">
      <c r="A408" s="216"/>
      <c r="B408" s="111"/>
      <c r="C408" s="111"/>
      <c r="D408" s="111"/>
      <c r="E408" s="217"/>
      <c r="F408" s="218"/>
      <c r="G408" s="219"/>
      <c r="H408" s="219"/>
      <c r="I408" s="220"/>
      <c r="J408" s="220"/>
      <c r="K408" s="221"/>
      <c r="L408" s="222"/>
      <c r="M408" s="221"/>
      <c r="N408" s="218"/>
      <c r="O408" s="219"/>
      <c r="P408" s="111"/>
      <c r="Q408" s="223"/>
      <c r="R408" s="218"/>
      <c r="S408" s="111"/>
    </row>
    <row r="409" ht="21.0" customHeight="1">
      <c r="A409" s="216"/>
      <c r="B409" s="111"/>
      <c r="C409" s="111"/>
      <c r="D409" s="111"/>
      <c r="E409" s="217"/>
      <c r="F409" s="218"/>
      <c r="G409" s="219"/>
      <c r="H409" s="219"/>
      <c r="I409" s="220"/>
      <c r="J409" s="220"/>
      <c r="K409" s="221"/>
      <c r="L409" s="222"/>
      <c r="M409" s="221"/>
      <c r="N409" s="218"/>
      <c r="O409" s="219"/>
      <c r="P409" s="111"/>
      <c r="Q409" s="223"/>
      <c r="R409" s="218"/>
      <c r="S409" s="111"/>
    </row>
    <row r="410" ht="21.0" customHeight="1">
      <c r="A410" s="216"/>
      <c r="B410" s="111"/>
      <c r="C410" s="111"/>
      <c r="D410" s="111"/>
      <c r="E410" s="217"/>
      <c r="F410" s="218"/>
      <c r="G410" s="219"/>
      <c r="H410" s="219"/>
      <c r="I410" s="220"/>
      <c r="J410" s="220"/>
      <c r="K410" s="221"/>
      <c r="L410" s="222"/>
      <c r="M410" s="221"/>
      <c r="N410" s="218"/>
      <c r="O410" s="219"/>
      <c r="P410" s="111"/>
      <c r="Q410" s="223"/>
      <c r="R410" s="218"/>
      <c r="S410" s="111"/>
    </row>
    <row r="411" ht="21.0" customHeight="1">
      <c r="A411" s="216"/>
      <c r="B411" s="111"/>
      <c r="C411" s="111"/>
      <c r="D411" s="111"/>
      <c r="E411" s="217"/>
      <c r="F411" s="218"/>
      <c r="G411" s="219"/>
      <c r="H411" s="219"/>
      <c r="I411" s="220"/>
      <c r="J411" s="220"/>
      <c r="K411" s="221"/>
      <c r="L411" s="222"/>
      <c r="M411" s="221"/>
      <c r="N411" s="218"/>
      <c r="O411" s="219"/>
      <c r="P411" s="111"/>
      <c r="Q411" s="223"/>
      <c r="R411" s="218"/>
      <c r="S411" s="111"/>
    </row>
    <row r="412" ht="21.0" customHeight="1">
      <c r="A412" s="216"/>
      <c r="B412" s="111"/>
      <c r="C412" s="111"/>
      <c r="D412" s="111"/>
      <c r="E412" s="217"/>
      <c r="F412" s="218"/>
      <c r="G412" s="219"/>
      <c r="H412" s="219"/>
      <c r="I412" s="220"/>
      <c r="J412" s="220"/>
      <c r="K412" s="221"/>
      <c r="L412" s="222"/>
      <c r="M412" s="221"/>
      <c r="N412" s="218"/>
      <c r="O412" s="219"/>
      <c r="P412" s="111"/>
      <c r="Q412" s="223"/>
      <c r="R412" s="218"/>
      <c r="S412" s="111"/>
    </row>
    <row r="413" ht="21.0" customHeight="1">
      <c r="A413" s="216"/>
      <c r="B413" s="111"/>
      <c r="C413" s="111"/>
      <c r="D413" s="111"/>
      <c r="E413" s="217"/>
      <c r="F413" s="218"/>
      <c r="G413" s="219"/>
      <c r="H413" s="219"/>
      <c r="I413" s="220"/>
      <c r="J413" s="220"/>
      <c r="K413" s="221"/>
      <c r="L413" s="222"/>
      <c r="M413" s="221"/>
      <c r="N413" s="218"/>
      <c r="O413" s="219"/>
      <c r="P413" s="111"/>
      <c r="Q413" s="223"/>
      <c r="R413" s="218"/>
      <c r="S413" s="111"/>
    </row>
    <row r="414" ht="21.0" customHeight="1">
      <c r="A414" s="216"/>
      <c r="B414" s="111"/>
      <c r="C414" s="111"/>
      <c r="D414" s="111"/>
      <c r="E414" s="217"/>
      <c r="F414" s="218"/>
      <c r="G414" s="219"/>
      <c r="H414" s="219"/>
      <c r="I414" s="220"/>
      <c r="J414" s="220"/>
      <c r="K414" s="221"/>
      <c r="L414" s="222"/>
      <c r="M414" s="221"/>
      <c r="N414" s="218"/>
      <c r="O414" s="219"/>
      <c r="P414" s="111"/>
      <c r="Q414" s="223"/>
      <c r="R414" s="218"/>
      <c r="S414" s="111"/>
    </row>
    <row r="415" ht="21.0" customHeight="1">
      <c r="A415" s="216"/>
      <c r="B415" s="111"/>
      <c r="C415" s="111"/>
      <c r="D415" s="111"/>
      <c r="E415" s="217"/>
      <c r="F415" s="218"/>
      <c r="G415" s="219"/>
      <c r="H415" s="219"/>
      <c r="I415" s="220"/>
      <c r="J415" s="220"/>
      <c r="K415" s="221"/>
      <c r="L415" s="222"/>
      <c r="M415" s="221"/>
      <c r="N415" s="218"/>
      <c r="O415" s="219"/>
      <c r="P415" s="111"/>
      <c r="Q415" s="223"/>
      <c r="R415" s="218"/>
      <c r="S415" s="111"/>
    </row>
    <row r="416" ht="21.0" customHeight="1">
      <c r="A416" s="216"/>
      <c r="B416" s="111"/>
      <c r="C416" s="111"/>
      <c r="D416" s="111"/>
      <c r="E416" s="217"/>
      <c r="F416" s="218"/>
      <c r="G416" s="219"/>
      <c r="H416" s="219"/>
      <c r="I416" s="220"/>
      <c r="J416" s="220"/>
      <c r="K416" s="221"/>
      <c r="L416" s="222"/>
      <c r="M416" s="221"/>
      <c r="N416" s="218"/>
      <c r="O416" s="219"/>
      <c r="P416" s="111"/>
      <c r="Q416" s="223"/>
      <c r="R416" s="218"/>
      <c r="S416" s="111"/>
    </row>
    <row r="417" ht="21.0" customHeight="1">
      <c r="A417" s="216"/>
      <c r="B417" s="111"/>
      <c r="C417" s="111"/>
      <c r="D417" s="111"/>
      <c r="E417" s="217"/>
      <c r="F417" s="218"/>
      <c r="G417" s="219"/>
      <c r="H417" s="219"/>
      <c r="I417" s="220"/>
      <c r="J417" s="220"/>
      <c r="K417" s="221"/>
      <c r="L417" s="222"/>
      <c r="M417" s="221"/>
      <c r="N417" s="218"/>
      <c r="O417" s="219"/>
      <c r="P417" s="111"/>
      <c r="Q417" s="223"/>
      <c r="R417" s="218"/>
      <c r="S417" s="111"/>
    </row>
    <row r="418" ht="21.0" customHeight="1">
      <c r="A418" s="216"/>
      <c r="B418" s="111"/>
      <c r="C418" s="111"/>
      <c r="D418" s="111"/>
      <c r="E418" s="217"/>
      <c r="F418" s="218"/>
      <c r="G418" s="219"/>
      <c r="H418" s="219"/>
      <c r="I418" s="220"/>
      <c r="J418" s="220"/>
      <c r="K418" s="221"/>
      <c r="L418" s="222"/>
      <c r="M418" s="221"/>
      <c r="N418" s="218"/>
      <c r="O418" s="219"/>
      <c r="P418" s="111"/>
      <c r="Q418" s="223"/>
      <c r="R418" s="218"/>
      <c r="S418" s="111"/>
    </row>
    <row r="419" ht="21.0" customHeight="1">
      <c r="A419" s="216"/>
      <c r="B419" s="111"/>
      <c r="C419" s="111"/>
      <c r="D419" s="111"/>
      <c r="E419" s="217"/>
      <c r="F419" s="218"/>
      <c r="G419" s="219"/>
      <c r="H419" s="219"/>
      <c r="I419" s="220"/>
      <c r="J419" s="220"/>
      <c r="K419" s="221"/>
      <c r="L419" s="222"/>
      <c r="M419" s="221"/>
      <c r="N419" s="218"/>
      <c r="O419" s="219"/>
      <c r="P419" s="111"/>
      <c r="Q419" s="223"/>
      <c r="R419" s="218"/>
      <c r="S419" s="111"/>
    </row>
    <row r="420" ht="21.0" customHeight="1">
      <c r="A420" s="216"/>
      <c r="B420" s="111"/>
      <c r="C420" s="111"/>
      <c r="D420" s="111"/>
      <c r="E420" s="217"/>
      <c r="F420" s="218"/>
      <c r="G420" s="219"/>
      <c r="H420" s="219"/>
      <c r="I420" s="220"/>
      <c r="J420" s="220"/>
      <c r="K420" s="221"/>
      <c r="L420" s="222"/>
      <c r="M420" s="221"/>
      <c r="N420" s="218"/>
      <c r="O420" s="219"/>
      <c r="P420" s="111"/>
      <c r="Q420" s="223"/>
      <c r="R420" s="218"/>
      <c r="S420" s="111"/>
    </row>
    <row r="421" ht="21.0" customHeight="1">
      <c r="A421" s="216"/>
      <c r="B421" s="111"/>
      <c r="C421" s="111"/>
      <c r="D421" s="111"/>
      <c r="E421" s="217"/>
      <c r="F421" s="218"/>
      <c r="G421" s="219"/>
      <c r="H421" s="219"/>
      <c r="I421" s="220"/>
      <c r="J421" s="220"/>
      <c r="K421" s="221"/>
      <c r="L421" s="222"/>
      <c r="M421" s="221"/>
      <c r="N421" s="218"/>
      <c r="O421" s="219"/>
      <c r="P421" s="111"/>
      <c r="Q421" s="223"/>
      <c r="R421" s="218"/>
      <c r="S421" s="111"/>
    </row>
    <row r="422" ht="21.0" customHeight="1">
      <c r="A422" s="216"/>
      <c r="B422" s="111"/>
      <c r="C422" s="111"/>
      <c r="D422" s="111"/>
      <c r="E422" s="217"/>
      <c r="F422" s="218"/>
      <c r="G422" s="219"/>
      <c r="H422" s="219"/>
      <c r="I422" s="220"/>
      <c r="J422" s="220"/>
      <c r="K422" s="221"/>
      <c r="L422" s="222"/>
      <c r="M422" s="221"/>
      <c r="N422" s="218"/>
      <c r="O422" s="219"/>
      <c r="P422" s="111"/>
      <c r="Q422" s="223"/>
      <c r="R422" s="218"/>
      <c r="S422" s="111"/>
    </row>
    <row r="423" ht="21.0" customHeight="1">
      <c r="A423" s="216"/>
      <c r="B423" s="111"/>
      <c r="C423" s="111"/>
      <c r="D423" s="111"/>
      <c r="E423" s="217"/>
      <c r="F423" s="218"/>
      <c r="G423" s="219"/>
      <c r="H423" s="219"/>
      <c r="I423" s="220"/>
      <c r="J423" s="220"/>
      <c r="K423" s="221"/>
      <c r="L423" s="222"/>
      <c r="M423" s="221"/>
      <c r="N423" s="218"/>
      <c r="O423" s="219"/>
      <c r="P423" s="111"/>
      <c r="Q423" s="223"/>
      <c r="R423" s="218"/>
      <c r="S423" s="111"/>
    </row>
    <row r="424" ht="21.0" customHeight="1">
      <c r="A424" s="216"/>
      <c r="B424" s="111"/>
      <c r="C424" s="111"/>
      <c r="D424" s="111"/>
      <c r="E424" s="217"/>
      <c r="F424" s="218"/>
      <c r="G424" s="219"/>
      <c r="H424" s="219"/>
      <c r="I424" s="220"/>
      <c r="J424" s="220"/>
      <c r="K424" s="221"/>
      <c r="L424" s="222"/>
      <c r="M424" s="221"/>
      <c r="N424" s="218"/>
      <c r="O424" s="219"/>
      <c r="P424" s="111"/>
      <c r="Q424" s="223"/>
      <c r="R424" s="218"/>
      <c r="S424" s="111"/>
    </row>
    <row r="425" ht="21.0" customHeight="1">
      <c r="A425" s="216"/>
      <c r="B425" s="111"/>
      <c r="C425" s="111"/>
      <c r="D425" s="111"/>
      <c r="E425" s="217"/>
      <c r="F425" s="218"/>
      <c r="G425" s="219"/>
      <c r="H425" s="219"/>
      <c r="I425" s="220"/>
      <c r="J425" s="220"/>
      <c r="K425" s="221"/>
      <c r="L425" s="222"/>
      <c r="M425" s="221"/>
      <c r="N425" s="218"/>
      <c r="O425" s="219"/>
      <c r="P425" s="111"/>
      <c r="Q425" s="223"/>
      <c r="R425" s="218"/>
      <c r="S425" s="111"/>
    </row>
    <row r="426" ht="21.0" customHeight="1">
      <c r="A426" s="216"/>
      <c r="B426" s="111"/>
      <c r="C426" s="111"/>
      <c r="D426" s="111"/>
      <c r="E426" s="217"/>
      <c r="F426" s="218"/>
      <c r="G426" s="219"/>
      <c r="H426" s="219"/>
      <c r="I426" s="220"/>
      <c r="J426" s="220"/>
      <c r="K426" s="221"/>
      <c r="L426" s="222"/>
      <c r="M426" s="221"/>
      <c r="N426" s="218"/>
      <c r="O426" s="219"/>
      <c r="P426" s="111"/>
      <c r="Q426" s="223"/>
      <c r="R426" s="218"/>
      <c r="S426" s="111"/>
    </row>
    <row r="427" ht="21.0" customHeight="1">
      <c r="A427" s="216"/>
      <c r="B427" s="111"/>
      <c r="C427" s="111"/>
      <c r="D427" s="111"/>
      <c r="E427" s="217"/>
      <c r="F427" s="218"/>
      <c r="G427" s="219"/>
      <c r="H427" s="219"/>
      <c r="I427" s="220"/>
      <c r="J427" s="220"/>
      <c r="K427" s="221"/>
      <c r="L427" s="222"/>
      <c r="M427" s="221"/>
      <c r="N427" s="218"/>
      <c r="O427" s="219"/>
      <c r="P427" s="111"/>
      <c r="Q427" s="223"/>
      <c r="R427" s="218"/>
      <c r="S427" s="111"/>
    </row>
    <row r="428" ht="21.0" customHeight="1">
      <c r="A428" s="216"/>
      <c r="B428" s="111"/>
      <c r="C428" s="111"/>
      <c r="D428" s="111"/>
      <c r="E428" s="217"/>
      <c r="F428" s="218"/>
      <c r="G428" s="219"/>
      <c r="H428" s="219"/>
      <c r="I428" s="220"/>
      <c r="J428" s="220"/>
      <c r="K428" s="221"/>
      <c r="L428" s="222"/>
      <c r="M428" s="221"/>
      <c r="N428" s="218"/>
      <c r="O428" s="219"/>
      <c r="P428" s="111"/>
      <c r="Q428" s="223"/>
      <c r="R428" s="218"/>
      <c r="S428" s="111"/>
    </row>
    <row r="429" ht="21.0" customHeight="1">
      <c r="A429" s="216"/>
      <c r="B429" s="111"/>
      <c r="C429" s="111"/>
      <c r="D429" s="111"/>
      <c r="E429" s="217"/>
      <c r="F429" s="218"/>
      <c r="G429" s="219"/>
      <c r="H429" s="219"/>
      <c r="I429" s="220"/>
      <c r="J429" s="220"/>
      <c r="K429" s="221"/>
      <c r="L429" s="222"/>
      <c r="M429" s="221"/>
      <c r="N429" s="218"/>
      <c r="O429" s="219"/>
      <c r="P429" s="111"/>
      <c r="Q429" s="223"/>
      <c r="R429" s="218"/>
      <c r="S429" s="111"/>
    </row>
    <row r="430" ht="21.0" customHeight="1">
      <c r="A430" s="216"/>
      <c r="B430" s="111"/>
      <c r="C430" s="111"/>
      <c r="D430" s="111"/>
      <c r="E430" s="217"/>
      <c r="F430" s="218"/>
      <c r="G430" s="219"/>
      <c r="H430" s="219"/>
      <c r="I430" s="220"/>
      <c r="J430" s="220"/>
      <c r="K430" s="221"/>
      <c r="L430" s="222"/>
      <c r="M430" s="221"/>
      <c r="N430" s="218"/>
      <c r="O430" s="219"/>
      <c r="P430" s="111"/>
      <c r="Q430" s="223"/>
      <c r="R430" s="218"/>
      <c r="S430" s="111"/>
    </row>
    <row r="431" ht="21.0" customHeight="1">
      <c r="A431" s="216"/>
      <c r="B431" s="111"/>
      <c r="C431" s="111"/>
      <c r="D431" s="111"/>
      <c r="E431" s="217"/>
      <c r="F431" s="218"/>
      <c r="G431" s="219"/>
      <c r="H431" s="219"/>
      <c r="I431" s="220"/>
      <c r="J431" s="220"/>
      <c r="K431" s="221"/>
      <c r="L431" s="222"/>
      <c r="M431" s="221"/>
      <c r="N431" s="218"/>
      <c r="O431" s="219"/>
      <c r="P431" s="111"/>
      <c r="Q431" s="223"/>
      <c r="R431" s="218"/>
      <c r="S431" s="111"/>
    </row>
    <row r="432" ht="21.0" customHeight="1">
      <c r="A432" s="216"/>
      <c r="B432" s="111"/>
      <c r="C432" s="111"/>
      <c r="D432" s="111"/>
      <c r="E432" s="217"/>
      <c r="F432" s="218"/>
      <c r="G432" s="219"/>
      <c r="H432" s="219"/>
      <c r="I432" s="220"/>
      <c r="J432" s="220"/>
      <c r="K432" s="221"/>
      <c r="L432" s="222"/>
      <c r="M432" s="221"/>
      <c r="N432" s="218"/>
      <c r="O432" s="219"/>
      <c r="P432" s="111"/>
      <c r="Q432" s="223"/>
      <c r="R432" s="218"/>
      <c r="S432" s="111"/>
    </row>
    <row r="433" ht="21.0" customHeight="1">
      <c r="A433" s="216"/>
      <c r="B433" s="111"/>
      <c r="C433" s="111"/>
      <c r="D433" s="111"/>
      <c r="E433" s="217"/>
      <c r="F433" s="218"/>
      <c r="G433" s="219"/>
      <c r="H433" s="219"/>
      <c r="I433" s="220"/>
      <c r="J433" s="220"/>
      <c r="K433" s="221"/>
      <c r="L433" s="222"/>
      <c r="M433" s="221"/>
      <c r="N433" s="218"/>
      <c r="O433" s="219"/>
      <c r="P433" s="111"/>
      <c r="Q433" s="223"/>
      <c r="R433" s="218"/>
      <c r="S433" s="111"/>
    </row>
    <row r="434" ht="21.0" customHeight="1">
      <c r="A434" s="216"/>
      <c r="B434" s="111"/>
      <c r="C434" s="111"/>
      <c r="D434" s="111"/>
      <c r="E434" s="217"/>
      <c r="F434" s="218"/>
      <c r="G434" s="219"/>
      <c r="H434" s="219"/>
      <c r="I434" s="220"/>
      <c r="J434" s="220"/>
      <c r="K434" s="221"/>
      <c r="L434" s="222"/>
      <c r="M434" s="221"/>
      <c r="N434" s="218"/>
      <c r="O434" s="219"/>
      <c r="P434" s="111"/>
      <c r="Q434" s="223"/>
      <c r="R434" s="218"/>
      <c r="S434" s="111"/>
    </row>
    <row r="435" ht="21.0" customHeight="1">
      <c r="A435" s="216"/>
      <c r="B435" s="111"/>
      <c r="C435" s="111"/>
      <c r="D435" s="111"/>
      <c r="E435" s="217"/>
      <c r="F435" s="218"/>
      <c r="G435" s="219"/>
      <c r="H435" s="219"/>
      <c r="I435" s="220"/>
      <c r="J435" s="220"/>
      <c r="K435" s="221"/>
      <c r="L435" s="222"/>
      <c r="M435" s="221"/>
      <c r="N435" s="218"/>
      <c r="O435" s="219"/>
      <c r="P435" s="111"/>
      <c r="Q435" s="223"/>
      <c r="R435" s="218"/>
      <c r="S435" s="111"/>
    </row>
    <row r="436" ht="21.0" customHeight="1">
      <c r="A436" s="216"/>
      <c r="B436" s="111"/>
      <c r="C436" s="111"/>
      <c r="D436" s="111"/>
      <c r="E436" s="217"/>
      <c r="F436" s="218"/>
      <c r="G436" s="219"/>
      <c r="H436" s="219"/>
      <c r="I436" s="220"/>
      <c r="J436" s="220"/>
      <c r="K436" s="221"/>
      <c r="L436" s="222"/>
      <c r="M436" s="221"/>
      <c r="N436" s="218"/>
      <c r="O436" s="219"/>
      <c r="P436" s="111"/>
      <c r="Q436" s="223"/>
      <c r="R436" s="218"/>
      <c r="S436" s="111"/>
    </row>
    <row r="437" ht="21.0" customHeight="1">
      <c r="A437" s="216"/>
      <c r="B437" s="111"/>
      <c r="C437" s="111"/>
      <c r="D437" s="111"/>
      <c r="E437" s="217"/>
      <c r="F437" s="218"/>
      <c r="G437" s="219"/>
      <c r="H437" s="219"/>
      <c r="I437" s="220"/>
      <c r="J437" s="220"/>
      <c r="K437" s="221"/>
      <c r="L437" s="222"/>
      <c r="M437" s="221"/>
      <c r="N437" s="218"/>
      <c r="O437" s="219"/>
      <c r="P437" s="111"/>
      <c r="Q437" s="223"/>
      <c r="R437" s="218"/>
      <c r="S437" s="111"/>
    </row>
    <row r="438" ht="21.0" customHeight="1">
      <c r="A438" s="216"/>
      <c r="B438" s="111"/>
      <c r="C438" s="111"/>
      <c r="D438" s="111"/>
      <c r="E438" s="217"/>
      <c r="F438" s="218"/>
      <c r="G438" s="219"/>
      <c r="H438" s="219"/>
      <c r="I438" s="220"/>
      <c r="J438" s="220"/>
      <c r="K438" s="221"/>
      <c r="L438" s="222"/>
      <c r="M438" s="221"/>
      <c r="N438" s="218"/>
      <c r="O438" s="219"/>
      <c r="P438" s="111"/>
      <c r="Q438" s="223"/>
      <c r="R438" s="218"/>
      <c r="S438" s="111"/>
    </row>
    <row r="439" ht="21.0" customHeight="1">
      <c r="A439" s="216"/>
      <c r="B439" s="111"/>
      <c r="C439" s="111"/>
      <c r="D439" s="111"/>
      <c r="E439" s="217"/>
      <c r="F439" s="218"/>
      <c r="G439" s="219"/>
      <c r="H439" s="219"/>
      <c r="I439" s="220"/>
      <c r="J439" s="220"/>
      <c r="K439" s="221"/>
      <c r="L439" s="222"/>
      <c r="M439" s="221"/>
      <c r="N439" s="218"/>
      <c r="O439" s="219"/>
      <c r="P439" s="111"/>
      <c r="Q439" s="223"/>
      <c r="R439" s="218"/>
      <c r="S439" s="111"/>
    </row>
    <row r="440" ht="21.0" customHeight="1">
      <c r="A440" s="216"/>
      <c r="B440" s="111"/>
      <c r="C440" s="111"/>
      <c r="D440" s="111"/>
      <c r="E440" s="217"/>
      <c r="F440" s="218"/>
      <c r="G440" s="219"/>
      <c r="H440" s="219"/>
      <c r="I440" s="220"/>
      <c r="J440" s="220"/>
      <c r="K440" s="221"/>
      <c r="L440" s="222"/>
      <c r="M440" s="221"/>
      <c r="N440" s="218"/>
      <c r="O440" s="219"/>
      <c r="P440" s="111"/>
      <c r="Q440" s="223"/>
      <c r="R440" s="218"/>
      <c r="S440" s="111"/>
    </row>
    <row r="441" ht="21.0" customHeight="1">
      <c r="A441" s="216"/>
      <c r="B441" s="111"/>
      <c r="C441" s="111"/>
      <c r="D441" s="111"/>
      <c r="E441" s="217"/>
      <c r="F441" s="218"/>
      <c r="G441" s="219"/>
      <c r="H441" s="219"/>
      <c r="I441" s="220"/>
      <c r="J441" s="220"/>
      <c r="K441" s="221"/>
      <c r="L441" s="222"/>
      <c r="M441" s="221"/>
      <c r="N441" s="218"/>
      <c r="O441" s="219"/>
      <c r="P441" s="111"/>
      <c r="Q441" s="223"/>
      <c r="R441" s="218"/>
      <c r="S441" s="111"/>
    </row>
    <row r="442" ht="21.0" customHeight="1">
      <c r="A442" s="216"/>
      <c r="B442" s="111"/>
      <c r="C442" s="111"/>
      <c r="D442" s="111"/>
      <c r="E442" s="217"/>
      <c r="F442" s="218"/>
      <c r="G442" s="219"/>
      <c r="H442" s="219"/>
      <c r="I442" s="220"/>
      <c r="J442" s="220"/>
      <c r="K442" s="221"/>
      <c r="L442" s="222"/>
      <c r="M442" s="221"/>
      <c r="N442" s="218"/>
      <c r="O442" s="219"/>
      <c r="P442" s="111"/>
      <c r="Q442" s="223"/>
      <c r="R442" s="218"/>
      <c r="S442" s="111"/>
    </row>
    <row r="443" ht="21.0" customHeight="1">
      <c r="A443" s="216"/>
      <c r="B443" s="111"/>
      <c r="C443" s="111"/>
      <c r="D443" s="111"/>
      <c r="E443" s="217"/>
      <c r="F443" s="218"/>
      <c r="G443" s="219"/>
      <c r="H443" s="219"/>
      <c r="I443" s="220"/>
      <c r="J443" s="220"/>
      <c r="K443" s="221"/>
      <c r="L443" s="222"/>
      <c r="M443" s="221"/>
      <c r="N443" s="218"/>
      <c r="O443" s="219"/>
      <c r="P443" s="111"/>
      <c r="Q443" s="223"/>
      <c r="R443" s="218"/>
      <c r="S443" s="111"/>
    </row>
    <row r="444" ht="21.0" customHeight="1">
      <c r="A444" s="216"/>
      <c r="B444" s="111"/>
      <c r="C444" s="111"/>
      <c r="D444" s="111"/>
      <c r="E444" s="217"/>
      <c r="F444" s="218"/>
      <c r="G444" s="219"/>
      <c r="H444" s="219"/>
      <c r="I444" s="220"/>
      <c r="J444" s="220"/>
      <c r="K444" s="221"/>
      <c r="L444" s="222"/>
      <c r="M444" s="221"/>
      <c r="N444" s="218"/>
      <c r="O444" s="219"/>
      <c r="P444" s="111"/>
      <c r="Q444" s="223"/>
      <c r="R444" s="218"/>
      <c r="S444" s="111"/>
    </row>
    <row r="445" ht="21.0" customHeight="1">
      <c r="A445" s="216"/>
      <c r="B445" s="111"/>
      <c r="C445" s="111"/>
      <c r="D445" s="111"/>
      <c r="E445" s="217"/>
      <c r="F445" s="218"/>
      <c r="G445" s="219"/>
      <c r="H445" s="219"/>
      <c r="I445" s="220"/>
      <c r="J445" s="220"/>
      <c r="K445" s="221"/>
      <c r="L445" s="222"/>
      <c r="M445" s="221"/>
      <c r="N445" s="218"/>
      <c r="O445" s="219"/>
      <c r="P445" s="111"/>
      <c r="Q445" s="223"/>
      <c r="R445" s="218"/>
      <c r="S445" s="111"/>
    </row>
    <row r="446" ht="21.0" customHeight="1">
      <c r="A446" s="216"/>
      <c r="B446" s="111"/>
      <c r="C446" s="111"/>
      <c r="D446" s="111"/>
      <c r="E446" s="217"/>
      <c r="F446" s="218"/>
      <c r="G446" s="219"/>
      <c r="H446" s="219"/>
      <c r="I446" s="220"/>
      <c r="J446" s="220"/>
      <c r="K446" s="221"/>
      <c r="L446" s="222"/>
      <c r="M446" s="221"/>
      <c r="N446" s="218"/>
      <c r="O446" s="219"/>
      <c r="P446" s="111"/>
      <c r="Q446" s="223"/>
      <c r="R446" s="218"/>
      <c r="S446" s="111"/>
    </row>
    <row r="447" ht="21.0" customHeight="1">
      <c r="A447" s="216"/>
      <c r="B447" s="111"/>
      <c r="C447" s="111"/>
      <c r="D447" s="111"/>
      <c r="E447" s="217"/>
      <c r="F447" s="218"/>
      <c r="G447" s="219"/>
      <c r="H447" s="219"/>
      <c r="I447" s="220"/>
      <c r="J447" s="220"/>
      <c r="K447" s="221"/>
      <c r="L447" s="222"/>
      <c r="M447" s="221"/>
      <c r="N447" s="218"/>
      <c r="O447" s="219"/>
      <c r="P447" s="111"/>
      <c r="Q447" s="223"/>
      <c r="R447" s="218"/>
      <c r="S447" s="111"/>
    </row>
    <row r="448" ht="21.0" customHeight="1">
      <c r="A448" s="216"/>
      <c r="B448" s="111"/>
      <c r="C448" s="111"/>
      <c r="D448" s="111"/>
      <c r="E448" s="217"/>
      <c r="F448" s="218"/>
      <c r="G448" s="219"/>
      <c r="H448" s="219"/>
      <c r="I448" s="220"/>
      <c r="J448" s="220"/>
      <c r="K448" s="221"/>
      <c r="L448" s="222"/>
      <c r="M448" s="221"/>
      <c r="N448" s="218"/>
      <c r="O448" s="219"/>
      <c r="P448" s="111"/>
      <c r="Q448" s="223"/>
      <c r="R448" s="218"/>
      <c r="S448" s="111"/>
    </row>
    <row r="449" ht="21.0" customHeight="1">
      <c r="A449" s="216"/>
      <c r="B449" s="111"/>
      <c r="C449" s="111"/>
      <c r="D449" s="111"/>
      <c r="E449" s="217"/>
      <c r="F449" s="218"/>
      <c r="G449" s="219"/>
      <c r="H449" s="219"/>
      <c r="I449" s="220"/>
      <c r="J449" s="220"/>
      <c r="K449" s="221"/>
      <c r="L449" s="222"/>
      <c r="M449" s="221"/>
      <c r="N449" s="218"/>
      <c r="O449" s="219"/>
      <c r="P449" s="111"/>
      <c r="Q449" s="223"/>
      <c r="R449" s="218"/>
      <c r="S449" s="111"/>
    </row>
    <row r="450" ht="21.0" customHeight="1">
      <c r="A450" s="216"/>
      <c r="B450" s="111"/>
      <c r="C450" s="111"/>
      <c r="D450" s="111"/>
      <c r="E450" s="217"/>
      <c r="F450" s="218"/>
      <c r="G450" s="219"/>
      <c r="H450" s="219"/>
      <c r="I450" s="220"/>
      <c r="J450" s="220"/>
      <c r="K450" s="221"/>
      <c r="L450" s="222"/>
      <c r="M450" s="221"/>
      <c r="N450" s="218"/>
      <c r="O450" s="219"/>
      <c r="P450" s="111"/>
      <c r="Q450" s="223"/>
      <c r="R450" s="218"/>
      <c r="S450" s="111"/>
    </row>
    <row r="451" ht="21.0" customHeight="1">
      <c r="A451" s="216"/>
      <c r="B451" s="111"/>
      <c r="C451" s="111"/>
      <c r="D451" s="111"/>
      <c r="E451" s="217"/>
      <c r="F451" s="218"/>
      <c r="G451" s="219"/>
      <c r="H451" s="219"/>
      <c r="I451" s="220"/>
      <c r="J451" s="220"/>
      <c r="K451" s="221"/>
      <c r="L451" s="222"/>
      <c r="M451" s="221"/>
      <c r="N451" s="218"/>
      <c r="O451" s="219"/>
      <c r="P451" s="111"/>
      <c r="Q451" s="223"/>
      <c r="R451" s="218"/>
      <c r="S451" s="111"/>
    </row>
    <row r="452" ht="21.0" customHeight="1">
      <c r="A452" s="216"/>
      <c r="B452" s="111"/>
      <c r="C452" s="111"/>
      <c r="D452" s="111"/>
      <c r="E452" s="217"/>
      <c r="F452" s="218"/>
      <c r="G452" s="219"/>
      <c r="H452" s="219"/>
      <c r="I452" s="220"/>
      <c r="J452" s="220"/>
      <c r="K452" s="221"/>
      <c r="L452" s="222"/>
      <c r="M452" s="221"/>
      <c r="N452" s="218"/>
      <c r="O452" s="219"/>
      <c r="P452" s="111"/>
      <c r="Q452" s="223"/>
      <c r="R452" s="218"/>
      <c r="S452" s="111"/>
    </row>
    <row r="453" ht="21.0" customHeight="1">
      <c r="A453" s="216"/>
      <c r="B453" s="111"/>
      <c r="C453" s="111"/>
      <c r="D453" s="111"/>
      <c r="E453" s="217"/>
      <c r="F453" s="218"/>
      <c r="G453" s="219"/>
      <c r="H453" s="219"/>
      <c r="I453" s="220"/>
      <c r="J453" s="220"/>
      <c r="K453" s="221"/>
      <c r="L453" s="222"/>
      <c r="M453" s="221"/>
      <c r="N453" s="218"/>
      <c r="O453" s="219"/>
      <c r="P453" s="111"/>
      <c r="Q453" s="223"/>
      <c r="R453" s="218"/>
      <c r="S453" s="111"/>
    </row>
    <row r="454" ht="21.0" customHeight="1">
      <c r="A454" s="216"/>
      <c r="B454" s="111"/>
      <c r="C454" s="111"/>
      <c r="D454" s="111"/>
      <c r="E454" s="217"/>
      <c r="F454" s="218"/>
      <c r="G454" s="219"/>
      <c r="H454" s="219"/>
      <c r="I454" s="220"/>
      <c r="J454" s="220"/>
      <c r="K454" s="221"/>
      <c r="L454" s="222"/>
      <c r="M454" s="221"/>
      <c r="N454" s="218"/>
      <c r="O454" s="219"/>
      <c r="P454" s="111"/>
      <c r="Q454" s="223"/>
      <c r="R454" s="218"/>
      <c r="S454" s="111"/>
    </row>
    <row r="455" ht="21.0" customHeight="1">
      <c r="A455" s="216"/>
      <c r="B455" s="111"/>
      <c r="C455" s="111"/>
      <c r="D455" s="111"/>
      <c r="E455" s="217"/>
      <c r="F455" s="218"/>
      <c r="G455" s="219"/>
      <c r="H455" s="219"/>
      <c r="I455" s="220"/>
      <c r="J455" s="220"/>
      <c r="K455" s="221"/>
      <c r="L455" s="222"/>
      <c r="M455" s="221"/>
      <c r="N455" s="218"/>
      <c r="O455" s="219"/>
      <c r="P455" s="111"/>
      <c r="Q455" s="223"/>
      <c r="R455" s="218"/>
      <c r="S455" s="111"/>
    </row>
    <row r="456" ht="21.0" customHeight="1">
      <c r="A456" s="216"/>
      <c r="B456" s="111"/>
      <c r="C456" s="111"/>
      <c r="D456" s="111"/>
      <c r="E456" s="217"/>
      <c r="F456" s="218"/>
      <c r="G456" s="219"/>
      <c r="H456" s="219"/>
      <c r="I456" s="220"/>
      <c r="J456" s="220"/>
      <c r="K456" s="221"/>
      <c r="L456" s="222"/>
      <c r="M456" s="221"/>
      <c r="N456" s="218"/>
      <c r="O456" s="219"/>
      <c r="P456" s="111"/>
      <c r="Q456" s="223"/>
      <c r="R456" s="218"/>
      <c r="S456" s="111"/>
    </row>
    <row r="457" ht="21.0" customHeight="1">
      <c r="A457" s="216"/>
      <c r="B457" s="111"/>
      <c r="C457" s="111"/>
      <c r="D457" s="111"/>
      <c r="E457" s="217"/>
      <c r="F457" s="218"/>
      <c r="G457" s="219"/>
      <c r="H457" s="219"/>
      <c r="I457" s="220"/>
      <c r="J457" s="220"/>
      <c r="K457" s="221"/>
      <c r="L457" s="222"/>
      <c r="M457" s="221"/>
      <c r="N457" s="218"/>
      <c r="O457" s="219"/>
      <c r="P457" s="111"/>
      <c r="Q457" s="223"/>
      <c r="R457" s="218"/>
      <c r="S457" s="111"/>
    </row>
    <row r="458" ht="21.0" customHeight="1">
      <c r="A458" s="216"/>
      <c r="B458" s="111"/>
      <c r="C458" s="111"/>
      <c r="D458" s="111"/>
      <c r="E458" s="217"/>
      <c r="F458" s="218"/>
      <c r="G458" s="219"/>
      <c r="H458" s="219"/>
      <c r="I458" s="220"/>
      <c r="J458" s="220"/>
      <c r="K458" s="221"/>
      <c r="L458" s="222"/>
      <c r="M458" s="221"/>
      <c r="N458" s="218"/>
      <c r="O458" s="219"/>
      <c r="P458" s="111"/>
      <c r="Q458" s="223"/>
      <c r="R458" s="218"/>
      <c r="S458" s="111"/>
    </row>
    <row r="459" ht="21.0" customHeight="1">
      <c r="A459" s="216"/>
      <c r="B459" s="111"/>
      <c r="C459" s="111"/>
      <c r="D459" s="111"/>
      <c r="E459" s="217"/>
      <c r="F459" s="218"/>
      <c r="G459" s="219"/>
      <c r="H459" s="219"/>
      <c r="I459" s="220"/>
      <c r="J459" s="220"/>
      <c r="K459" s="221"/>
      <c r="L459" s="222"/>
      <c r="M459" s="221"/>
      <c r="N459" s="218"/>
      <c r="O459" s="219"/>
      <c r="P459" s="111"/>
      <c r="Q459" s="223"/>
      <c r="R459" s="218"/>
      <c r="S459" s="111"/>
    </row>
    <row r="460" ht="21.0" customHeight="1">
      <c r="A460" s="216"/>
      <c r="B460" s="111"/>
      <c r="C460" s="111"/>
      <c r="D460" s="111"/>
      <c r="E460" s="217"/>
      <c r="F460" s="218"/>
      <c r="G460" s="219"/>
      <c r="H460" s="219"/>
      <c r="I460" s="220"/>
      <c r="J460" s="220"/>
      <c r="K460" s="221"/>
      <c r="L460" s="222"/>
      <c r="M460" s="221"/>
      <c r="N460" s="218"/>
      <c r="O460" s="219"/>
      <c r="P460" s="111"/>
      <c r="Q460" s="223"/>
      <c r="R460" s="218"/>
      <c r="S460" s="111"/>
    </row>
    <row r="461" ht="21.0" customHeight="1">
      <c r="A461" s="216"/>
      <c r="B461" s="111"/>
      <c r="C461" s="111"/>
      <c r="D461" s="111"/>
      <c r="E461" s="217"/>
      <c r="F461" s="218"/>
      <c r="G461" s="219"/>
      <c r="H461" s="219"/>
      <c r="I461" s="220"/>
      <c r="J461" s="220"/>
      <c r="K461" s="221"/>
      <c r="L461" s="222"/>
      <c r="M461" s="221"/>
      <c r="N461" s="218"/>
      <c r="O461" s="219"/>
      <c r="P461" s="111"/>
      <c r="Q461" s="223"/>
      <c r="R461" s="218"/>
      <c r="S461" s="111"/>
    </row>
    <row r="462" ht="21.0" customHeight="1">
      <c r="A462" s="216"/>
      <c r="B462" s="111"/>
      <c r="C462" s="111"/>
      <c r="D462" s="111"/>
      <c r="E462" s="217"/>
      <c r="F462" s="218"/>
      <c r="G462" s="219"/>
      <c r="H462" s="219"/>
      <c r="I462" s="220"/>
      <c r="J462" s="220"/>
      <c r="K462" s="221"/>
      <c r="L462" s="222"/>
      <c r="M462" s="221"/>
      <c r="N462" s="218"/>
      <c r="O462" s="219"/>
      <c r="P462" s="111"/>
      <c r="Q462" s="223"/>
      <c r="R462" s="218"/>
      <c r="S462" s="111"/>
    </row>
    <row r="463" ht="21.0" customHeight="1">
      <c r="A463" s="216"/>
      <c r="B463" s="111"/>
      <c r="C463" s="111"/>
      <c r="D463" s="111"/>
      <c r="E463" s="217"/>
      <c r="F463" s="218"/>
      <c r="G463" s="219"/>
      <c r="H463" s="219"/>
      <c r="I463" s="220"/>
      <c r="J463" s="220"/>
      <c r="K463" s="221"/>
      <c r="L463" s="222"/>
      <c r="M463" s="221"/>
      <c r="N463" s="218"/>
      <c r="O463" s="219"/>
      <c r="P463" s="111"/>
      <c r="Q463" s="223"/>
      <c r="R463" s="218"/>
      <c r="S463" s="111"/>
    </row>
    <row r="464" ht="21.0" customHeight="1">
      <c r="A464" s="216"/>
      <c r="B464" s="111"/>
      <c r="C464" s="111"/>
      <c r="D464" s="111"/>
      <c r="E464" s="217"/>
      <c r="F464" s="218"/>
      <c r="G464" s="219"/>
      <c r="H464" s="219"/>
      <c r="I464" s="220"/>
      <c r="J464" s="220"/>
      <c r="K464" s="221"/>
      <c r="L464" s="222"/>
      <c r="M464" s="221"/>
      <c r="N464" s="218"/>
      <c r="O464" s="219"/>
      <c r="P464" s="111"/>
      <c r="Q464" s="223"/>
      <c r="R464" s="218"/>
      <c r="S464" s="111"/>
    </row>
    <row r="465" ht="21.0" customHeight="1">
      <c r="A465" s="216"/>
      <c r="B465" s="111"/>
      <c r="C465" s="111"/>
      <c r="D465" s="111"/>
      <c r="E465" s="217"/>
      <c r="F465" s="218"/>
      <c r="G465" s="219"/>
      <c r="H465" s="219"/>
      <c r="I465" s="220"/>
      <c r="J465" s="220"/>
      <c r="K465" s="221"/>
      <c r="L465" s="222"/>
      <c r="M465" s="221"/>
      <c r="N465" s="218"/>
      <c r="O465" s="219"/>
      <c r="P465" s="111"/>
      <c r="Q465" s="223"/>
      <c r="R465" s="218"/>
      <c r="S465" s="111"/>
    </row>
    <row r="466" ht="21.0" customHeight="1">
      <c r="A466" s="216"/>
      <c r="B466" s="111"/>
      <c r="C466" s="111"/>
      <c r="D466" s="111"/>
      <c r="E466" s="217"/>
      <c r="F466" s="218"/>
      <c r="G466" s="219"/>
      <c r="H466" s="219"/>
      <c r="I466" s="220"/>
      <c r="J466" s="220"/>
      <c r="K466" s="221"/>
      <c r="L466" s="222"/>
      <c r="M466" s="221"/>
      <c r="N466" s="218"/>
      <c r="O466" s="219"/>
      <c r="P466" s="111"/>
      <c r="Q466" s="223"/>
      <c r="R466" s="218"/>
      <c r="S466" s="111"/>
    </row>
    <row r="467" ht="21.0" customHeight="1">
      <c r="A467" s="216"/>
      <c r="B467" s="111"/>
      <c r="C467" s="111"/>
      <c r="D467" s="111"/>
      <c r="E467" s="217"/>
      <c r="F467" s="218"/>
      <c r="G467" s="219"/>
      <c r="H467" s="219"/>
      <c r="I467" s="220"/>
      <c r="J467" s="220"/>
      <c r="K467" s="221"/>
      <c r="L467" s="222"/>
      <c r="M467" s="221"/>
      <c r="N467" s="218"/>
      <c r="O467" s="219"/>
      <c r="P467" s="111"/>
      <c r="Q467" s="223"/>
      <c r="R467" s="218"/>
      <c r="S467" s="111"/>
    </row>
    <row r="468" ht="21.0" customHeight="1">
      <c r="A468" s="216"/>
      <c r="B468" s="111"/>
      <c r="C468" s="111"/>
      <c r="D468" s="111"/>
      <c r="E468" s="217"/>
      <c r="F468" s="218"/>
      <c r="G468" s="219"/>
      <c r="H468" s="219"/>
      <c r="I468" s="220"/>
      <c r="J468" s="220"/>
      <c r="K468" s="221"/>
      <c r="L468" s="222"/>
      <c r="M468" s="221"/>
      <c r="N468" s="218"/>
      <c r="O468" s="219"/>
      <c r="P468" s="111"/>
      <c r="Q468" s="223"/>
      <c r="R468" s="218"/>
      <c r="S468" s="111"/>
    </row>
    <row r="469" ht="21.0" customHeight="1">
      <c r="A469" s="216"/>
      <c r="B469" s="111"/>
      <c r="C469" s="111"/>
      <c r="D469" s="111"/>
      <c r="E469" s="217"/>
      <c r="F469" s="218"/>
      <c r="G469" s="219"/>
      <c r="H469" s="219"/>
      <c r="I469" s="220"/>
      <c r="J469" s="220"/>
      <c r="K469" s="221"/>
      <c r="L469" s="222"/>
      <c r="M469" s="221"/>
      <c r="N469" s="218"/>
      <c r="O469" s="219"/>
      <c r="P469" s="111"/>
      <c r="Q469" s="223"/>
      <c r="R469" s="218"/>
      <c r="S469" s="111"/>
    </row>
    <row r="470" ht="21.0" customHeight="1">
      <c r="A470" s="216"/>
      <c r="B470" s="111"/>
      <c r="C470" s="111"/>
      <c r="D470" s="111"/>
      <c r="E470" s="217"/>
      <c r="F470" s="218"/>
      <c r="G470" s="219"/>
      <c r="H470" s="219"/>
      <c r="I470" s="220"/>
      <c r="J470" s="220"/>
      <c r="K470" s="221"/>
      <c r="L470" s="222"/>
      <c r="M470" s="221"/>
      <c r="N470" s="218"/>
      <c r="O470" s="219"/>
      <c r="P470" s="111"/>
      <c r="Q470" s="223"/>
      <c r="R470" s="218"/>
      <c r="S470" s="111"/>
    </row>
    <row r="471" ht="21.0" customHeight="1">
      <c r="A471" s="216"/>
      <c r="B471" s="111"/>
      <c r="C471" s="111"/>
      <c r="D471" s="111"/>
      <c r="E471" s="217"/>
      <c r="F471" s="218"/>
      <c r="G471" s="219"/>
      <c r="H471" s="219"/>
      <c r="I471" s="220"/>
      <c r="J471" s="220"/>
      <c r="K471" s="221"/>
      <c r="L471" s="222"/>
      <c r="M471" s="221"/>
      <c r="N471" s="218"/>
      <c r="O471" s="219"/>
      <c r="P471" s="111"/>
      <c r="Q471" s="223"/>
      <c r="R471" s="218"/>
      <c r="S471" s="111"/>
    </row>
    <row r="472" ht="21.0" customHeight="1">
      <c r="A472" s="216"/>
      <c r="B472" s="111"/>
      <c r="C472" s="111"/>
      <c r="D472" s="111"/>
      <c r="E472" s="217"/>
      <c r="F472" s="218"/>
      <c r="G472" s="219"/>
      <c r="H472" s="219"/>
      <c r="I472" s="220"/>
      <c r="J472" s="220"/>
      <c r="K472" s="221"/>
      <c r="L472" s="222"/>
      <c r="M472" s="221"/>
      <c r="N472" s="218"/>
      <c r="O472" s="219"/>
      <c r="P472" s="111"/>
      <c r="Q472" s="223"/>
      <c r="R472" s="218"/>
      <c r="S472" s="111"/>
    </row>
    <row r="473" ht="21.0" customHeight="1">
      <c r="A473" s="216"/>
      <c r="B473" s="111"/>
      <c r="C473" s="111"/>
      <c r="D473" s="111"/>
      <c r="E473" s="217"/>
      <c r="F473" s="218"/>
      <c r="G473" s="219"/>
      <c r="H473" s="219"/>
      <c r="I473" s="220"/>
      <c r="J473" s="220"/>
      <c r="K473" s="221"/>
      <c r="L473" s="222"/>
      <c r="M473" s="221"/>
      <c r="N473" s="218"/>
      <c r="O473" s="219"/>
      <c r="P473" s="111"/>
      <c r="Q473" s="223"/>
      <c r="R473" s="218"/>
      <c r="S473" s="111"/>
    </row>
    <row r="474" ht="21.0" customHeight="1">
      <c r="A474" s="216"/>
      <c r="B474" s="111"/>
      <c r="C474" s="111"/>
      <c r="D474" s="111"/>
      <c r="E474" s="217"/>
      <c r="F474" s="218"/>
      <c r="G474" s="219"/>
      <c r="H474" s="219"/>
      <c r="I474" s="220"/>
      <c r="J474" s="220"/>
      <c r="K474" s="221"/>
      <c r="L474" s="222"/>
      <c r="M474" s="221"/>
      <c r="N474" s="218"/>
      <c r="O474" s="219"/>
      <c r="P474" s="111"/>
      <c r="Q474" s="223"/>
      <c r="R474" s="218"/>
      <c r="S474" s="111"/>
    </row>
    <row r="475" ht="21.0" customHeight="1">
      <c r="A475" s="216"/>
      <c r="B475" s="111"/>
      <c r="C475" s="111"/>
      <c r="D475" s="111"/>
      <c r="E475" s="217"/>
      <c r="F475" s="218"/>
      <c r="G475" s="219"/>
      <c r="H475" s="219"/>
      <c r="I475" s="220"/>
      <c r="J475" s="220"/>
      <c r="K475" s="221"/>
      <c r="L475" s="222"/>
      <c r="M475" s="221"/>
      <c r="N475" s="218"/>
      <c r="O475" s="219"/>
      <c r="P475" s="111"/>
      <c r="Q475" s="223"/>
      <c r="R475" s="218"/>
      <c r="S475" s="111"/>
    </row>
    <row r="476" ht="21.0" customHeight="1">
      <c r="A476" s="216"/>
      <c r="B476" s="111"/>
      <c r="C476" s="111"/>
      <c r="D476" s="111"/>
      <c r="E476" s="217"/>
      <c r="F476" s="218"/>
      <c r="G476" s="219"/>
      <c r="H476" s="219"/>
      <c r="I476" s="220"/>
      <c r="J476" s="220"/>
      <c r="K476" s="221"/>
      <c r="L476" s="222"/>
      <c r="M476" s="221"/>
      <c r="N476" s="218"/>
      <c r="O476" s="219"/>
      <c r="P476" s="111"/>
      <c r="Q476" s="223"/>
      <c r="R476" s="218"/>
      <c r="S476" s="111"/>
    </row>
    <row r="477" ht="21.0" customHeight="1">
      <c r="A477" s="216"/>
      <c r="B477" s="111"/>
      <c r="C477" s="111"/>
      <c r="D477" s="111"/>
      <c r="E477" s="217"/>
      <c r="F477" s="218"/>
      <c r="G477" s="219"/>
      <c r="H477" s="219"/>
      <c r="I477" s="220"/>
      <c r="J477" s="220"/>
      <c r="K477" s="221"/>
      <c r="L477" s="222"/>
      <c r="M477" s="221"/>
      <c r="N477" s="218"/>
      <c r="O477" s="219"/>
      <c r="P477" s="111"/>
      <c r="Q477" s="223"/>
      <c r="R477" s="218"/>
      <c r="S477" s="111"/>
    </row>
    <row r="478" ht="21.0" customHeight="1">
      <c r="A478" s="216"/>
      <c r="B478" s="111"/>
      <c r="C478" s="111"/>
      <c r="D478" s="111"/>
      <c r="E478" s="217"/>
      <c r="F478" s="218"/>
      <c r="G478" s="219"/>
      <c r="H478" s="219"/>
      <c r="I478" s="220"/>
      <c r="J478" s="220"/>
      <c r="K478" s="221"/>
      <c r="L478" s="222"/>
      <c r="M478" s="221"/>
      <c r="N478" s="218"/>
      <c r="O478" s="219"/>
      <c r="P478" s="111"/>
      <c r="Q478" s="223"/>
      <c r="R478" s="218"/>
      <c r="S478" s="111"/>
    </row>
    <row r="479" ht="21.0" customHeight="1">
      <c r="A479" s="216"/>
      <c r="B479" s="111"/>
      <c r="C479" s="111"/>
      <c r="D479" s="111"/>
      <c r="E479" s="217"/>
      <c r="F479" s="218"/>
      <c r="G479" s="219"/>
      <c r="H479" s="219"/>
      <c r="I479" s="220"/>
      <c r="J479" s="220"/>
      <c r="K479" s="221"/>
      <c r="L479" s="222"/>
      <c r="M479" s="221"/>
      <c r="N479" s="218"/>
      <c r="O479" s="219"/>
      <c r="P479" s="111"/>
      <c r="Q479" s="223"/>
      <c r="R479" s="218"/>
      <c r="S479" s="111"/>
    </row>
    <row r="480" ht="21.0" customHeight="1">
      <c r="A480" s="216"/>
      <c r="B480" s="111"/>
      <c r="C480" s="111"/>
      <c r="D480" s="111"/>
      <c r="E480" s="217"/>
      <c r="F480" s="218"/>
      <c r="G480" s="219"/>
      <c r="H480" s="219"/>
      <c r="I480" s="220"/>
      <c r="J480" s="220"/>
      <c r="K480" s="221"/>
      <c r="L480" s="222"/>
      <c r="M480" s="221"/>
      <c r="N480" s="218"/>
      <c r="O480" s="219"/>
      <c r="P480" s="111"/>
      <c r="Q480" s="223"/>
      <c r="R480" s="218"/>
      <c r="S480" s="111"/>
    </row>
    <row r="481" ht="21.0" customHeight="1">
      <c r="A481" s="216"/>
      <c r="B481" s="111"/>
      <c r="C481" s="111"/>
      <c r="D481" s="111"/>
      <c r="E481" s="217"/>
      <c r="F481" s="218"/>
      <c r="G481" s="219"/>
      <c r="H481" s="219"/>
      <c r="I481" s="220"/>
      <c r="J481" s="220"/>
      <c r="K481" s="221"/>
      <c r="L481" s="222"/>
      <c r="M481" s="221"/>
      <c r="N481" s="218"/>
      <c r="O481" s="219"/>
      <c r="P481" s="111"/>
      <c r="Q481" s="223"/>
      <c r="R481" s="218"/>
      <c r="S481" s="111"/>
    </row>
    <row r="482" ht="21.0" customHeight="1">
      <c r="A482" s="216"/>
      <c r="B482" s="111"/>
      <c r="C482" s="111"/>
      <c r="D482" s="111"/>
      <c r="E482" s="217"/>
      <c r="F482" s="218"/>
      <c r="G482" s="219"/>
      <c r="H482" s="219"/>
      <c r="I482" s="220"/>
      <c r="J482" s="220"/>
      <c r="K482" s="221"/>
      <c r="L482" s="222"/>
      <c r="M482" s="221"/>
      <c r="N482" s="218"/>
      <c r="O482" s="219"/>
      <c r="P482" s="111"/>
      <c r="Q482" s="223"/>
      <c r="R482" s="218"/>
      <c r="S482" s="111"/>
    </row>
    <row r="483" ht="21.0" customHeight="1">
      <c r="A483" s="216"/>
      <c r="B483" s="111"/>
      <c r="C483" s="111"/>
      <c r="D483" s="111"/>
      <c r="E483" s="217"/>
      <c r="F483" s="218"/>
      <c r="G483" s="219"/>
      <c r="H483" s="219"/>
      <c r="I483" s="220"/>
      <c r="J483" s="220"/>
      <c r="K483" s="221"/>
      <c r="L483" s="222"/>
      <c r="M483" s="221"/>
      <c r="N483" s="218"/>
      <c r="O483" s="219"/>
      <c r="P483" s="111"/>
      <c r="Q483" s="223"/>
      <c r="R483" s="218"/>
      <c r="S483" s="111"/>
    </row>
    <row r="484" ht="21.0" customHeight="1">
      <c r="A484" s="216"/>
      <c r="B484" s="111"/>
      <c r="C484" s="111"/>
      <c r="D484" s="111"/>
      <c r="E484" s="217"/>
      <c r="F484" s="218"/>
      <c r="G484" s="219"/>
      <c r="H484" s="219"/>
      <c r="I484" s="220"/>
      <c r="J484" s="220"/>
      <c r="K484" s="221"/>
      <c r="L484" s="222"/>
      <c r="M484" s="221"/>
      <c r="N484" s="218"/>
      <c r="O484" s="219"/>
      <c r="P484" s="111"/>
      <c r="Q484" s="223"/>
      <c r="R484" s="218"/>
      <c r="S484" s="111"/>
    </row>
    <row r="485" ht="21.0" customHeight="1">
      <c r="A485" s="216"/>
      <c r="B485" s="111"/>
      <c r="C485" s="111"/>
      <c r="D485" s="111"/>
      <c r="E485" s="217"/>
      <c r="F485" s="218"/>
      <c r="G485" s="219"/>
      <c r="H485" s="219"/>
      <c r="I485" s="220"/>
      <c r="J485" s="220"/>
      <c r="K485" s="221"/>
      <c r="L485" s="222"/>
      <c r="M485" s="221"/>
      <c r="N485" s="218"/>
      <c r="O485" s="219"/>
      <c r="P485" s="111"/>
      <c r="Q485" s="223"/>
      <c r="R485" s="218"/>
      <c r="S485" s="111"/>
    </row>
    <row r="486" ht="21.0" customHeight="1">
      <c r="A486" s="216"/>
      <c r="B486" s="111"/>
      <c r="C486" s="111"/>
      <c r="D486" s="111"/>
      <c r="E486" s="217"/>
      <c r="F486" s="218"/>
      <c r="G486" s="219"/>
      <c r="H486" s="219"/>
      <c r="I486" s="220"/>
      <c r="J486" s="220"/>
      <c r="K486" s="221"/>
      <c r="L486" s="222"/>
      <c r="M486" s="221"/>
      <c r="N486" s="218"/>
      <c r="O486" s="219"/>
      <c r="P486" s="111"/>
      <c r="Q486" s="223"/>
      <c r="R486" s="218"/>
      <c r="S486" s="111"/>
    </row>
    <row r="487" ht="21.0" customHeight="1">
      <c r="A487" s="216"/>
      <c r="B487" s="111"/>
      <c r="C487" s="111"/>
      <c r="D487" s="111"/>
      <c r="E487" s="217"/>
      <c r="F487" s="218"/>
      <c r="G487" s="219"/>
      <c r="H487" s="219"/>
      <c r="I487" s="220"/>
      <c r="J487" s="220"/>
      <c r="K487" s="221"/>
      <c r="L487" s="222"/>
      <c r="M487" s="221"/>
      <c r="N487" s="218"/>
      <c r="O487" s="219"/>
      <c r="P487" s="111"/>
      <c r="Q487" s="223"/>
      <c r="R487" s="218"/>
      <c r="S487" s="111"/>
    </row>
    <row r="488" ht="21.0" customHeight="1">
      <c r="A488" s="216"/>
      <c r="B488" s="111"/>
      <c r="C488" s="111"/>
      <c r="D488" s="111"/>
      <c r="E488" s="217"/>
      <c r="F488" s="218"/>
      <c r="G488" s="219"/>
      <c r="H488" s="219"/>
      <c r="I488" s="220"/>
      <c r="J488" s="220"/>
      <c r="K488" s="221"/>
      <c r="L488" s="222"/>
      <c r="M488" s="221"/>
      <c r="N488" s="218"/>
      <c r="O488" s="219"/>
      <c r="P488" s="111"/>
      <c r="Q488" s="223"/>
      <c r="R488" s="218"/>
      <c r="S488" s="111"/>
    </row>
    <row r="489" ht="21.0" customHeight="1">
      <c r="A489" s="216"/>
      <c r="B489" s="111"/>
      <c r="C489" s="111"/>
      <c r="D489" s="111"/>
      <c r="E489" s="217"/>
      <c r="F489" s="218"/>
      <c r="G489" s="219"/>
      <c r="H489" s="219"/>
      <c r="I489" s="220"/>
      <c r="J489" s="220"/>
      <c r="K489" s="221"/>
      <c r="L489" s="222"/>
      <c r="M489" s="221"/>
      <c r="N489" s="218"/>
      <c r="O489" s="219"/>
      <c r="P489" s="111"/>
      <c r="Q489" s="223"/>
      <c r="R489" s="218"/>
      <c r="S489" s="111"/>
    </row>
    <row r="490" ht="21.0" customHeight="1">
      <c r="A490" s="216"/>
      <c r="B490" s="111"/>
      <c r="C490" s="111"/>
      <c r="D490" s="111"/>
      <c r="E490" s="217"/>
      <c r="F490" s="218"/>
      <c r="G490" s="219"/>
      <c r="H490" s="219"/>
      <c r="I490" s="220"/>
      <c r="J490" s="220"/>
      <c r="K490" s="221"/>
      <c r="L490" s="222"/>
      <c r="M490" s="221"/>
      <c r="N490" s="218"/>
      <c r="O490" s="219"/>
      <c r="P490" s="111"/>
      <c r="Q490" s="223"/>
      <c r="R490" s="218"/>
      <c r="S490" s="111"/>
    </row>
    <row r="491" ht="21.0" customHeight="1">
      <c r="A491" s="216"/>
      <c r="B491" s="111"/>
      <c r="C491" s="111"/>
      <c r="D491" s="111"/>
      <c r="E491" s="217"/>
      <c r="F491" s="218"/>
      <c r="G491" s="219"/>
      <c r="H491" s="219"/>
      <c r="I491" s="220"/>
      <c r="J491" s="220"/>
      <c r="K491" s="221"/>
      <c r="L491" s="222"/>
      <c r="M491" s="221"/>
      <c r="N491" s="218"/>
      <c r="O491" s="219"/>
      <c r="P491" s="111"/>
      <c r="Q491" s="223"/>
      <c r="R491" s="218"/>
      <c r="S491" s="111"/>
    </row>
    <row r="492" ht="21.0" customHeight="1">
      <c r="A492" s="216"/>
      <c r="B492" s="111"/>
      <c r="C492" s="111"/>
      <c r="D492" s="111"/>
      <c r="E492" s="217"/>
      <c r="F492" s="218"/>
      <c r="G492" s="219"/>
      <c r="H492" s="219"/>
      <c r="I492" s="220"/>
      <c r="J492" s="220"/>
      <c r="K492" s="221"/>
      <c r="L492" s="222"/>
      <c r="M492" s="221"/>
      <c r="N492" s="218"/>
      <c r="O492" s="219"/>
      <c r="P492" s="111"/>
      <c r="Q492" s="223"/>
      <c r="R492" s="218"/>
      <c r="S492" s="111"/>
    </row>
    <row r="493" ht="21.0" customHeight="1">
      <c r="A493" s="216"/>
      <c r="B493" s="111"/>
      <c r="C493" s="111"/>
      <c r="D493" s="111"/>
      <c r="E493" s="217"/>
      <c r="F493" s="218"/>
      <c r="G493" s="219"/>
      <c r="H493" s="219"/>
      <c r="I493" s="220"/>
      <c r="J493" s="220"/>
      <c r="K493" s="221"/>
      <c r="L493" s="222"/>
      <c r="M493" s="221"/>
      <c r="N493" s="218"/>
      <c r="O493" s="219"/>
      <c r="P493" s="111"/>
      <c r="Q493" s="223"/>
      <c r="R493" s="218"/>
      <c r="S493" s="111"/>
    </row>
    <row r="494" ht="21.0" customHeight="1">
      <c r="A494" s="216"/>
      <c r="B494" s="111"/>
      <c r="C494" s="111"/>
      <c r="D494" s="111"/>
      <c r="E494" s="217"/>
      <c r="F494" s="218"/>
      <c r="G494" s="219"/>
      <c r="H494" s="219"/>
      <c r="I494" s="220"/>
      <c r="J494" s="220"/>
      <c r="K494" s="221"/>
      <c r="L494" s="222"/>
      <c r="M494" s="221"/>
      <c r="N494" s="218"/>
      <c r="O494" s="219"/>
      <c r="P494" s="111"/>
      <c r="Q494" s="223"/>
      <c r="R494" s="218"/>
      <c r="S494" s="111"/>
    </row>
    <row r="495" ht="21.0" customHeight="1">
      <c r="A495" s="216"/>
      <c r="B495" s="111"/>
      <c r="C495" s="111"/>
      <c r="D495" s="111"/>
      <c r="E495" s="217"/>
      <c r="F495" s="218"/>
      <c r="G495" s="219"/>
      <c r="H495" s="219"/>
      <c r="I495" s="220"/>
      <c r="J495" s="220"/>
      <c r="K495" s="221"/>
      <c r="L495" s="222"/>
      <c r="M495" s="221"/>
      <c r="N495" s="218"/>
      <c r="O495" s="219"/>
      <c r="P495" s="111"/>
      <c r="Q495" s="223"/>
      <c r="R495" s="218"/>
      <c r="S495" s="111"/>
    </row>
    <row r="496" ht="21.0" customHeight="1">
      <c r="A496" s="216"/>
      <c r="B496" s="111"/>
      <c r="C496" s="111"/>
      <c r="D496" s="111"/>
      <c r="E496" s="217"/>
      <c r="F496" s="218"/>
      <c r="G496" s="219"/>
      <c r="H496" s="219"/>
      <c r="I496" s="220"/>
      <c r="J496" s="220"/>
      <c r="K496" s="221"/>
      <c r="L496" s="222"/>
      <c r="M496" s="221"/>
      <c r="N496" s="218"/>
      <c r="O496" s="219"/>
      <c r="P496" s="111"/>
      <c r="Q496" s="223"/>
      <c r="R496" s="218"/>
      <c r="S496" s="111"/>
    </row>
    <row r="497" ht="21.0" customHeight="1">
      <c r="A497" s="216"/>
      <c r="B497" s="111"/>
      <c r="C497" s="111"/>
      <c r="D497" s="111"/>
      <c r="E497" s="217"/>
      <c r="F497" s="218"/>
      <c r="G497" s="219"/>
      <c r="H497" s="219"/>
      <c r="I497" s="220"/>
      <c r="J497" s="220"/>
      <c r="K497" s="221"/>
      <c r="L497" s="222"/>
      <c r="M497" s="221"/>
      <c r="N497" s="218"/>
      <c r="O497" s="219"/>
      <c r="P497" s="111"/>
      <c r="Q497" s="223"/>
      <c r="R497" s="218"/>
      <c r="S497" s="111"/>
    </row>
    <row r="498" ht="21.0" customHeight="1">
      <c r="A498" s="216"/>
      <c r="B498" s="111"/>
      <c r="C498" s="111"/>
      <c r="D498" s="111"/>
      <c r="E498" s="217"/>
      <c r="F498" s="218"/>
      <c r="G498" s="219"/>
      <c r="H498" s="219"/>
      <c r="I498" s="220"/>
      <c r="J498" s="220"/>
      <c r="K498" s="221"/>
      <c r="L498" s="222"/>
      <c r="M498" s="221"/>
      <c r="N498" s="218"/>
      <c r="O498" s="219"/>
      <c r="P498" s="111"/>
      <c r="Q498" s="223"/>
      <c r="R498" s="218"/>
      <c r="S498" s="111"/>
    </row>
    <row r="499" ht="21.0" customHeight="1">
      <c r="A499" s="216"/>
      <c r="B499" s="111"/>
      <c r="C499" s="111"/>
      <c r="D499" s="111"/>
      <c r="E499" s="217"/>
      <c r="F499" s="218"/>
      <c r="G499" s="219"/>
      <c r="H499" s="219"/>
      <c r="I499" s="220"/>
      <c r="J499" s="220"/>
      <c r="K499" s="221"/>
      <c r="L499" s="222"/>
      <c r="M499" s="221"/>
      <c r="N499" s="218"/>
      <c r="O499" s="219"/>
      <c r="P499" s="111"/>
      <c r="Q499" s="223"/>
      <c r="R499" s="218"/>
      <c r="S499" s="111"/>
    </row>
    <row r="500" ht="21.0" customHeight="1">
      <c r="A500" s="216"/>
      <c r="B500" s="111"/>
      <c r="C500" s="111"/>
      <c r="D500" s="111"/>
      <c r="E500" s="217"/>
      <c r="F500" s="218"/>
      <c r="G500" s="219"/>
      <c r="H500" s="219"/>
      <c r="I500" s="220"/>
      <c r="J500" s="220"/>
      <c r="K500" s="221"/>
      <c r="L500" s="222"/>
      <c r="M500" s="221"/>
      <c r="N500" s="218"/>
      <c r="O500" s="219"/>
      <c r="P500" s="111"/>
      <c r="Q500" s="223"/>
      <c r="R500" s="218"/>
      <c r="S500" s="111"/>
    </row>
    <row r="501" ht="21.0" customHeight="1">
      <c r="A501" s="216"/>
      <c r="B501" s="111"/>
      <c r="C501" s="111"/>
      <c r="D501" s="111"/>
      <c r="E501" s="217"/>
      <c r="F501" s="218"/>
      <c r="G501" s="219"/>
      <c r="H501" s="219"/>
      <c r="I501" s="220"/>
      <c r="J501" s="220"/>
      <c r="K501" s="221"/>
      <c r="L501" s="222"/>
      <c r="M501" s="221"/>
      <c r="N501" s="218"/>
      <c r="O501" s="219"/>
      <c r="P501" s="111"/>
      <c r="Q501" s="223"/>
      <c r="R501" s="218"/>
      <c r="S501" s="111"/>
    </row>
    <row r="502" ht="21.0" customHeight="1">
      <c r="A502" s="216"/>
      <c r="B502" s="111"/>
      <c r="C502" s="111"/>
      <c r="D502" s="111"/>
      <c r="E502" s="217"/>
      <c r="F502" s="218"/>
      <c r="G502" s="219"/>
      <c r="H502" s="219"/>
      <c r="I502" s="220"/>
      <c r="J502" s="220"/>
      <c r="K502" s="221"/>
      <c r="L502" s="222"/>
      <c r="M502" s="221"/>
      <c r="N502" s="218"/>
      <c r="O502" s="219"/>
      <c r="P502" s="111"/>
      <c r="Q502" s="223"/>
      <c r="R502" s="218"/>
      <c r="S502" s="111"/>
    </row>
    <row r="503" ht="21.0" customHeight="1">
      <c r="A503" s="216"/>
      <c r="B503" s="111"/>
      <c r="C503" s="111"/>
      <c r="D503" s="111"/>
      <c r="E503" s="217"/>
      <c r="F503" s="218"/>
      <c r="G503" s="219"/>
      <c r="H503" s="219"/>
      <c r="I503" s="220"/>
      <c r="J503" s="220"/>
      <c r="K503" s="221"/>
      <c r="L503" s="222"/>
      <c r="M503" s="221"/>
      <c r="N503" s="218"/>
      <c r="O503" s="219"/>
      <c r="P503" s="111"/>
      <c r="Q503" s="223"/>
      <c r="R503" s="218"/>
      <c r="S503" s="111"/>
    </row>
    <row r="504" ht="21.0" customHeight="1">
      <c r="A504" s="216"/>
      <c r="B504" s="111"/>
      <c r="C504" s="111"/>
      <c r="D504" s="111"/>
      <c r="E504" s="217"/>
      <c r="F504" s="218"/>
      <c r="G504" s="219"/>
      <c r="H504" s="219"/>
      <c r="I504" s="220"/>
      <c r="J504" s="220"/>
      <c r="K504" s="221"/>
      <c r="L504" s="222"/>
      <c r="M504" s="221"/>
      <c r="N504" s="218"/>
      <c r="O504" s="219"/>
      <c r="P504" s="111"/>
      <c r="Q504" s="223"/>
      <c r="R504" s="218"/>
      <c r="S504" s="111"/>
    </row>
    <row r="505" ht="21.0" customHeight="1">
      <c r="A505" s="216"/>
      <c r="B505" s="111"/>
      <c r="C505" s="111"/>
      <c r="D505" s="111"/>
      <c r="E505" s="217"/>
      <c r="F505" s="218"/>
      <c r="G505" s="219"/>
      <c r="H505" s="219"/>
      <c r="I505" s="220"/>
      <c r="J505" s="220"/>
      <c r="K505" s="221"/>
      <c r="L505" s="222"/>
      <c r="M505" s="221"/>
      <c r="N505" s="218"/>
      <c r="O505" s="219"/>
      <c r="P505" s="111"/>
      <c r="Q505" s="223"/>
      <c r="R505" s="218"/>
      <c r="S505" s="111"/>
    </row>
    <row r="506" ht="21.0" customHeight="1">
      <c r="A506" s="216"/>
      <c r="B506" s="111"/>
      <c r="C506" s="111"/>
      <c r="D506" s="111"/>
      <c r="E506" s="217"/>
      <c r="F506" s="218"/>
      <c r="G506" s="219"/>
      <c r="H506" s="219"/>
      <c r="I506" s="220"/>
      <c r="J506" s="220"/>
      <c r="K506" s="221"/>
      <c r="L506" s="222"/>
      <c r="M506" s="221"/>
      <c r="N506" s="218"/>
      <c r="O506" s="219"/>
      <c r="P506" s="111"/>
      <c r="Q506" s="223"/>
      <c r="R506" s="218"/>
      <c r="S506" s="111"/>
    </row>
    <row r="507" ht="21.0" customHeight="1">
      <c r="A507" s="216"/>
      <c r="B507" s="111"/>
      <c r="C507" s="111"/>
      <c r="D507" s="111"/>
      <c r="E507" s="217"/>
      <c r="F507" s="218"/>
      <c r="G507" s="219"/>
      <c r="H507" s="219"/>
      <c r="I507" s="220"/>
      <c r="J507" s="220"/>
      <c r="K507" s="221"/>
      <c r="L507" s="222"/>
      <c r="M507" s="221"/>
      <c r="N507" s="218"/>
      <c r="O507" s="219"/>
      <c r="P507" s="111"/>
      <c r="Q507" s="223"/>
      <c r="R507" s="218"/>
      <c r="S507" s="111"/>
    </row>
    <row r="508" ht="21.0" customHeight="1">
      <c r="A508" s="216"/>
      <c r="B508" s="111"/>
      <c r="C508" s="111"/>
      <c r="D508" s="111"/>
      <c r="E508" s="217"/>
      <c r="F508" s="218"/>
      <c r="G508" s="219"/>
      <c r="H508" s="219"/>
      <c r="I508" s="220"/>
      <c r="J508" s="220"/>
      <c r="K508" s="221"/>
      <c r="L508" s="222"/>
      <c r="M508" s="221"/>
      <c r="N508" s="218"/>
      <c r="O508" s="219"/>
      <c r="P508" s="111"/>
      <c r="Q508" s="223"/>
      <c r="R508" s="218"/>
      <c r="S508" s="111"/>
    </row>
    <row r="509" ht="21.0" customHeight="1">
      <c r="A509" s="216"/>
      <c r="B509" s="111"/>
      <c r="C509" s="111"/>
      <c r="D509" s="111"/>
      <c r="E509" s="217"/>
      <c r="F509" s="218"/>
      <c r="G509" s="219"/>
      <c r="H509" s="219"/>
      <c r="I509" s="220"/>
      <c r="J509" s="220"/>
      <c r="K509" s="221"/>
      <c r="L509" s="222"/>
      <c r="M509" s="221"/>
      <c r="N509" s="218"/>
      <c r="O509" s="219"/>
      <c r="P509" s="111"/>
      <c r="Q509" s="223"/>
      <c r="R509" s="218"/>
      <c r="S509" s="111"/>
    </row>
    <row r="510" ht="21.0" customHeight="1">
      <c r="A510" s="216"/>
      <c r="B510" s="111"/>
      <c r="C510" s="111"/>
      <c r="D510" s="111"/>
      <c r="E510" s="217"/>
      <c r="F510" s="218"/>
      <c r="G510" s="219"/>
      <c r="H510" s="219"/>
      <c r="I510" s="220"/>
      <c r="J510" s="220"/>
      <c r="K510" s="221"/>
      <c r="L510" s="222"/>
      <c r="M510" s="221"/>
      <c r="N510" s="218"/>
      <c r="O510" s="219"/>
      <c r="P510" s="111"/>
      <c r="Q510" s="223"/>
      <c r="R510" s="218"/>
      <c r="S510" s="111"/>
    </row>
    <row r="511" ht="21.0" customHeight="1">
      <c r="A511" s="216"/>
      <c r="B511" s="111"/>
      <c r="C511" s="111"/>
      <c r="D511" s="111"/>
      <c r="E511" s="217"/>
      <c r="F511" s="218"/>
      <c r="G511" s="219"/>
      <c r="H511" s="219"/>
      <c r="I511" s="220"/>
      <c r="J511" s="220"/>
      <c r="K511" s="221"/>
      <c r="L511" s="222"/>
      <c r="M511" s="221"/>
      <c r="N511" s="218"/>
      <c r="O511" s="219"/>
      <c r="P511" s="111"/>
      <c r="Q511" s="223"/>
      <c r="R511" s="218"/>
      <c r="S511" s="111"/>
    </row>
    <row r="512" ht="21.0" customHeight="1">
      <c r="A512" s="216"/>
      <c r="B512" s="111"/>
      <c r="C512" s="111"/>
      <c r="D512" s="111"/>
      <c r="E512" s="217"/>
      <c r="F512" s="218"/>
      <c r="G512" s="219"/>
      <c r="H512" s="219"/>
      <c r="I512" s="220"/>
      <c r="J512" s="220"/>
      <c r="K512" s="221"/>
      <c r="L512" s="222"/>
      <c r="M512" s="221"/>
      <c r="N512" s="218"/>
      <c r="O512" s="219"/>
      <c r="P512" s="111"/>
      <c r="Q512" s="223"/>
      <c r="R512" s="218"/>
      <c r="S512" s="111"/>
    </row>
    <row r="513" ht="21.0" customHeight="1">
      <c r="A513" s="216"/>
      <c r="B513" s="111"/>
      <c r="C513" s="111"/>
      <c r="D513" s="111"/>
      <c r="E513" s="217"/>
      <c r="F513" s="218"/>
      <c r="G513" s="219"/>
      <c r="H513" s="219"/>
      <c r="I513" s="220"/>
      <c r="J513" s="220"/>
      <c r="K513" s="221"/>
      <c r="L513" s="222"/>
      <c r="M513" s="221"/>
      <c r="N513" s="218"/>
      <c r="O513" s="219"/>
      <c r="P513" s="111"/>
      <c r="Q513" s="223"/>
      <c r="R513" s="218"/>
      <c r="S513" s="111"/>
    </row>
    <row r="514" ht="21.0" customHeight="1">
      <c r="A514" s="216"/>
      <c r="B514" s="111"/>
      <c r="C514" s="111"/>
      <c r="D514" s="111"/>
      <c r="E514" s="217"/>
      <c r="F514" s="218"/>
      <c r="G514" s="219"/>
      <c r="H514" s="219"/>
      <c r="I514" s="220"/>
      <c r="J514" s="220"/>
      <c r="K514" s="221"/>
      <c r="L514" s="222"/>
      <c r="M514" s="221"/>
      <c r="N514" s="218"/>
      <c r="O514" s="219"/>
      <c r="P514" s="111"/>
      <c r="Q514" s="223"/>
      <c r="R514" s="218"/>
      <c r="S514" s="111"/>
    </row>
    <row r="515" ht="21.0" customHeight="1">
      <c r="A515" s="216"/>
      <c r="B515" s="111"/>
      <c r="C515" s="111"/>
      <c r="D515" s="111"/>
      <c r="E515" s="217"/>
      <c r="F515" s="218"/>
      <c r="G515" s="219"/>
      <c r="H515" s="219"/>
      <c r="I515" s="220"/>
      <c r="J515" s="220"/>
      <c r="K515" s="221"/>
      <c r="L515" s="222"/>
      <c r="M515" s="221"/>
      <c r="N515" s="218"/>
      <c r="O515" s="219"/>
      <c r="P515" s="111"/>
      <c r="Q515" s="223"/>
      <c r="R515" s="218"/>
      <c r="S515" s="111"/>
    </row>
    <row r="516" ht="21.0" customHeight="1">
      <c r="A516" s="216"/>
      <c r="B516" s="111"/>
      <c r="C516" s="111"/>
      <c r="D516" s="111"/>
      <c r="E516" s="217"/>
      <c r="F516" s="218"/>
      <c r="G516" s="219"/>
      <c r="H516" s="219"/>
      <c r="I516" s="220"/>
      <c r="J516" s="220"/>
      <c r="K516" s="221"/>
      <c r="L516" s="222"/>
      <c r="M516" s="221"/>
      <c r="N516" s="218"/>
      <c r="O516" s="219"/>
      <c r="P516" s="111"/>
      <c r="Q516" s="223"/>
      <c r="R516" s="218"/>
      <c r="S516" s="111"/>
    </row>
    <row r="517" ht="21.0" customHeight="1">
      <c r="A517" s="216"/>
      <c r="B517" s="111"/>
      <c r="C517" s="111"/>
      <c r="D517" s="111"/>
      <c r="E517" s="217"/>
      <c r="F517" s="218"/>
      <c r="G517" s="219"/>
      <c r="H517" s="219"/>
      <c r="I517" s="220"/>
      <c r="J517" s="220"/>
      <c r="K517" s="221"/>
      <c r="L517" s="222"/>
      <c r="M517" s="221"/>
      <c r="N517" s="218"/>
      <c r="O517" s="219"/>
      <c r="P517" s="111"/>
      <c r="Q517" s="223"/>
      <c r="R517" s="218"/>
      <c r="S517" s="111"/>
    </row>
    <row r="518" ht="21.0" customHeight="1">
      <c r="A518" s="216"/>
      <c r="B518" s="111"/>
      <c r="C518" s="111"/>
      <c r="D518" s="111"/>
      <c r="E518" s="217"/>
      <c r="F518" s="218"/>
      <c r="G518" s="219"/>
      <c r="H518" s="219"/>
      <c r="I518" s="220"/>
      <c r="J518" s="220"/>
      <c r="K518" s="221"/>
      <c r="L518" s="222"/>
      <c r="M518" s="221"/>
      <c r="N518" s="218"/>
      <c r="O518" s="219"/>
      <c r="P518" s="111"/>
      <c r="Q518" s="223"/>
      <c r="R518" s="218"/>
      <c r="S518" s="111"/>
    </row>
    <row r="519" ht="21.0" customHeight="1">
      <c r="A519" s="216"/>
      <c r="B519" s="111"/>
      <c r="C519" s="111"/>
      <c r="D519" s="111"/>
      <c r="E519" s="217"/>
      <c r="F519" s="218"/>
      <c r="G519" s="219"/>
      <c r="H519" s="219"/>
      <c r="I519" s="220"/>
      <c r="J519" s="220"/>
      <c r="K519" s="221"/>
      <c r="L519" s="222"/>
      <c r="M519" s="221"/>
      <c r="N519" s="218"/>
      <c r="O519" s="219"/>
      <c r="P519" s="111"/>
      <c r="Q519" s="223"/>
      <c r="R519" s="218"/>
      <c r="S519" s="111"/>
    </row>
    <row r="520" ht="21.0" customHeight="1">
      <c r="A520" s="216"/>
      <c r="B520" s="111"/>
      <c r="C520" s="111"/>
      <c r="D520" s="111"/>
      <c r="E520" s="217"/>
      <c r="F520" s="218"/>
      <c r="G520" s="219"/>
      <c r="H520" s="219"/>
      <c r="I520" s="220"/>
      <c r="J520" s="220"/>
      <c r="K520" s="221"/>
      <c r="L520" s="222"/>
      <c r="M520" s="221"/>
      <c r="N520" s="218"/>
      <c r="O520" s="219"/>
      <c r="P520" s="111"/>
      <c r="Q520" s="223"/>
      <c r="R520" s="218"/>
      <c r="S520" s="111"/>
    </row>
    <row r="521" ht="21.0" customHeight="1">
      <c r="A521" s="216"/>
      <c r="B521" s="111"/>
      <c r="C521" s="111"/>
      <c r="D521" s="111"/>
      <c r="E521" s="217"/>
      <c r="F521" s="218"/>
      <c r="G521" s="219"/>
      <c r="H521" s="219"/>
      <c r="I521" s="220"/>
      <c r="J521" s="220"/>
      <c r="K521" s="221"/>
      <c r="L521" s="222"/>
      <c r="M521" s="221"/>
      <c r="N521" s="218"/>
      <c r="O521" s="219"/>
      <c r="P521" s="111"/>
      <c r="Q521" s="223"/>
      <c r="R521" s="218"/>
      <c r="S521" s="111"/>
    </row>
    <row r="522" ht="21.0" customHeight="1">
      <c r="A522" s="216"/>
      <c r="B522" s="111"/>
      <c r="C522" s="111"/>
      <c r="D522" s="111"/>
      <c r="E522" s="217"/>
      <c r="F522" s="218"/>
      <c r="G522" s="219"/>
      <c r="H522" s="219"/>
      <c r="I522" s="220"/>
      <c r="J522" s="220"/>
      <c r="K522" s="221"/>
      <c r="L522" s="222"/>
      <c r="M522" s="221"/>
      <c r="N522" s="218"/>
      <c r="O522" s="219"/>
      <c r="P522" s="111"/>
      <c r="Q522" s="223"/>
      <c r="R522" s="218"/>
      <c r="S522" s="111"/>
    </row>
    <row r="523" ht="21.0" customHeight="1">
      <c r="A523" s="216"/>
      <c r="B523" s="111"/>
      <c r="C523" s="111"/>
      <c r="D523" s="111"/>
      <c r="E523" s="217"/>
      <c r="F523" s="218"/>
      <c r="G523" s="219"/>
      <c r="H523" s="219"/>
      <c r="I523" s="220"/>
      <c r="J523" s="220"/>
      <c r="K523" s="221"/>
      <c r="L523" s="222"/>
      <c r="M523" s="221"/>
      <c r="N523" s="218"/>
      <c r="O523" s="219"/>
      <c r="P523" s="111"/>
      <c r="Q523" s="223"/>
      <c r="R523" s="218"/>
      <c r="S523" s="111"/>
    </row>
    <row r="524" ht="21.0" customHeight="1">
      <c r="A524" s="216"/>
      <c r="B524" s="111"/>
      <c r="C524" s="111"/>
      <c r="D524" s="111"/>
      <c r="E524" s="217"/>
      <c r="F524" s="218"/>
      <c r="G524" s="219"/>
      <c r="H524" s="219"/>
      <c r="I524" s="220"/>
      <c r="J524" s="220"/>
      <c r="K524" s="221"/>
      <c r="L524" s="222"/>
      <c r="M524" s="221"/>
      <c r="N524" s="218"/>
      <c r="O524" s="219"/>
      <c r="P524" s="111"/>
      <c r="Q524" s="223"/>
      <c r="R524" s="218"/>
      <c r="S524" s="111"/>
    </row>
    <row r="525" ht="21.0" customHeight="1">
      <c r="A525" s="216"/>
      <c r="B525" s="111"/>
      <c r="C525" s="111"/>
      <c r="D525" s="111"/>
      <c r="E525" s="217"/>
      <c r="F525" s="218"/>
      <c r="G525" s="219"/>
      <c r="H525" s="219"/>
      <c r="I525" s="220"/>
      <c r="J525" s="220"/>
      <c r="K525" s="221"/>
      <c r="L525" s="222"/>
      <c r="M525" s="221"/>
      <c r="N525" s="218"/>
      <c r="O525" s="219"/>
      <c r="P525" s="111"/>
      <c r="Q525" s="223"/>
      <c r="R525" s="218"/>
      <c r="S525" s="111"/>
    </row>
    <row r="526" ht="21.0" customHeight="1">
      <c r="A526" s="216"/>
      <c r="B526" s="111"/>
      <c r="C526" s="111"/>
      <c r="D526" s="111"/>
      <c r="E526" s="217"/>
      <c r="F526" s="218"/>
      <c r="G526" s="219"/>
      <c r="H526" s="219"/>
      <c r="I526" s="220"/>
      <c r="J526" s="220"/>
      <c r="K526" s="221"/>
      <c r="L526" s="222"/>
      <c r="M526" s="221"/>
      <c r="N526" s="218"/>
      <c r="O526" s="219"/>
      <c r="P526" s="111"/>
      <c r="Q526" s="223"/>
      <c r="R526" s="218"/>
      <c r="S526" s="111"/>
    </row>
    <row r="527" ht="21.0" customHeight="1">
      <c r="A527" s="216"/>
      <c r="B527" s="111"/>
      <c r="C527" s="111"/>
      <c r="D527" s="111"/>
      <c r="E527" s="217"/>
      <c r="F527" s="218"/>
      <c r="G527" s="219"/>
      <c r="H527" s="219"/>
      <c r="I527" s="220"/>
      <c r="J527" s="220"/>
      <c r="K527" s="221"/>
      <c r="L527" s="222"/>
      <c r="M527" s="221"/>
      <c r="N527" s="218"/>
      <c r="O527" s="219"/>
      <c r="P527" s="111"/>
      <c r="Q527" s="223"/>
      <c r="R527" s="218"/>
      <c r="S527" s="111"/>
    </row>
    <row r="528" ht="21.0" customHeight="1">
      <c r="A528" s="216"/>
      <c r="B528" s="111"/>
      <c r="C528" s="111"/>
      <c r="D528" s="111"/>
      <c r="E528" s="217"/>
      <c r="F528" s="218"/>
      <c r="G528" s="219"/>
      <c r="H528" s="219"/>
      <c r="I528" s="220"/>
      <c r="J528" s="220"/>
      <c r="K528" s="221"/>
      <c r="L528" s="222"/>
      <c r="M528" s="221"/>
      <c r="N528" s="218"/>
      <c r="O528" s="219"/>
      <c r="P528" s="111"/>
      <c r="Q528" s="223"/>
      <c r="R528" s="218"/>
      <c r="S528" s="111"/>
    </row>
    <row r="529" ht="21.0" customHeight="1">
      <c r="A529" s="216"/>
      <c r="B529" s="111"/>
      <c r="C529" s="111"/>
      <c r="D529" s="111"/>
      <c r="E529" s="217"/>
      <c r="F529" s="218"/>
      <c r="G529" s="219"/>
      <c r="H529" s="219"/>
      <c r="I529" s="220"/>
      <c r="J529" s="220"/>
      <c r="K529" s="221"/>
      <c r="L529" s="222"/>
      <c r="M529" s="221"/>
      <c r="N529" s="218"/>
      <c r="O529" s="219"/>
      <c r="P529" s="111"/>
      <c r="Q529" s="223"/>
      <c r="R529" s="218"/>
      <c r="S529" s="111"/>
    </row>
    <row r="530" ht="21.0" customHeight="1">
      <c r="A530" s="216"/>
      <c r="B530" s="111"/>
      <c r="C530" s="111"/>
      <c r="D530" s="111"/>
      <c r="E530" s="217"/>
      <c r="F530" s="218"/>
      <c r="G530" s="219"/>
      <c r="H530" s="219"/>
      <c r="I530" s="220"/>
      <c r="J530" s="220"/>
      <c r="K530" s="221"/>
      <c r="L530" s="222"/>
      <c r="M530" s="221"/>
      <c r="N530" s="218"/>
      <c r="O530" s="219"/>
      <c r="P530" s="111"/>
      <c r="Q530" s="223"/>
      <c r="R530" s="218"/>
      <c r="S530" s="111"/>
    </row>
    <row r="531" ht="21.0" customHeight="1">
      <c r="A531" s="216"/>
      <c r="B531" s="111"/>
      <c r="C531" s="111"/>
      <c r="D531" s="111"/>
      <c r="E531" s="217"/>
      <c r="F531" s="218"/>
      <c r="G531" s="219"/>
      <c r="H531" s="219"/>
      <c r="I531" s="220"/>
      <c r="J531" s="220"/>
      <c r="K531" s="221"/>
      <c r="L531" s="222"/>
      <c r="M531" s="221"/>
      <c r="N531" s="218"/>
      <c r="O531" s="219"/>
      <c r="P531" s="111"/>
      <c r="Q531" s="223"/>
      <c r="R531" s="218"/>
      <c r="S531" s="111"/>
    </row>
    <row r="532" ht="21.0" customHeight="1">
      <c r="A532" s="216"/>
      <c r="B532" s="111"/>
      <c r="C532" s="111"/>
      <c r="D532" s="111"/>
      <c r="E532" s="217"/>
      <c r="F532" s="218"/>
      <c r="G532" s="219"/>
      <c r="H532" s="219"/>
      <c r="I532" s="220"/>
      <c r="J532" s="220"/>
      <c r="K532" s="221"/>
      <c r="L532" s="222"/>
      <c r="M532" s="221"/>
      <c r="N532" s="218"/>
      <c r="O532" s="219"/>
      <c r="P532" s="111"/>
      <c r="Q532" s="223"/>
      <c r="R532" s="218"/>
      <c r="S532" s="111"/>
    </row>
    <row r="533" ht="21.0" customHeight="1">
      <c r="A533" s="216"/>
      <c r="B533" s="111"/>
      <c r="C533" s="111"/>
      <c r="D533" s="111"/>
      <c r="E533" s="217"/>
      <c r="F533" s="218"/>
      <c r="G533" s="219"/>
      <c r="H533" s="219"/>
      <c r="I533" s="220"/>
      <c r="J533" s="220"/>
      <c r="K533" s="221"/>
      <c r="L533" s="222"/>
      <c r="M533" s="221"/>
      <c r="N533" s="218"/>
      <c r="O533" s="219"/>
      <c r="P533" s="111"/>
      <c r="Q533" s="223"/>
      <c r="R533" s="218"/>
      <c r="S533" s="111"/>
    </row>
    <row r="534" ht="21.0" customHeight="1">
      <c r="A534" s="216"/>
      <c r="B534" s="111"/>
      <c r="C534" s="111"/>
      <c r="D534" s="111"/>
      <c r="E534" s="217"/>
      <c r="F534" s="218"/>
      <c r="G534" s="219"/>
      <c r="H534" s="219"/>
      <c r="I534" s="220"/>
      <c r="J534" s="220"/>
      <c r="K534" s="221"/>
      <c r="L534" s="222"/>
      <c r="M534" s="221"/>
      <c r="N534" s="218"/>
      <c r="O534" s="219"/>
      <c r="P534" s="111"/>
      <c r="Q534" s="223"/>
      <c r="R534" s="218"/>
      <c r="S534" s="111"/>
    </row>
    <row r="535" ht="21.0" customHeight="1">
      <c r="A535" s="216"/>
      <c r="B535" s="111"/>
      <c r="C535" s="111"/>
      <c r="D535" s="111"/>
      <c r="E535" s="217"/>
      <c r="F535" s="218"/>
      <c r="G535" s="219"/>
      <c r="H535" s="219"/>
      <c r="I535" s="220"/>
      <c r="J535" s="220"/>
      <c r="K535" s="221"/>
      <c r="L535" s="222"/>
      <c r="M535" s="221"/>
      <c r="N535" s="218"/>
      <c r="O535" s="219"/>
      <c r="P535" s="111"/>
      <c r="Q535" s="223"/>
      <c r="R535" s="218"/>
      <c r="S535" s="111"/>
    </row>
    <row r="536" ht="21.0" customHeight="1">
      <c r="A536" s="216"/>
      <c r="B536" s="111"/>
      <c r="C536" s="111"/>
      <c r="D536" s="111"/>
      <c r="E536" s="217"/>
      <c r="F536" s="218"/>
      <c r="G536" s="219"/>
      <c r="H536" s="219"/>
      <c r="I536" s="220"/>
      <c r="J536" s="220"/>
      <c r="K536" s="221"/>
      <c r="L536" s="222"/>
      <c r="M536" s="221"/>
      <c r="N536" s="218"/>
      <c r="O536" s="219"/>
      <c r="P536" s="111"/>
      <c r="Q536" s="223"/>
      <c r="R536" s="218"/>
      <c r="S536" s="111"/>
    </row>
    <row r="537" ht="21.0" customHeight="1">
      <c r="A537" s="216"/>
      <c r="B537" s="111"/>
      <c r="C537" s="111"/>
      <c r="D537" s="111"/>
      <c r="E537" s="217"/>
      <c r="F537" s="218"/>
      <c r="G537" s="219"/>
      <c r="H537" s="219"/>
      <c r="I537" s="220"/>
      <c r="J537" s="220"/>
      <c r="K537" s="221"/>
      <c r="L537" s="222"/>
      <c r="M537" s="221"/>
      <c r="N537" s="218"/>
      <c r="O537" s="219"/>
      <c r="P537" s="111"/>
      <c r="Q537" s="223"/>
      <c r="R537" s="218"/>
      <c r="S537" s="111"/>
    </row>
    <row r="538" ht="21.0" customHeight="1">
      <c r="A538" s="216"/>
      <c r="B538" s="111"/>
      <c r="C538" s="111"/>
      <c r="D538" s="111"/>
      <c r="E538" s="217"/>
      <c r="F538" s="218"/>
      <c r="G538" s="219"/>
      <c r="H538" s="219"/>
      <c r="I538" s="220"/>
      <c r="J538" s="220"/>
      <c r="K538" s="221"/>
      <c r="L538" s="222"/>
      <c r="M538" s="221"/>
      <c r="N538" s="218"/>
      <c r="O538" s="219"/>
      <c r="P538" s="111"/>
      <c r="Q538" s="223"/>
      <c r="R538" s="218"/>
      <c r="S538" s="111"/>
    </row>
    <row r="539" ht="21.0" customHeight="1">
      <c r="A539" s="216"/>
      <c r="B539" s="111"/>
      <c r="C539" s="111"/>
      <c r="D539" s="111"/>
      <c r="E539" s="217"/>
      <c r="F539" s="218"/>
      <c r="G539" s="219"/>
      <c r="H539" s="219"/>
      <c r="I539" s="220"/>
      <c r="J539" s="220"/>
      <c r="K539" s="221"/>
      <c r="L539" s="222"/>
      <c r="M539" s="221"/>
      <c r="N539" s="218"/>
      <c r="O539" s="219"/>
      <c r="P539" s="111"/>
      <c r="Q539" s="223"/>
      <c r="R539" s="218"/>
      <c r="S539" s="111"/>
    </row>
    <row r="540" ht="21.0" customHeight="1">
      <c r="A540" s="216"/>
      <c r="B540" s="111"/>
      <c r="C540" s="111"/>
      <c r="D540" s="111"/>
      <c r="E540" s="217"/>
      <c r="F540" s="218"/>
      <c r="G540" s="219"/>
      <c r="H540" s="219"/>
      <c r="I540" s="220"/>
      <c r="J540" s="220"/>
      <c r="K540" s="221"/>
      <c r="L540" s="222"/>
      <c r="M540" s="221"/>
      <c r="N540" s="218"/>
      <c r="O540" s="219"/>
      <c r="P540" s="111"/>
      <c r="Q540" s="223"/>
      <c r="R540" s="218"/>
      <c r="S540" s="111"/>
    </row>
    <row r="541" ht="21.0" customHeight="1">
      <c r="A541" s="216"/>
      <c r="B541" s="111"/>
      <c r="C541" s="111"/>
      <c r="D541" s="111"/>
      <c r="E541" s="217"/>
      <c r="F541" s="218"/>
      <c r="G541" s="219"/>
      <c r="H541" s="219"/>
      <c r="I541" s="220"/>
      <c r="J541" s="220"/>
      <c r="K541" s="221"/>
      <c r="L541" s="222"/>
      <c r="M541" s="221"/>
      <c r="N541" s="218"/>
      <c r="O541" s="219"/>
      <c r="P541" s="111"/>
      <c r="Q541" s="223"/>
      <c r="R541" s="218"/>
      <c r="S541" s="111"/>
    </row>
    <row r="542" ht="21.0" customHeight="1">
      <c r="A542" s="216"/>
      <c r="B542" s="111"/>
      <c r="C542" s="111"/>
      <c r="D542" s="111"/>
      <c r="E542" s="217"/>
      <c r="F542" s="218"/>
      <c r="G542" s="219"/>
      <c r="H542" s="219"/>
      <c r="I542" s="220"/>
      <c r="J542" s="220"/>
      <c r="K542" s="221"/>
      <c r="L542" s="222"/>
      <c r="M542" s="221"/>
      <c r="N542" s="218"/>
      <c r="O542" s="219"/>
      <c r="P542" s="111"/>
      <c r="Q542" s="223"/>
      <c r="R542" s="218"/>
      <c r="S542" s="111"/>
    </row>
    <row r="543" ht="21.0" customHeight="1">
      <c r="A543" s="216"/>
      <c r="B543" s="111"/>
      <c r="C543" s="111"/>
      <c r="D543" s="111"/>
      <c r="E543" s="217"/>
      <c r="F543" s="218"/>
      <c r="G543" s="219"/>
      <c r="H543" s="219"/>
      <c r="I543" s="220"/>
      <c r="J543" s="220"/>
      <c r="K543" s="221"/>
      <c r="L543" s="222"/>
      <c r="M543" s="221"/>
      <c r="N543" s="218"/>
      <c r="O543" s="219"/>
      <c r="P543" s="111"/>
      <c r="Q543" s="223"/>
      <c r="R543" s="218"/>
      <c r="S543" s="111"/>
    </row>
    <row r="544" ht="21.0" customHeight="1">
      <c r="A544" s="216"/>
      <c r="B544" s="111"/>
      <c r="C544" s="111"/>
      <c r="D544" s="111"/>
      <c r="E544" s="217"/>
      <c r="F544" s="218"/>
      <c r="G544" s="219"/>
      <c r="H544" s="219"/>
      <c r="I544" s="220"/>
      <c r="J544" s="220"/>
      <c r="K544" s="221"/>
      <c r="L544" s="222"/>
      <c r="M544" s="221"/>
      <c r="N544" s="218"/>
      <c r="O544" s="219"/>
      <c r="P544" s="111"/>
      <c r="Q544" s="223"/>
      <c r="R544" s="218"/>
      <c r="S544" s="111"/>
    </row>
    <row r="545" ht="21.0" customHeight="1">
      <c r="A545" s="216"/>
      <c r="B545" s="111"/>
      <c r="C545" s="111"/>
      <c r="D545" s="111"/>
      <c r="E545" s="217"/>
      <c r="F545" s="218"/>
      <c r="G545" s="219"/>
      <c r="H545" s="219"/>
      <c r="I545" s="220"/>
      <c r="J545" s="220"/>
      <c r="K545" s="221"/>
      <c r="L545" s="222"/>
      <c r="M545" s="221"/>
      <c r="N545" s="218"/>
      <c r="O545" s="219"/>
      <c r="P545" s="111"/>
      <c r="Q545" s="223"/>
      <c r="R545" s="218"/>
      <c r="S545" s="111"/>
    </row>
    <row r="546" ht="21.0" customHeight="1">
      <c r="A546" s="216"/>
      <c r="B546" s="111"/>
      <c r="C546" s="111"/>
      <c r="D546" s="111"/>
      <c r="E546" s="217"/>
      <c r="F546" s="218"/>
      <c r="G546" s="219"/>
      <c r="H546" s="219"/>
      <c r="I546" s="220"/>
      <c r="J546" s="220"/>
      <c r="K546" s="221"/>
      <c r="L546" s="222"/>
      <c r="M546" s="221"/>
      <c r="N546" s="218"/>
      <c r="O546" s="219"/>
      <c r="P546" s="111"/>
      <c r="Q546" s="223"/>
      <c r="R546" s="218"/>
      <c r="S546" s="111"/>
    </row>
    <row r="547" ht="21.0" customHeight="1">
      <c r="A547" s="216"/>
      <c r="B547" s="111"/>
      <c r="C547" s="111"/>
      <c r="D547" s="111"/>
      <c r="E547" s="217"/>
      <c r="F547" s="218"/>
      <c r="G547" s="219"/>
      <c r="H547" s="219"/>
      <c r="I547" s="220"/>
      <c r="J547" s="220"/>
      <c r="K547" s="221"/>
      <c r="L547" s="222"/>
      <c r="M547" s="221"/>
      <c r="N547" s="218"/>
      <c r="O547" s="219"/>
      <c r="P547" s="111"/>
      <c r="Q547" s="223"/>
      <c r="R547" s="218"/>
      <c r="S547" s="111"/>
    </row>
    <row r="548" ht="21.0" customHeight="1">
      <c r="A548" s="216"/>
      <c r="B548" s="111"/>
      <c r="C548" s="111"/>
      <c r="D548" s="111"/>
      <c r="E548" s="217"/>
      <c r="F548" s="218"/>
      <c r="G548" s="219"/>
      <c r="H548" s="219"/>
      <c r="I548" s="220"/>
      <c r="J548" s="220"/>
      <c r="K548" s="221"/>
      <c r="L548" s="222"/>
      <c r="M548" s="221"/>
      <c r="N548" s="218"/>
      <c r="O548" s="219"/>
      <c r="P548" s="111"/>
      <c r="Q548" s="223"/>
      <c r="R548" s="218"/>
      <c r="S548" s="111"/>
    </row>
    <row r="549" ht="21.0" customHeight="1">
      <c r="A549" s="216"/>
      <c r="B549" s="111"/>
      <c r="C549" s="111"/>
      <c r="D549" s="111"/>
      <c r="E549" s="217"/>
      <c r="F549" s="218"/>
      <c r="G549" s="219"/>
      <c r="H549" s="219"/>
      <c r="I549" s="220"/>
      <c r="J549" s="220"/>
      <c r="K549" s="221"/>
      <c r="L549" s="222"/>
      <c r="M549" s="221"/>
      <c r="N549" s="218"/>
      <c r="O549" s="219"/>
      <c r="P549" s="111"/>
      <c r="Q549" s="223"/>
      <c r="R549" s="218"/>
      <c r="S549" s="111"/>
    </row>
    <row r="550" ht="21.0" customHeight="1">
      <c r="A550" s="216"/>
      <c r="B550" s="111"/>
      <c r="C550" s="111"/>
      <c r="D550" s="111"/>
      <c r="E550" s="217"/>
      <c r="F550" s="218"/>
      <c r="G550" s="219"/>
      <c r="H550" s="219"/>
      <c r="I550" s="220"/>
      <c r="J550" s="220"/>
      <c r="K550" s="221"/>
      <c r="L550" s="222"/>
      <c r="M550" s="221"/>
      <c r="N550" s="218"/>
      <c r="O550" s="219"/>
      <c r="P550" s="111"/>
      <c r="Q550" s="223"/>
      <c r="R550" s="218"/>
      <c r="S550" s="111"/>
    </row>
    <row r="551" ht="21.0" customHeight="1">
      <c r="A551" s="216"/>
      <c r="B551" s="111"/>
      <c r="C551" s="111"/>
      <c r="D551" s="111"/>
      <c r="E551" s="217"/>
      <c r="F551" s="218"/>
      <c r="G551" s="219"/>
      <c r="H551" s="219"/>
      <c r="I551" s="220"/>
      <c r="J551" s="220"/>
      <c r="K551" s="221"/>
      <c r="L551" s="222"/>
      <c r="M551" s="221"/>
      <c r="N551" s="218"/>
      <c r="O551" s="219"/>
      <c r="P551" s="111"/>
      <c r="Q551" s="223"/>
      <c r="R551" s="218"/>
      <c r="S551" s="111"/>
    </row>
    <row r="552" ht="21.0" customHeight="1">
      <c r="A552" s="216"/>
      <c r="B552" s="111"/>
      <c r="C552" s="111"/>
      <c r="D552" s="111"/>
      <c r="E552" s="217"/>
      <c r="F552" s="218"/>
      <c r="G552" s="219"/>
      <c r="H552" s="219"/>
      <c r="I552" s="220"/>
      <c r="J552" s="220"/>
      <c r="K552" s="221"/>
      <c r="L552" s="222"/>
      <c r="M552" s="221"/>
      <c r="N552" s="218"/>
      <c r="O552" s="219"/>
      <c r="P552" s="111"/>
      <c r="Q552" s="223"/>
      <c r="R552" s="218"/>
      <c r="S552" s="111"/>
    </row>
    <row r="553" ht="21.0" customHeight="1">
      <c r="A553" s="216"/>
      <c r="B553" s="111"/>
      <c r="C553" s="111"/>
      <c r="D553" s="111"/>
      <c r="E553" s="217"/>
      <c r="F553" s="218"/>
      <c r="G553" s="219"/>
      <c r="H553" s="219"/>
      <c r="I553" s="220"/>
      <c r="J553" s="220"/>
      <c r="K553" s="221"/>
      <c r="L553" s="222"/>
      <c r="M553" s="221"/>
      <c r="N553" s="218"/>
      <c r="O553" s="219"/>
      <c r="P553" s="111"/>
      <c r="Q553" s="223"/>
      <c r="R553" s="218"/>
      <c r="S553" s="111"/>
    </row>
    <row r="554" ht="21.0" customHeight="1">
      <c r="A554" s="216"/>
      <c r="B554" s="111"/>
      <c r="C554" s="111"/>
      <c r="D554" s="111"/>
      <c r="E554" s="217"/>
      <c r="F554" s="218"/>
      <c r="G554" s="219"/>
      <c r="H554" s="219"/>
      <c r="I554" s="220"/>
      <c r="J554" s="220"/>
      <c r="K554" s="221"/>
      <c r="L554" s="222"/>
      <c r="M554" s="221"/>
      <c r="N554" s="218"/>
      <c r="O554" s="219"/>
      <c r="P554" s="111"/>
      <c r="Q554" s="223"/>
      <c r="R554" s="218"/>
      <c r="S554" s="111"/>
    </row>
    <row r="555" ht="21.0" customHeight="1">
      <c r="A555" s="216"/>
      <c r="B555" s="111"/>
      <c r="C555" s="111"/>
      <c r="D555" s="111"/>
      <c r="E555" s="217"/>
      <c r="F555" s="218"/>
      <c r="G555" s="219"/>
      <c r="H555" s="219"/>
      <c r="I555" s="220"/>
      <c r="J555" s="220"/>
      <c r="K555" s="221"/>
      <c r="L555" s="222"/>
      <c r="M555" s="221"/>
      <c r="N555" s="218"/>
      <c r="O555" s="219"/>
      <c r="P555" s="111"/>
      <c r="Q555" s="223"/>
      <c r="R555" s="218"/>
      <c r="S555" s="111"/>
    </row>
    <row r="556" ht="21.0" customHeight="1">
      <c r="A556" s="216"/>
      <c r="B556" s="111"/>
      <c r="C556" s="111"/>
      <c r="D556" s="111"/>
      <c r="E556" s="217"/>
      <c r="F556" s="218"/>
      <c r="G556" s="219"/>
      <c r="H556" s="219"/>
      <c r="I556" s="220"/>
      <c r="J556" s="220"/>
      <c r="K556" s="221"/>
      <c r="L556" s="222"/>
      <c r="M556" s="221"/>
      <c r="N556" s="218"/>
      <c r="O556" s="219"/>
      <c r="P556" s="111"/>
      <c r="Q556" s="223"/>
      <c r="R556" s="218"/>
      <c r="S556" s="111"/>
    </row>
    <row r="557" ht="21.0" customHeight="1">
      <c r="A557" s="216"/>
      <c r="B557" s="111"/>
      <c r="C557" s="111"/>
      <c r="D557" s="111"/>
      <c r="E557" s="217"/>
      <c r="F557" s="218"/>
      <c r="G557" s="219"/>
      <c r="H557" s="219"/>
      <c r="I557" s="220"/>
      <c r="J557" s="220"/>
      <c r="K557" s="221"/>
      <c r="L557" s="222"/>
      <c r="M557" s="221"/>
      <c r="N557" s="218"/>
      <c r="O557" s="219"/>
      <c r="P557" s="111"/>
      <c r="Q557" s="223"/>
      <c r="R557" s="218"/>
      <c r="S557" s="111"/>
    </row>
    <row r="558" ht="21.0" customHeight="1">
      <c r="A558" s="216"/>
      <c r="B558" s="111"/>
      <c r="C558" s="111"/>
      <c r="D558" s="111"/>
      <c r="E558" s="217"/>
      <c r="F558" s="218"/>
      <c r="G558" s="219"/>
      <c r="H558" s="219"/>
      <c r="I558" s="220"/>
      <c r="J558" s="220"/>
      <c r="K558" s="221"/>
      <c r="L558" s="222"/>
      <c r="M558" s="221"/>
      <c r="N558" s="218"/>
      <c r="O558" s="219"/>
      <c r="P558" s="111"/>
      <c r="Q558" s="223"/>
      <c r="R558" s="218"/>
      <c r="S558" s="111"/>
    </row>
    <row r="559" ht="21.0" customHeight="1">
      <c r="A559" s="216"/>
      <c r="B559" s="111"/>
      <c r="C559" s="111"/>
      <c r="D559" s="111"/>
      <c r="E559" s="217"/>
      <c r="F559" s="218"/>
      <c r="G559" s="219"/>
      <c r="H559" s="219"/>
      <c r="I559" s="220"/>
      <c r="J559" s="220"/>
      <c r="K559" s="221"/>
      <c r="L559" s="222"/>
      <c r="M559" s="221"/>
      <c r="N559" s="218"/>
      <c r="O559" s="219"/>
      <c r="P559" s="111"/>
      <c r="Q559" s="223"/>
      <c r="R559" s="218"/>
      <c r="S559" s="111"/>
    </row>
    <row r="560" ht="21.0" customHeight="1">
      <c r="A560" s="216"/>
      <c r="B560" s="111"/>
      <c r="C560" s="111"/>
      <c r="D560" s="111"/>
      <c r="E560" s="217"/>
      <c r="F560" s="218"/>
      <c r="G560" s="219"/>
      <c r="H560" s="219"/>
      <c r="I560" s="220"/>
      <c r="J560" s="220"/>
      <c r="K560" s="221"/>
      <c r="L560" s="222"/>
      <c r="M560" s="221"/>
      <c r="N560" s="218"/>
      <c r="O560" s="219"/>
      <c r="P560" s="111"/>
      <c r="Q560" s="223"/>
      <c r="R560" s="218"/>
      <c r="S560" s="111"/>
    </row>
    <row r="561" ht="21.0" customHeight="1">
      <c r="A561" s="216"/>
      <c r="B561" s="111"/>
      <c r="C561" s="111"/>
      <c r="D561" s="111"/>
      <c r="E561" s="217"/>
      <c r="F561" s="218"/>
      <c r="G561" s="219"/>
      <c r="H561" s="219"/>
      <c r="I561" s="220"/>
      <c r="J561" s="220"/>
      <c r="K561" s="221"/>
      <c r="L561" s="222"/>
      <c r="M561" s="221"/>
      <c r="N561" s="218"/>
      <c r="O561" s="219"/>
      <c r="P561" s="111"/>
      <c r="Q561" s="223"/>
      <c r="R561" s="218"/>
      <c r="S561" s="111"/>
    </row>
    <row r="562" ht="21.0" customHeight="1">
      <c r="A562" s="216"/>
      <c r="B562" s="111"/>
      <c r="C562" s="111"/>
      <c r="D562" s="111"/>
      <c r="E562" s="217"/>
      <c r="F562" s="218"/>
      <c r="G562" s="219"/>
      <c r="H562" s="219"/>
      <c r="I562" s="220"/>
      <c r="J562" s="220"/>
      <c r="K562" s="221"/>
      <c r="L562" s="222"/>
      <c r="M562" s="221"/>
      <c r="N562" s="218"/>
      <c r="O562" s="219"/>
      <c r="P562" s="111"/>
      <c r="Q562" s="223"/>
      <c r="R562" s="218"/>
      <c r="S562" s="111"/>
    </row>
    <row r="563" ht="21.0" customHeight="1">
      <c r="A563" s="216"/>
      <c r="B563" s="111"/>
      <c r="C563" s="111"/>
      <c r="D563" s="111"/>
      <c r="E563" s="217"/>
      <c r="F563" s="218"/>
      <c r="G563" s="219"/>
      <c r="H563" s="219"/>
      <c r="I563" s="220"/>
      <c r="J563" s="220"/>
      <c r="K563" s="221"/>
      <c r="L563" s="222"/>
      <c r="M563" s="221"/>
      <c r="N563" s="218"/>
      <c r="O563" s="219"/>
      <c r="P563" s="111"/>
      <c r="Q563" s="223"/>
      <c r="R563" s="218"/>
      <c r="S563" s="111"/>
    </row>
    <row r="564" ht="21.0" customHeight="1">
      <c r="A564" s="216"/>
      <c r="B564" s="111"/>
      <c r="C564" s="111"/>
      <c r="D564" s="111"/>
      <c r="E564" s="217"/>
      <c r="F564" s="218"/>
      <c r="G564" s="219"/>
      <c r="H564" s="219"/>
      <c r="I564" s="220"/>
      <c r="J564" s="220"/>
      <c r="K564" s="221"/>
      <c r="L564" s="222"/>
      <c r="M564" s="221"/>
      <c r="N564" s="218"/>
      <c r="O564" s="219"/>
      <c r="P564" s="111"/>
      <c r="Q564" s="223"/>
      <c r="R564" s="218"/>
      <c r="S564" s="111"/>
    </row>
    <row r="565" ht="21.0" customHeight="1">
      <c r="A565" s="216"/>
      <c r="B565" s="111"/>
      <c r="C565" s="111"/>
      <c r="D565" s="111"/>
      <c r="E565" s="217"/>
      <c r="F565" s="218"/>
      <c r="G565" s="219"/>
      <c r="H565" s="219"/>
      <c r="I565" s="220"/>
      <c r="J565" s="220"/>
      <c r="K565" s="221"/>
      <c r="L565" s="222"/>
      <c r="M565" s="221"/>
      <c r="N565" s="218"/>
      <c r="O565" s="219"/>
      <c r="P565" s="111"/>
      <c r="Q565" s="223"/>
      <c r="R565" s="218"/>
      <c r="S565" s="111"/>
    </row>
    <row r="566" ht="21.0" customHeight="1">
      <c r="A566" s="216"/>
      <c r="B566" s="111"/>
      <c r="C566" s="111"/>
      <c r="D566" s="111"/>
      <c r="E566" s="217"/>
      <c r="F566" s="218"/>
      <c r="G566" s="219"/>
      <c r="H566" s="219"/>
      <c r="I566" s="220"/>
      <c r="J566" s="220"/>
      <c r="K566" s="221"/>
      <c r="L566" s="222"/>
      <c r="M566" s="221"/>
      <c r="N566" s="218"/>
      <c r="O566" s="219"/>
      <c r="P566" s="111"/>
      <c r="Q566" s="223"/>
      <c r="R566" s="218"/>
      <c r="S566" s="111"/>
    </row>
    <row r="567" ht="21.0" customHeight="1">
      <c r="A567" s="216"/>
      <c r="B567" s="111"/>
      <c r="C567" s="111"/>
      <c r="D567" s="111"/>
      <c r="E567" s="217"/>
      <c r="F567" s="218"/>
      <c r="G567" s="219"/>
      <c r="H567" s="219"/>
      <c r="I567" s="220"/>
      <c r="J567" s="220"/>
      <c r="K567" s="221"/>
      <c r="L567" s="222"/>
      <c r="M567" s="221"/>
      <c r="N567" s="218"/>
      <c r="O567" s="219"/>
      <c r="P567" s="111"/>
      <c r="Q567" s="223"/>
      <c r="R567" s="218"/>
      <c r="S567" s="111"/>
    </row>
    <row r="568" ht="21.0" customHeight="1">
      <c r="A568" s="216"/>
      <c r="B568" s="111"/>
      <c r="C568" s="111"/>
      <c r="D568" s="111"/>
      <c r="E568" s="217"/>
      <c r="F568" s="218"/>
      <c r="G568" s="219"/>
      <c r="H568" s="219"/>
      <c r="I568" s="220"/>
      <c r="J568" s="220"/>
      <c r="K568" s="221"/>
      <c r="L568" s="222"/>
      <c r="M568" s="221"/>
      <c r="N568" s="218"/>
      <c r="O568" s="219"/>
      <c r="P568" s="111"/>
      <c r="Q568" s="223"/>
      <c r="R568" s="218"/>
      <c r="S568" s="111"/>
    </row>
    <row r="569" ht="21.0" customHeight="1">
      <c r="A569" s="216"/>
      <c r="B569" s="111"/>
      <c r="C569" s="111"/>
      <c r="D569" s="111"/>
      <c r="E569" s="217"/>
      <c r="F569" s="218"/>
      <c r="G569" s="219"/>
      <c r="H569" s="219"/>
      <c r="I569" s="220"/>
      <c r="J569" s="220"/>
      <c r="K569" s="221"/>
      <c r="L569" s="222"/>
      <c r="M569" s="221"/>
      <c r="N569" s="218"/>
      <c r="O569" s="219"/>
      <c r="P569" s="111"/>
      <c r="Q569" s="223"/>
      <c r="R569" s="218"/>
      <c r="S569" s="111"/>
    </row>
    <row r="570" ht="21.0" customHeight="1">
      <c r="A570" s="216"/>
      <c r="B570" s="111"/>
      <c r="C570" s="111"/>
      <c r="D570" s="111"/>
      <c r="E570" s="217"/>
      <c r="F570" s="218"/>
      <c r="G570" s="219"/>
      <c r="H570" s="219"/>
      <c r="I570" s="220"/>
      <c r="J570" s="220"/>
      <c r="K570" s="221"/>
      <c r="L570" s="222"/>
      <c r="M570" s="221"/>
      <c r="N570" s="218"/>
      <c r="O570" s="219"/>
      <c r="P570" s="111"/>
      <c r="Q570" s="223"/>
      <c r="R570" s="218"/>
      <c r="S570" s="111"/>
    </row>
    <row r="571" ht="21.0" customHeight="1">
      <c r="A571" s="216"/>
      <c r="B571" s="111"/>
      <c r="C571" s="111"/>
      <c r="D571" s="111"/>
      <c r="E571" s="217"/>
      <c r="F571" s="218"/>
      <c r="G571" s="219"/>
      <c r="H571" s="219"/>
      <c r="I571" s="220"/>
      <c r="J571" s="220"/>
      <c r="K571" s="221"/>
      <c r="L571" s="222"/>
      <c r="M571" s="221"/>
      <c r="N571" s="218"/>
      <c r="O571" s="219"/>
      <c r="P571" s="111"/>
      <c r="Q571" s="223"/>
      <c r="R571" s="218"/>
      <c r="S571" s="111"/>
    </row>
    <row r="572" ht="21.0" customHeight="1">
      <c r="A572" s="216"/>
      <c r="B572" s="111"/>
      <c r="C572" s="111"/>
      <c r="D572" s="111"/>
      <c r="E572" s="217"/>
      <c r="F572" s="218"/>
      <c r="G572" s="219"/>
      <c r="H572" s="219"/>
      <c r="I572" s="220"/>
      <c r="J572" s="220"/>
      <c r="K572" s="221"/>
      <c r="L572" s="222"/>
      <c r="M572" s="221"/>
      <c r="N572" s="218"/>
      <c r="O572" s="219"/>
      <c r="P572" s="111"/>
      <c r="Q572" s="223"/>
      <c r="R572" s="218"/>
      <c r="S572" s="111"/>
    </row>
    <row r="573" ht="21.0" customHeight="1">
      <c r="A573" s="216"/>
      <c r="B573" s="111"/>
      <c r="C573" s="111"/>
      <c r="D573" s="111"/>
      <c r="E573" s="217"/>
      <c r="F573" s="218"/>
      <c r="G573" s="219"/>
      <c r="H573" s="219"/>
      <c r="I573" s="220"/>
      <c r="J573" s="220"/>
      <c r="K573" s="221"/>
      <c r="L573" s="222"/>
      <c r="M573" s="221"/>
      <c r="N573" s="218"/>
      <c r="O573" s="219"/>
      <c r="P573" s="111"/>
      <c r="Q573" s="223"/>
      <c r="R573" s="218"/>
      <c r="S573" s="111"/>
    </row>
    <row r="574" ht="21.0" customHeight="1">
      <c r="A574" s="216"/>
      <c r="B574" s="111"/>
      <c r="C574" s="111"/>
      <c r="D574" s="111"/>
      <c r="E574" s="217"/>
      <c r="F574" s="218"/>
      <c r="G574" s="219"/>
      <c r="H574" s="219"/>
      <c r="I574" s="220"/>
      <c r="J574" s="220"/>
      <c r="K574" s="221"/>
      <c r="L574" s="222"/>
      <c r="M574" s="221"/>
      <c r="N574" s="218"/>
      <c r="O574" s="219"/>
      <c r="P574" s="111"/>
      <c r="Q574" s="223"/>
      <c r="R574" s="218"/>
      <c r="S574" s="111"/>
    </row>
    <row r="575" ht="21.0" customHeight="1">
      <c r="A575" s="216"/>
      <c r="B575" s="111"/>
      <c r="C575" s="111"/>
      <c r="D575" s="111"/>
      <c r="E575" s="217"/>
      <c r="F575" s="218"/>
      <c r="G575" s="219"/>
      <c r="H575" s="219"/>
      <c r="I575" s="220"/>
      <c r="J575" s="220"/>
      <c r="K575" s="221"/>
      <c r="L575" s="222"/>
      <c r="M575" s="221"/>
      <c r="N575" s="218"/>
      <c r="O575" s="219"/>
      <c r="P575" s="111"/>
      <c r="Q575" s="223"/>
      <c r="R575" s="218"/>
      <c r="S575" s="111"/>
    </row>
    <row r="576" ht="21.0" customHeight="1">
      <c r="A576" s="216"/>
      <c r="B576" s="111"/>
      <c r="C576" s="111"/>
      <c r="D576" s="111"/>
      <c r="E576" s="217"/>
      <c r="F576" s="218"/>
      <c r="G576" s="219"/>
      <c r="H576" s="219"/>
      <c r="I576" s="220"/>
      <c r="J576" s="220"/>
      <c r="K576" s="221"/>
      <c r="L576" s="222"/>
      <c r="M576" s="221"/>
      <c r="N576" s="218"/>
      <c r="O576" s="219"/>
      <c r="P576" s="111"/>
      <c r="Q576" s="223"/>
      <c r="R576" s="218"/>
      <c r="S576" s="111"/>
    </row>
    <row r="577" ht="21.0" customHeight="1">
      <c r="A577" s="216"/>
      <c r="B577" s="111"/>
      <c r="C577" s="111"/>
      <c r="D577" s="111"/>
      <c r="E577" s="217"/>
      <c r="F577" s="218"/>
      <c r="G577" s="219"/>
      <c r="H577" s="219"/>
      <c r="I577" s="220"/>
      <c r="J577" s="220"/>
      <c r="K577" s="221"/>
      <c r="L577" s="222"/>
      <c r="M577" s="221"/>
      <c r="N577" s="218"/>
      <c r="O577" s="219"/>
      <c r="P577" s="111"/>
      <c r="Q577" s="223"/>
      <c r="R577" s="218"/>
      <c r="S577" s="111"/>
    </row>
    <row r="578" ht="21.0" customHeight="1">
      <c r="A578" s="216"/>
      <c r="B578" s="111"/>
      <c r="C578" s="111"/>
      <c r="D578" s="111"/>
      <c r="E578" s="217"/>
      <c r="F578" s="218"/>
      <c r="G578" s="219"/>
      <c r="H578" s="219"/>
      <c r="I578" s="220"/>
      <c r="J578" s="220"/>
      <c r="K578" s="221"/>
      <c r="L578" s="222"/>
      <c r="M578" s="221"/>
      <c r="N578" s="218"/>
      <c r="O578" s="219"/>
      <c r="P578" s="111"/>
      <c r="Q578" s="223"/>
      <c r="R578" s="218"/>
      <c r="S578" s="111"/>
    </row>
    <row r="579" ht="21.0" customHeight="1">
      <c r="A579" s="216"/>
      <c r="B579" s="111"/>
      <c r="C579" s="111"/>
      <c r="D579" s="111"/>
      <c r="E579" s="217"/>
      <c r="F579" s="218"/>
      <c r="G579" s="219"/>
      <c r="H579" s="219"/>
      <c r="I579" s="220"/>
      <c r="J579" s="220"/>
      <c r="K579" s="221"/>
      <c r="L579" s="222"/>
      <c r="M579" s="221"/>
      <c r="N579" s="218"/>
      <c r="O579" s="219"/>
      <c r="P579" s="111"/>
      <c r="Q579" s="223"/>
      <c r="R579" s="218"/>
      <c r="S579" s="111"/>
    </row>
    <row r="580" ht="21.0" customHeight="1">
      <c r="A580" s="216"/>
      <c r="B580" s="111"/>
      <c r="C580" s="111"/>
      <c r="D580" s="111"/>
      <c r="E580" s="217"/>
      <c r="F580" s="218"/>
      <c r="G580" s="219"/>
      <c r="H580" s="219"/>
      <c r="I580" s="220"/>
      <c r="J580" s="220"/>
      <c r="K580" s="221"/>
      <c r="L580" s="222"/>
      <c r="M580" s="221"/>
      <c r="N580" s="218"/>
      <c r="O580" s="219"/>
      <c r="P580" s="111"/>
      <c r="Q580" s="223"/>
      <c r="R580" s="218"/>
      <c r="S580" s="111"/>
    </row>
    <row r="581" ht="21.0" customHeight="1">
      <c r="A581" s="216"/>
      <c r="B581" s="111"/>
      <c r="C581" s="111"/>
      <c r="D581" s="111"/>
      <c r="E581" s="217"/>
      <c r="F581" s="218"/>
      <c r="G581" s="219"/>
      <c r="H581" s="219"/>
      <c r="I581" s="220"/>
      <c r="J581" s="220"/>
      <c r="K581" s="221"/>
      <c r="L581" s="222"/>
      <c r="M581" s="221"/>
      <c r="N581" s="218"/>
      <c r="O581" s="219"/>
      <c r="P581" s="111"/>
      <c r="Q581" s="223"/>
      <c r="R581" s="218"/>
      <c r="S581" s="111"/>
    </row>
    <row r="582" ht="21.0" customHeight="1">
      <c r="A582" s="216"/>
      <c r="B582" s="111"/>
      <c r="C582" s="111"/>
      <c r="D582" s="111"/>
      <c r="E582" s="217"/>
      <c r="F582" s="218"/>
      <c r="G582" s="219"/>
      <c r="H582" s="219"/>
      <c r="I582" s="220"/>
      <c r="J582" s="220"/>
      <c r="K582" s="221"/>
      <c r="L582" s="222"/>
      <c r="M582" s="221"/>
      <c r="N582" s="218"/>
      <c r="O582" s="219"/>
      <c r="P582" s="111"/>
      <c r="Q582" s="223"/>
      <c r="R582" s="218"/>
      <c r="S582" s="111"/>
    </row>
    <row r="583" ht="21.0" customHeight="1">
      <c r="A583" s="216"/>
      <c r="B583" s="111"/>
      <c r="C583" s="111"/>
      <c r="D583" s="111"/>
      <c r="E583" s="217"/>
      <c r="F583" s="218"/>
      <c r="G583" s="219"/>
      <c r="H583" s="219"/>
      <c r="I583" s="220"/>
      <c r="J583" s="220"/>
      <c r="K583" s="221"/>
      <c r="L583" s="222"/>
      <c r="M583" s="221"/>
      <c r="N583" s="218"/>
      <c r="O583" s="219"/>
      <c r="P583" s="111"/>
      <c r="Q583" s="223"/>
      <c r="R583" s="218"/>
      <c r="S583" s="111"/>
    </row>
    <row r="584" ht="21.0" customHeight="1">
      <c r="A584" s="216"/>
      <c r="B584" s="111"/>
      <c r="C584" s="111"/>
      <c r="D584" s="111"/>
      <c r="E584" s="217"/>
      <c r="F584" s="218"/>
      <c r="G584" s="219"/>
      <c r="H584" s="219"/>
      <c r="I584" s="220"/>
      <c r="J584" s="220"/>
      <c r="K584" s="221"/>
      <c r="L584" s="222"/>
      <c r="M584" s="221"/>
      <c r="N584" s="218"/>
      <c r="O584" s="219"/>
      <c r="P584" s="111"/>
      <c r="Q584" s="223"/>
      <c r="R584" s="218"/>
      <c r="S584" s="111"/>
    </row>
    <row r="585" ht="21.0" customHeight="1">
      <c r="A585" s="216"/>
      <c r="B585" s="111"/>
      <c r="C585" s="111"/>
      <c r="D585" s="111"/>
      <c r="E585" s="217"/>
      <c r="F585" s="218"/>
      <c r="G585" s="219"/>
      <c r="H585" s="219"/>
      <c r="I585" s="220"/>
      <c r="J585" s="220"/>
      <c r="K585" s="221"/>
      <c r="L585" s="222"/>
      <c r="M585" s="221"/>
      <c r="N585" s="218"/>
      <c r="O585" s="219"/>
      <c r="P585" s="111"/>
      <c r="Q585" s="223"/>
      <c r="R585" s="218"/>
      <c r="S585" s="111"/>
    </row>
    <row r="586" ht="21.0" customHeight="1">
      <c r="A586" s="216"/>
      <c r="B586" s="111"/>
      <c r="C586" s="111"/>
      <c r="D586" s="111"/>
      <c r="E586" s="217"/>
      <c r="F586" s="218"/>
      <c r="G586" s="219"/>
      <c r="H586" s="219"/>
      <c r="I586" s="220"/>
      <c r="J586" s="220"/>
      <c r="K586" s="221"/>
      <c r="L586" s="222"/>
      <c r="M586" s="221"/>
      <c r="N586" s="218"/>
      <c r="O586" s="219"/>
      <c r="P586" s="111"/>
      <c r="Q586" s="223"/>
      <c r="R586" s="218"/>
      <c r="S586" s="111"/>
    </row>
    <row r="587" ht="21.0" customHeight="1">
      <c r="A587" s="216"/>
      <c r="B587" s="111"/>
      <c r="C587" s="111"/>
      <c r="D587" s="111"/>
      <c r="E587" s="217"/>
      <c r="F587" s="218"/>
      <c r="G587" s="219"/>
      <c r="H587" s="219"/>
      <c r="I587" s="220"/>
      <c r="J587" s="220"/>
      <c r="K587" s="221"/>
      <c r="L587" s="222"/>
      <c r="M587" s="221"/>
      <c r="N587" s="218"/>
      <c r="O587" s="219"/>
      <c r="P587" s="111"/>
      <c r="Q587" s="223"/>
      <c r="R587" s="218"/>
      <c r="S587" s="111"/>
    </row>
    <row r="588" ht="21.0" customHeight="1">
      <c r="A588" s="216"/>
      <c r="B588" s="111"/>
      <c r="C588" s="111"/>
      <c r="D588" s="111"/>
      <c r="E588" s="217"/>
      <c r="F588" s="218"/>
      <c r="G588" s="219"/>
      <c r="H588" s="219"/>
      <c r="I588" s="220"/>
      <c r="J588" s="220"/>
      <c r="K588" s="221"/>
      <c r="L588" s="222"/>
      <c r="M588" s="221"/>
      <c r="N588" s="218"/>
      <c r="O588" s="219"/>
      <c r="P588" s="111"/>
      <c r="Q588" s="223"/>
      <c r="R588" s="218"/>
      <c r="S588" s="111"/>
    </row>
    <row r="589" ht="21.0" customHeight="1">
      <c r="A589" s="216"/>
      <c r="B589" s="111"/>
      <c r="C589" s="111"/>
      <c r="D589" s="111"/>
      <c r="E589" s="217"/>
      <c r="F589" s="218"/>
      <c r="G589" s="219"/>
      <c r="H589" s="219"/>
      <c r="I589" s="220"/>
      <c r="J589" s="220"/>
      <c r="K589" s="221"/>
      <c r="L589" s="222"/>
      <c r="M589" s="221"/>
      <c r="N589" s="218"/>
      <c r="O589" s="219"/>
      <c r="P589" s="111"/>
      <c r="Q589" s="223"/>
      <c r="R589" s="218"/>
      <c r="S589" s="111"/>
    </row>
    <row r="590" ht="21.0" customHeight="1">
      <c r="A590" s="216"/>
      <c r="B590" s="111"/>
      <c r="C590" s="111"/>
      <c r="D590" s="111"/>
      <c r="E590" s="217"/>
      <c r="F590" s="218"/>
      <c r="G590" s="219"/>
      <c r="H590" s="219"/>
      <c r="I590" s="220"/>
      <c r="J590" s="220"/>
      <c r="K590" s="221"/>
      <c r="L590" s="222"/>
      <c r="M590" s="221"/>
      <c r="N590" s="218"/>
      <c r="O590" s="219"/>
      <c r="P590" s="111"/>
      <c r="Q590" s="223"/>
      <c r="R590" s="218"/>
      <c r="S590" s="111"/>
    </row>
    <row r="591" ht="21.0" customHeight="1">
      <c r="A591" s="216"/>
      <c r="B591" s="111"/>
      <c r="C591" s="111"/>
      <c r="D591" s="111"/>
      <c r="E591" s="217"/>
      <c r="F591" s="218"/>
      <c r="G591" s="219"/>
      <c r="H591" s="219"/>
      <c r="I591" s="220"/>
      <c r="J591" s="220"/>
      <c r="K591" s="221"/>
      <c r="L591" s="222"/>
      <c r="M591" s="221"/>
      <c r="N591" s="218"/>
      <c r="O591" s="219"/>
      <c r="P591" s="111"/>
      <c r="Q591" s="223"/>
      <c r="R591" s="218"/>
      <c r="S591" s="111"/>
    </row>
    <row r="592" ht="21.0" customHeight="1">
      <c r="A592" s="216"/>
      <c r="B592" s="111"/>
      <c r="C592" s="111"/>
      <c r="D592" s="111"/>
      <c r="E592" s="217"/>
      <c r="F592" s="218"/>
      <c r="G592" s="219"/>
      <c r="H592" s="219"/>
      <c r="I592" s="220"/>
      <c r="J592" s="220"/>
      <c r="K592" s="221"/>
      <c r="L592" s="222"/>
      <c r="M592" s="221"/>
      <c r="N592" s="218"/>
      <c r="O592" s="219"/>
      <c r="P592" s="111"/>
      <c r="Q592" s="223"/>
      <c r="R592" s="218"/>
      <c r="S592" s="111"/>
    </row>
    <row r="593" ht="21.0" customHeight="1">
      <c r="A593" s="216"/>
      <c r="B593" s="111"/>
      <c r="C593" s="111"/>
      <c r="D593" s="111"/>
      <c r="E593" s="217"/>
      <c r="F593" s="218"/>
      <c r="G593" s="219"/>
      <c r="H593" s="219"/>
      <c r="I593" s="220"/>
      <c r="J593" s="220"/>
      <c r="K593" s="221"/>
      <c r="L593" s="222"/>
      <c r="M593" s="221"/>
      <c r="N593" s="218"/>
      <c r="O593" s="219"/>
      <c r="P593" s="111"/>
      <c r="Q593" s="223"/>
      <c r="R593" s="218"/>
      <c r="S593" s="111"/>
    </row>
    <row r="594" ht="21.0" customHeight="1">
      <c r="A594" s="216"/>
      <c r="B594" s="111"/>
      <c r="C594" s="111"/>
      <c r="D594" s="111"/>
      <c r="E594" s="217"/>
      <c r="F594" s="218"/>
      <c r="G594" s="219"/>
      <c r="H594" s="219"/>
      <c r="I594" s="220"/>
      <c r="J594" s="220"/>
      <c r="K594" s="221"/>
      <c r="L594" s="222"/>
      <c r="M594" s="221"/>
      <c r="N594" s="218"/>
      <c r="O594" s="219"/>
      <c r="P594" s="111"/>
      <c r="Q594" s="223"/>
      <c r="R594" s="218"/>
      <c r="S594" s="111"/>
    </row>
    <row r="595" ht="21.0" customHeight="1">
      <c r="A595" s="216"/>
      <c r="B595" s="111"/>
      <c r="C595" s="111"/>
      <c r="D595" s="111"/>
      <c r="E595" s="217"/>
      <c r="F595" s="218"/>
      <c r="G595" s="219"/>
      <c r="H595" s="219"/>
      <c r="I595" s="220"/>
      <c r="J595" s="220"/>
      <c r="K595" s="221"/>
      <c r="L595" s="222"/>
      <c r="M595" s="221"/>
      <c r="N595" s="218"/>
      <c r="O595" s="219"/>
      <c r="P595" s="111"/>
      <c r="Q595" s="223"/>
      <c r="R595" s="218"/>
      <c r="S595" s="111"/>
    </row>
    <row r="596" ht="21.0" customHeight="1">
      <c r="A596" s="216"/>
      <c r="B596" s="111"/>
      <c r="C596" s="111"/>
      <c r="D596" s="111"/>
      <c r="E596" s="217"/>
      <c r="F596" s="218"/>
      <c r="G596" s="219"/>
      <c r="H596" s="219"/>
      <c r="I596" s="220"/>
      <c r="J596" s="220"/>
      <c r="K596" s="221"/>
      <c r="L596" s="222"/>
      <c r="M596" s="221"/>
      <c r="N596" s="218"/>
      <c r="O596" s="219"/>
      <c r="P596" s="111"/>
      <c r="Q596" s="223"/>
      <c r="R596" s="218"/>
      <c r="S596" s="111"/>
    </row>
    <row r="597" ht="21.0" customHeight="1">
      <c r="A597" s="216"/>
      <c r="B597" s="111"/>
      <c r="C597" s="111"/>
      <c r="D597" s="111"/>
      <c r="E597" s="217"/>
      <c r="F597" s="218"/>
      <c r="G597" s="219"/>
      <c r="H597" s="219"/>
      <c r="I597" s="220"/>
      <c r="J597" s="220"/>
      <c r="K597" s="221"/>
      <c r="L597" s="222"/>
      <c r="M597" s="221"/>
      <c r="N597" s="218"/>
      <c r="O597" s="219"/>
      <c r="P597" s="111"/>
      <c r="Q597" s="223"/>
      <c r="R597" s="218"/>
      <c r="S597" s="111"/>
    </row>
    <row r="598" ht="21.0" customHeight="1">
      <c r="A598" s="216"/>
      <c r="B598" s="111"/>
      <c r="C598" s="111"/>
      <c r="D598" s="111"/>
      <c r="E598" s="217"/>
      <c r="F598" s="218"/>
      <c r="G598" s="219"/>
      <c r="H598" s="219"/>
      <c r="I598" s="220"/>
      <c r="J598" s="220"/>
      <c r="K598" s="221"/>
      <c r="L598" s="222"/>
      <c r="M598" s="221"/>
      <c r="N598" s="218"/>
      <c r="O598" s="219"/>
      <c r="P598" s="111"/>
      <c r="Q598" s="223"/>
      <c r="R598" s="218"/>
      <c r="S598" s="111"/>
    </row>
    <row r="599" ht="21.0" customHeight="1">
      <c r="A599" s="216"/>
      <c r="B599" s="111"/>
      <c r="C599" s="111"/>
      <c r="D599" s="111"/>
      <c r="E599" s="217"/>
      <c r="F599" s="218"/>
      <c r="G599" s="219"/>
      <c r="H599" s="219"/>
      <c r="I599" s="220"/>
      <c r="J599" s="220"/>
      <c r="K599" s="221"/>
      <c r="L599" s="222"/>
      <c r="M599" s="221"/>
      <c r="N599" s="218"/>
      <c r="O599" s="219"/>
      <c r="P599" s="111"/>
      <c r="Q599" s="223"/>
      <c r="R599" s="218"/>
      <c r="S599" s="111"/>
    </row>
    <row r="600" ht="21.0" customHeight="1">
      <c r="A600" s="216"/>
      <c r="B600" s="111"/>
      <c r="C600" s="111"/>
      <c r="D600" s="111"/>
      <c r="E600" s="217"/>
      <c r="F600" s="218"/>
      <c r="G600" s="219"/>
      <c r="H600" s="219"/>
      <c r="I600" s="220"/>
      <c r="J600" s="220"/>
      <c r="K600" s="221"/>
      <c r="L600" s="222"/>
      <c r="M600" s="221"/>
      <c r="N600" s="218"/>
      <c r="O600" s="219"/>
      <c r="P600" s="111"/>
      <c r="Q600" s="223"/>
      <c r="R600" s="218"/>
      <c r="S600" s="111"/>
    </row>
    <row r="601" ht="21.0" customHeight="1">
      <c r="A601" s="216"/>
      <c r="B601" s="111"/>
      <c r="C601" s="111"/>
      <c r="D601" s="111"/>
      <c r="E601" s="217"/>
      <c r="F601" s="218"/>
      <c r="G601" s="219"/>
      <c r="H601" s="219"/>
      <c r="I601" s="220"/>
      <c r="J601" s="220"/>
      <c r="K601" s="221"/>
      <c r="L601" s="222"/>
      <c r="M601" s="221"/>
      <c r="N601" s="218"/>
      <c r="O601" s="219"/>
      <c r="P601" s="111"/>
      <c r="Q601" s="223"/>
      <c r="R601" s="218"/>
      <c r="S601" s="111"/>
    </row>
    <row r="602" ht="21.0" customHeight="1">
      <c r="A602" s="216"/>
      <c r="B602" s="111"/>
      <c r="C602" s="111"/>
      <c r="D602" s="111"/>
      <c r="E602" s="217"/>
      <c r="F602" s="218"/>
      <c r="G602" s="219"/>
      <c r="H602" s="219"/>
      <c r="I602" s="220"/>
      <c r="J602" s="220"/>
      <c r="K602" s="221"/>
      <c r="L602" s="222"/>
      <c r="M602" s="221"/>
      <c r="N602" s="218"/>
      <c r="O602" s="219"/>
      <c r="P602" s="111"/>
      <c r="Q602" s="223"/>
      <c r="R602" s="218"/>
      <c r="S602" s="111"/>
    </row>
    <row r="603" ht="21.0" customHeight="1">
      <c r="A603" s="216"/>
      <c r="B603" s="111"/>
      <c r="C603" s="111"/>
      <c r="D603" s="111"/>
      <c r="E603" s="217"/>
      <c r="F603" s="218"/>
      <c r="G603" s="219"/>
      <c r="H603" s="219"/>
      <c r="I603" s="220"/>
      <c r="J603" s="220"/>
      <c r="K603" s="221"/>
      <c r="L603" s="222"/>
      <c r="M603" s="221"/>
      <c r="N603" s="218"/>
      <c r="O603" s="219"/>
      <c r="P603" s="111"/>
      <c r="Q603" s="223"/>
      <c r="R603" s="218"/>
      <c r="S603" s="111"/>
    </row>
    <row r="604" ht="21.0" customHeight="1">
      <c r="A604" s="216"/>
      <c r="B604" s="111"/>
      <c r="C604" s="111"/>
      <c r="D604" s="111"/>
      <c r="E604" s="217"/>
      <c r="F604" s="218"/>
      <c r="G604" s="219"/>
      <c r="H604" s="219"/>
      <c r="I604" s="220"/>
      <c r="J604" s="220"/>
      <c r="K604" s="221"/>
      <c r="L604" s="222"/>
      <c r="M604" s="221"/>
      <c r="N604" s="218"/>
      <c r="O604" s="219"/>
      <c r="P604" s="111"/>
      <c r="Q604" s="223"/>
      <c r="R604" s="218"/>
      <c r="S604" s="111"/>
    </row>
    <row r="605" ht="21.0" customHeight="1">
      <c r="A605" s="216"/>
      <c r="B605" s="111"/>
      <c r="C605" s="111"/>
      <c r="D605" s="111"/>
      <c r="E605" s="217"/>
      <c r="F605" s="218"/>
      <c r="G605" s="219"/>
      <c r="H605" s="219"/>
      <c r="I605" s="220"/>
      <c r="J605" s="220"/>
      <c r="K605" s="221"/>
      <c r="L605" s="222"/>
      <c r="M605" s="221"/>
      <c r="N605" s="218"/>
      <c r="O605" s="219"/>
      <c r="P605" s="111"/>
      <c r="Q605" s="223"/>
      <c r="R605" s="218"/>
      <c r="S605" s="111"/>
    </row>
    <row r="606" ht="21.0" customHeight="1">
      <c r="A606" s="216"/>
      <c r="B606" s="111"/>
      <c r="C606" s="111"/>
      <c r="D606" s="111"/>
      <c r="E606" s="217"/>
      <c r="F606" s="218"/>
      <c r="G606" s="219"/>
      <c r="H606" s="219"/>
      <c r="I606" s="220"/>
      <c r="J606" s="220"/>
      <c r="K606" s="221"/>
      <c r="L606" s="222"/>
      <c r="M606" s="221"/>
      <c r="N606" s="218"/>
      <c r="O606" s="219"/>
      <c r="P606" s="111"/>
      <c r="Q606" s="223"/>
      <c r="R606" s="218"/>
      <c r="S606" s="111"/>
    </row>
    <row r="607" ht="21.0" customHeight="1">
      <c r="A607" s="216"/>
      <c r="B607" s="111"/>
      <c r="C607" s="111"/>
      <c r="D607" s="111"/>
      <c r="E607" s="217"/>
      <c r="F607" s="218"/>
      <c r="G607" s="219"/>
      <c r="H607" s="219"/>
      <c r="I607" s="220"/>
      <c r="J607" s="220"/>
      <c r="K607" s="221"/>
      <c r="L607" s="222"/>
      <c r="M607" s="221"/>
      <c r="N607" s="218"/>
      <c r="O607" s="219"/>
      <c r="P607" s="111"/>
      <c r="Q607" s="223"/>
      <c r="R607" s="218"/>
      <c r="S607" s="111"/>
    </row>
    <row r="608" ht="21.0" customHeight="1">
      <c r="A608" s="216"/>
      <c r="B608" s="111"/>
      <c r="C608" s="111"/>
      <c r="D608" s="111"/>
      <c r="E608" s="217"/>
      <c r="F608" s="218"/>
      <c r="G608" s="219"/>
      <c r="H608" s="219"/>
      <c r="I608" s="220"/>
      <c r="J608" s="220"/>
      <c r="K608" s="221"/>
      <c r="L608" s="222"/>
      <c r="M608" s="221"/>
      <c r="N608" s="218"/>
      <c r="O608" s="219"/>
      <c r="P608" s="111"/>
      <c r="Q608" s="223"/>
      <c r="R608" s="218"/>
      <c r="S608" s="111"/>
    </row>
    <row r="609" ht="21.0" customHeight="1">
      <c r="A609" s="216"/>
      <c r="B609" s="111"/>
      <c r="C609" s="111"/>
      <c r="D609" s="111"/>
      <c r="E609" s="217"/>
      <c r="F609" s="218"/>
      <c r="G609" s="219"/>
      <c r="H609" s="219"/>
      <c r="I609" s="220"/>
      <c r="J609" s="220"/>
      <c r="K609" s="221"/>
      <c r="L609" s="222"/>
      <c r="M609" s="221"/>
      <c r="N609" s="218"/>
      <c r="O609" s="219"/>
      <c r="P609" s="111"/>
      <c r="Q609" s="223"/>
      <c r="R609" s="218"/>
      <c r="S609" s="111"/>
    </row>
    <row r="610" ht="21.0" customHeight="1">
      <c r="A610" s="216"/>
      <c r="B610" s="111"/>
      <c r="C610" s="111"/>
      <c r="D610" s="111"/>
      <c r="E610" s="217"/>
      <c r="F610" s="218"/>
      <c r="G610" s="219"/>
      <c r="H610" s="219"/>
      <c r="I610" s="220"/>
      <c r="J610" s="220"/>
      <c r="K610" s="221"/>
      <c r="L610" s="222"/>
      <c r="M610" s="221"/>
      <c r="N610" s="218"/>
      <c r="O610" s="219"/>
      <c r="P610" s="111"/>
      <c r="Q610" s="223"/>
      <c r="R610" s="218"/>
      <c r="S610" s="111"/>
    </row>
    <row r="611" ht="21.0" customHeight="1">
      <c r="A611" s="216"/>
      <c r="B611" s="111"/>
      <c r="C611" s="111"/>
      <c r="D611" s="111"/>
      <c r="E611" s="217"/>
      <c r="F611" s="218"/>
      <c r="G611" s="219"/>
      <c r="H611" s="219"/>
      <c r="I611" s="220"/>
      <c r="J611" s="220"/>
      <c r="K611" s="221"/>
      <c r="L611" s="222"/>
      <c r="M611" s="221"/>
      <c r="N611" s="218"/>
      <c r="O611" s="219"/>
      <c r="P611" s="111"/>
      <c r="Q611" s="223"/>
      <c r="R611" s="218"/>
      <c r="S611" s="111"/>
    </row>
    <row r="612" ht="21.0" customHeight="1">
      <c r="A612" s="216"/>
      <c r="B612" s="111"/>
      <c r="C612" s="111"/>
      <c r="D612" s="111"/>
      <c r="E612" s="217"/>
      <c r="F612" s="218"/>
      <c r="G612" s="219"/>
      <c r="H612" s="219"/>
      <c r="I612" s="220"/>
      <c r="J612" s="220"/>
      <c r="K612" s="221"/>
      <c r="L612" s="222"/>
      <c r="M612" s="221"/>
      <c r="N612" s="218"/>
      <c r="O612" s="219"/>
      <c r="P612" s="111"/>
      <c r="Q612" s="223"/>
      <c r="R612" s="218"/>
      <c r="S612" s="111"/>
    </row>
    <row r="613" ht="21.0" customHeight="1">
      <c r="A613" s="216"/>
      <c r="B613" s="111"/>
      <c r="C613" s="111"/>
      <c r="D613" s="111"/>
      <c r="E613" s="217"/>
      <c r="F613" s="218"/>
      <c r="G613" s="219"/>
      <c r="H613" s="219"/>
      <c r="I613" s="220"/>
      <c r="J613" s="220"/>
      <c r="K613" s="221"/>
      <c r="L613" s="222"/>
      <c r="M613" s="221"/>
      <c r="N613" s="218"/>
      <c r="O613" s="219"/>
      <c r="P613" s="111"/>
      <c r="Q613" s="223"/>
      <c r="R613" s="218"/>
      <c r="S613" s="111"/>
    </row>
    <row r="614" ht="21.0" customHeight="1">
      <c r="A614" s="216"/>
      <c r="B614" s="111"/>
      <c r="C614" s="111"/>
      <c r="D614" s="111"/>
      <c r="E614" s="217"/>
      <c r="F614" s="218"/>
      <c r="G614" s="219"/>
      <c r="H614" s="219"/>
      <c r="I614" s="220"/>
      <c r="J614" s="220"/>
      <c r="K614" s="221"/>
      <c r="L614" s="222"/>
      <c r="M614" s="221"/>
      <c r="N614" s="218"/>
      <c r="O614" s="219"/>
      <c r="P614" s="111"/>
      <c r="Q614" s="223"/>
      <c r="R614" s="218"/>
      <c r="S614" s="111"/>
    </row>
    <row r="615" ht="21.0" customHeight="1">
      <c r="A615" s="216"/>
      <c r="B615" s="111"/>
      <c r="C615" s="111"/>
      <c r="D615" s="111"/>
      <c r="E615" s="217"/>
      <c r="F615" s="218"/>
      <c r="G615" s="219"/>
      <c r="H615" s="219"/>
      <c r="I615" s="220"/>
      <c r="J615" s="220"/>
      <c r="K615" s="221"/>
      <c r="L615" s="222"/>
      <c r="M615" s="221"/>
      <c r="N615" s="218"/>
      <c r="O615" s="219"/>
      <c r="P615" s="111"/>
      <c r="Q615" s="223"/>
      <c r="R615" s="218"/>
      <c r="S615" s="111"/>
    </row>
    <row r="616" ht="21.0" customHeight="1">
      <c r="A616" s="216"/>
      <c r="B616" s="111"/>
      <c r="C616" s="111"/>
      <c r="D616" s="111"/>
      <c r="E616" s="217"/>
      <c r="F616" s="218"/>
      <c r="G616" s="219"/>
      <c r="H616" s="219"/>
      <c r="I616" s="220"/>
      <c r="J616" s="220"/>
      <c r="K616" s="221"/>
      <c r="L616" s="222"/>
      <c r="M616" s="221"/>
      <c r="N616" s="218"/>
      <c r="O616" s="219"/>
      <c r="P616" s="111"/>
      <c r="Q616" s="223"/>
      <c r="R616" s="218"/>
      <c r="S616" s="111"/>
    </row>
    <row r="617" ht="21.0" customHeight="1">
      <c r="A617" s="216"/>
      <c r="B617" s="111"/>
      <c r="C617" s="111"/>
      <c r="D617" s="111"/>
      <c r="E617" s="217"/>
      <c r="F617" s="218"/>
      <c r="G617" s="219"/>
      <c r="H617" s="219"/>
      <c r="I617" s="220"/>
      <c r="J617" s="220"/>
      <c r="K617" s="221"/>
      <c r="L617" s="222"/>
      <c r="M617" s="221"/>
      <c r="N617" s="218"/>
      <c r="O617" s="219"/>
      <c r="P617" s="111"/>
      <c r="Q617" s="223"/>
      <c r="R617" s="218"/>
      <c r="S617" s="111"/>
    </row>
    <row r="618" ht="21.0" customHeight="1">
      <c r="A618" s="216"/>
      <c r="B618" s="111"/>
      <c r="C618" s="111"/>
      <c r="D618" s="111"/>
      <c r="E618" s="217"/>
      <c r="F618" s="218"/>
      <c r="G618" s="219"/>
      <c r="H618" s="219"/>
      <c r="I618" s="220"/>
      <c r="J618" s="220"/>
      <c r="K618" s="221"/>
      <c r="L618" s="222"/>
      <c r="M618" s="221"/>
      <c r="N618" s="218"/>
      <c r="O618" s="219"/>
      <c r="P618" s="111"/>
      <c r="Q618" s="223"/>
      <c r="R618" s="218"/>
      <c r="S618" s="111"/>
    </row>
    <row r="619" ht="21.0" customHeight="1">
      <c r="A619" s="216"/>
      <c r="B619" s="111"/>
      <c r="C619" s="111"/>
      <c r="D619" s="111"/>
      <c r="E619" s="217"/>
      <c r="F619" s="218"/>
      <c r="G619" s="219"/>
      <c r="H619" s="219"/>
      <c r="I619" s="220"/>
      <c r="J619" s="220"/>
      <c r="K619" s="221"/>
      <c r="L619" s="222"/>
      <c r="M619" s="221"/>
      <c r="N619" s="218"/>
      <c r="O619" s="219"/>
      <c r="P619" s="111"/>
      <c r="Q619" s="223"/>
      <c r="R619" s="218"/>
      <c r="S619" s="111"/>
    </row>
    <row r="620" ht="21.0" customHeight="1">
      <c r="A620" s="216"/>
      <c r="B620" s="111"/>
      <c r="C620" s="111"/>
      <c r="D620" s="111"/>
      <c r="E620" s="217"/>
      <c r="F620" s="218"/>
      <c r="G620" s="219"/>
      <c r="H620" s="219"/>
      <c r="I620" s="220"/>
      <c r="J620" s="220"/>
      <c r="K620" s="221"/>
      <c r="L620" s="222"/>
      <c r="M620" s="221"/>
      <c r="N620" s="218"/>
      <c r="O620" s="219"/>
      <c r="P620" s="111"/>
      <c r="Q620" s="223"/>
      <c r="R620" s="218"/>
      <c r="S620" s="111"/>
    </row>
    <row r="621" ht="21.0" customHeight="1">
      <c r="A621" s="216"/>
      <c r="B621" s="111"/>
      <c r="C621" s="111"/>
      <c r="D621" s="111"/>
      <c r="E621" s="217"/>
      <c r="F621" s="218"/>
      <c r="G621" s="219"/>
      <c r="H621" s="219"/>
      <c r="I621" s="220"/>
      <c r="J621" s="220"/>
      <c r="K621" s="221"/>
      <c r="L621" s="222"/>
      <c r="M621" s="221"/>
      <c r="N621" s="218"/>
      <c r="O621" s="219"/>
      <c r="P621" s="111"/>
      <c r="Q621" s="223"/>
      <c r="R621" s="218"/>
      <c r="S621" s="111"/>
    </row>
    <row r="622" ht="21.0" customHeight="1">
      <c r="A622" s="216"/>
      <c r="B622" s="111"/>
      <c r="C622" s="111"/>
      <c r="D622" s="111"/>
      <c r="E622" s="217"/>
      <c r="F622" s="218"/>
      <c r="G622" s="219"/>
      <c r="H622" s="219"/>
      <c r="I622" s="220"/>
      <c r="J622" s="220"/>
      <c r="K622" s="221"/>
      <c r="L622" s="222"/>
      <c r="M622" s="221"/>
      <c r="N622" s="218"/>
      <c r="O622" s="219"/>
      <c r="P622" s="111"/>
      <c r="Q622" s="223"/>
      <c r="R622" s="218"/>
      <c r="S622" s="111"/>
    </row>
    <row r="623" ht="21.0" customHeight="1">
      <c r="A623" s="216"/>
      <c r="B623" s="111"/>
      <c r="C623" s="111"/>
      <c r="D623" s="111"/>
      <c r="E623" s="217"/>
      <c r="F623" s="218"/>
      <c r="G623" s="219"/>
      <c r="H623" s="219"/>
      <c r="I623" s="220"/>
      <c r="J623" s="220"/>
      <c r="K623" s="221"/>
      <c r="L623" s="222"/>
      <c r="M623" s="221"/>
      <c r="N623" s="218"/>
      <c r="O623" s="219"/>
      <c r="P623" s="111"/>
      <c r="Q623" s="223"/>
      <c r="R623" s="218"/>
      <c r="S623" s="111"/>
    </row>
    <row r="624" ht="21.0" customHeight="1">
      <c r="A624" s="216"/>
      <c r="B624" s="111"/>
      <c r="C624" s="111"/>
      <c r="D624" s="111"/>
      <c r="E624" s="217"/>
      <c r="F624" s="218"/>
      <c r="G624" s="219"/>
      <c r="H624" s="219"/>
      <c r="I624" s="220"/>
      <c r="J624" s="220"/>
      <c r="K624" s="221"/>
      <c r="L624" s="222"/>
      <c r="M624" s="221"/>
      <c r="N624" s="218"/>
      <c r="O624" s="219"/>
      <c r="P624" s="111"/>
      <c r="Q624" s="223"/>
      <c r="R624" s="218"/>
      <c r="S624" s="111"/>
    </row>
    <row r="625" ht="21.0" customHeight="1">
      <c r="A625" s="216"/>
      <c r="B625" s="111"/>
      <c r="C625" s="111"/>
      <c r="D625" s="111"/>
      <c r="E625" s="217"/>
      <c r="F625" s="218"/>
      <c r="G625" s="219"/>
      <c r="H625" s="219"/>
      <c r="I625" s="220"/>
      <c r="J625" s="220"/>
      <c r="K625" s="221"/>
      <c r="L625" s="222"/>
      <c r="M625" s="221"/>
      <c r="N625" s="218"/>
      <c r="O625" s="219"/>
      <c r="P625" s="111"/>
      <c r="Q625" s="223"/>
      <c r="R625" s="218"/>
      <c r="S625" s="111"/>
    </row>
    <row r="626" ht="21.0" customHeight="1">
      <c r="A626" s="216"/>
      <c r="B626" s="111"/>
      <c r="C626" s="111"/>
      <c r="D626" s="111"/>
      <c r="E626" s="217"/>
      <c r="F626" s="218"/>
      <c r="G626" s="219"/>
      <c r="H626" s="219"/>
      <c r="I626" s="220"/>
      <c r="J626" s="220"/>
      <c r="K626" s="221"/>
      <c r="L626" s="222"/>
      <c r="M626" s="221"/>
      <c r="N626" s="218"/>
      <c r="O626" s="219"/>
      <c r="P626" s="111"/>
      <c r="Q626" s="223"/>
      <c r="R626" s="218"/>
      <c r="S626" s="111"/>
    </row>
    <row r="627" ht="21.0" customHeight="1">
      <c r="A627" s="216"/>
      <c r="B627" s="111"/>
      <c r="C627" s="111"/>
      <c r="D627" s="111"/>
      <c r="E627" s="217"/>
      <c r="F627" s="218"/>
      <c r="G627" s="219"/>
      <c r="H627" s="219"/>
      <c r="I627" s="220"/>
      <c r="J627" s="220"/>
      <c r="K627" s="221"/>
      <c r="L627" s="222"/>
      <c r="M627" s="221"/>
      <c r="N627" s="218"/>
      <c r="O627" s="219"/>
      <c r="P627" s="111"/>
      <c r="Q627" s="223"/>
      <c r="R627" s="218"/>
      <c r="S627" s="111"/>
    </row>
    <row r="628" ht="21.0" customHeight="1">
      <c r="A628" s="216"/>
      <c r="B628" s="111"/>
      <c r="C628" s="111"/>
      <c r="D628" s="111"/>
      <c r="E628" s="217"/>
      <c r="F628" s="218"/>
      <c r="G628" s="219"/>
      <c r="H628" s="219"/>
      <c r="I628" s="220"/>
      <c r="J628" s="220"/>
      <c r="K628" s="221"/>
      <c r="L628" s="222"/>
      <c r="M628" s="221"/>
      <c r="N628" s="218"/>
      <c r="O628" s="219"/>
      <c r="P628" s="111"/>
      <c r="Q628" s="223"/>
      <c r="R628" s="218"/>
      <c r="S628" s="111"/>
    </row>
    <row r="629" ht="21.0" customHeight="1">
      <c r="A629" s="216"/>
      <c r="B629" s="111"/>
      <c r="C629" s="111"/>
      <c r="D629" s="111"/>
      <c r="E629" s="217"/>
      <c r="F629" s="218"/>
      <c r="G629" s="219"/>
      <c r="H629" s="219"/>
      <c r="I629" s="220"/>
      <c r="J629" s="220"/>
      <c r="K629" s="221"/>
      <c r="L629" s="222"/>
      <c r="M629" s="221"/>
      <c r="N629" s="218"/>
      <c r="O629" s="219"/>
      <c r="P629" s="111"/>
      <c r="Q629" s="223"/>
      <c r="R629" s="218"/>
      <c r="S629" s="111"/>
    </row>
    <row r="630" ht="21.0" customHeight="1">
      <c r="A630" s="216"/>
      <c r="B630" s="111"/>
      <c r="C630" s="111"/>
      <c r="D630" s="111"/>
      <c r="E630" s="217"/>
      <c r="F630" s="218"/>
      <c r="G630" s="219"/>
      <c r="H630" s="219"/>
      <c r="I630" s="220"/>
      <c r="J630" s="220"/>
      <c r="K630" s="221"/>
      <c r="L630" s="222"/>
      <c r="M630" s="221"/>
      <c r="N630" s="218"/>
      <c r="O630" s="219"/>
      <c r="P630" s="111"/>
      <c r="Q630" s="223"/>
      <c r="R630" s="218"/>
      <c r="S630" s="111"/>
    </row>
    <row r="631" ht="21.0" customHeight="1">
      <c r="A631" s="216"/>
      <c r="B631" s="111"/>
      <c r="C631" s="111"/>
      <c r="D631" s="111"/>
      <c r="E631" s="217"/>
      <c r="F631" s="218"/>
      <c r="G631" s="219"/>
      <c r="H631" s="219"/>
      <c r="I631" s="220"/>
      <c r="J631" s="220"/>
      <c r="K631" s="221"/>
      <c r="L631" s="222"/>
      <c r="M631" s="221"/>
      <c r="N631" s="218"/>
      <c r="O631" s="219"/>
      <c r="P631" s="111"/>
      <c r="Q631" s="223"/>
      <c r="R631" s="218"/>
      <c r="S631" s="111"/>
    </row>
    <row r="632" ht="21.0" customHeight="1">
      <c r="A632" s="216"/>
      <c r="B632" s="111"/>
      <c r="C632" s="111"/>
      <c r="D632" s="111"/>
      <c r="E632" s="217"/>
      <c r="F632" s="218"/>
      <c r="G632" s="219"/>
      <c r="H632" s="219"/>
      <c r="I632" s="220"/>
      <c r="J632" s="220"/>
      <c r="K632" s="221"/>
      <c r="L632" s="222"/>
      <c r="M632" s="221"/>
      <c r="N632" s="218"/>
      <c r="O632" s="219"/>
      <c r="P632" s="111"/>
      <c r="Q632" s="223"/>
      <c r="R632" s="218"/>
      <c r="S632" s="111"/>
    </row>
    <row r="633" ht="21.0" customHeight="1">
      <c r="A633" s="216"/>
      <c r="B633" s="111"/>
      <c r="C633" s="111"/>
      <c r="D633" s="111"/>
      <c r="E633" s="217"/>
      <c r="F633" s="218"/>
      <c r="G633" s="219"/>
      <c r="H633" s="219"/>
      <c r="I633" s="220"/>
      <c r="J633" s="220"/>
      <c r="K633" s="221"/>
      <c r="L633" s="222"/>
      <c r="M633" s="221"/>
      <c r="N633" s="218"/>
      <c r="O633" s="219"/>
      <c r="P633" s="111"/>
      <c r="Q633" s="223"/>
      <c r="R633" s="218"/>
      <c r="S633" s="111"/>
    </row>
    <row r="634" ht="21.0" customHeight="1">
      <c r="A634" s="216"/>
      <c r="B634" s="111"/>
      <c r="C634" s="111"/>
      <c r="D634" s="111"/>
      <c r="E634" s="217"/>
      <c r="F634" s="218"/>
      <c r="G634" s="219"/>
      <c r="H634" s="219"/>
      <c r="I634" s="220"/>
      <c r="J634" s="220"/>
      <c r="K634" s="221"/>
      <c r="L634" s="222"/>
      <c r="M634" s="221"/>
      <c r="N634" s="218"/>
      <c r="O634" s="219"/>
      <c r="P634" s="111"/>
      <c r="Q634" s="223"/>
      <c r="R634" s="218"/>
      <c r="S634" s="111"/>
    </row>
    <row r="635" ht="21.0" customHeight="1">
      <c r="A635" s="216"/>
      <c r="B635" s="111"/>
      <c r="C635" s="111"/>
      <c r="D635" s="111"/>
      <c r="E635" s="217"/>
      <c r="F635" s="218"/>
      <c r="G635" s="219"/>
      <c r="H635" s="219"/>
      <c r="I635" s="220"/>
      <c r="J635" s="220"/>
      <c r="K635" s="221"/>
      <c r="L635" s="222"/>
      <c r="M635" s="221"/>
      <c r="N635" s="218"/>
      <c r="O635" s="219"/>
      <c r="P635" s="111"/>
      <c r="Q635" s="223"/>
      <c r="R635" s="218"/>
      <c r="S635" s="111"/>
    </row>
    <row r="636" ht="21.0" customHeight="1">
      <c r="A636" s="216"/>
      <c r="B636" s="111"/>
      <c r="C636" s="111"/>
      <c r="D636" s="111"/>
      <c r="E636" s="217"/>
      <c r="F636" s="218"/>
      <c r="G636" s="219"/>
      <c r="H636" s="219"/>
      <c r="I636" s="220"/>
      <c r="J636" s="220"/>
      <c r="K636" s="221"/>
      <c r="L636" s="222"/>
      <c r="M636" s="221"/>
      <c r="N636" s="218"/>
      <c r="O636" s="219"/>
      <c r="P636" s="111"/>
      <c r="Q636" s="223"/>
      <c r="R636" s="218"/>
      <c r="S636" s="111"/>
    </row>
    <row r="637" ht="21.0" customHeight="1">
      <c r="A637" s="216"/>
      <c r="B637" s="111"/>
      <c r="C637" s="111"/>
      <c r="D637" s="111"/>
      <c r="E637" s="217"/>
      <c r="F637" s="218"/>
      <c r="G637" s="219"/>
      <c r="H637" s="219"/>
      <c r="I637" s="220"/>
      <c r="J637" s="220"/>
      <c r="K637" s="221"/>
      <c r="L637" s="222"/>
      <c r="M637" s="221"/>
      <c r="N637" s="218"/>
      <c r="O637" s="219"/>
      <c r="P637" s="111"/>
      <c r="Q637" s="223"/>
      <c r="R637" s="218"/>
      <c r="S637" s="111"/>
    </row>
    <row r="638" ht="21.0" customHeight="1">
      <c r="A638" s="216"/>
      <c r="B638" s="111"/>
      <c r="C638" s="111"/>
      <c r="D638" s="111"/>
      <c r="E638" s="217"/>
      <c r="F638" s="218"/>
      <c r="G638" s="219"/>
      <c r="H638" s="219"/>
      <c r="I638" s="220"/>
      <c r="J638" s="220"/>
      <c r="K638" s="221"/>
      <c r="L638" s="222"/>
      <c r="M638" s="221"/>
      <c r="N638" s="218"/>
      <c r="O638" s="219"/>
      <c r="P638" s="111"/>
      <c r="Q638" s="223"/>
      <c r="R638" s="218"/>
      <c r="S638" s="111"/>
    </row>
    <row r="639" ht="21.0" customHeight="1">
      <c r="A639" s="216"/>
      <c r="B639" s="111"/>
      <c r="C639" s="111"/>
      <c r="D639" s="111"/>
      <c r="E639" s="217"/>
      <c r="F639" s="218"/>
      <c r="G639" s="219"/>
      <c r="H639" s="219"/>
      <c r="I639" s="220"/>
      <c r="J639" s="220"/>
      <c r="K639" s="221"/>
      <c r="L639" s="222"/>
      <c r="M639" s="221"/>
      <c r="N639" s="218"/>
      <c r="O639" s="219"/>
      <c r="P639" s="111"/>
      <c r="Q639" s="223"/>
      <c r="R639" s="218"/>
      <c r="S639" s="111"/>
    </row>
    <row r="640" ht="21.0" customHeight="1">
      <c r="A640" s="216"/>
      <c r="B640" s="111"/>
      <c r="C640" s="111"/>
      <c r="D640" s="111"/>
      <c r="E640" s="217"/>
      <c r="F640" s="218"/>
      <c r="G640" s="219"/>
      <c r="H640" s="219"/>
      <c r="I640" s="220"/>
      <c r="J640" s="220"/>
      <c r="K640" s="221"/>
      <c r="L640" s="222"/>
      <c r="M640" s="221"/>
      <c r="N640" s="218"/>
      <c r="O640" s="219"/>
      <c r="P640" s="111"/>
      <c r="Q640" s="223"/>
      <c r="R640" s="218"/>
      <c r="S640" s="111"/>
    </row>
    <row r="641" ht="21.0" customHeight="1">
      <c r="A641" s="216"/>
      <c r="B641" s="111"/>
      <c r="C641" s="111"/>
      <c r="D641" s="111"/>
      <c r="E641" s="217"/>
      <c r="F641" s="218"/>
      <c r="G641" s="219"/>
      <c r="H641" s="219"/>
      <c r="I641" s="220"/>
      <c r="J641" s="220"/>
      <c r="K641" s="221"/>
      <c r="L641" s="222"/>
      <c r="M641" s="221"/>
      <c r="N641" s="218"/>
      <c r="O641" s="219"/>
      <c r="P641" s="111"/>
      <c r="Q641" s="223"/>
      <c r="R641" s="218"/>
      <c r="S641" s="111"/>
    </row>
    <row r="642" ht="21.0" customHeight="1">
      <c r="A642" s="216"/>
      <c r="B642" s="111"/>
      <c r="C642" s="111"/>
      <c r="D642" s="111"/>
      <c r="E642" s="217"/>
      <c r="F642" s="218"/>
      <c r="G642" s="219"/>
      <c r="H642" s="219"/>
      <c r="I642" s="220"/>
      <c r="J642" s="220"/>
      <c r="K642" s="221"/>
      <c r="L642" s="222"/>
      <c r="M642" s="221"/>
      <c r="N642" s="218"/>
      <c r="O642" s="219"/>
      <c r="P642" s="111"/>
      <c r="Q642" s="223"/>
      <c r="R642" s="218"/>
      <c r="S642" s="111"/>
    </row>
    <row r="643" ht="21.0" customHeight="1">
      <c r="A643" s="216"/>
      <c r="B643" s="111"/>
      <c r="C643" s="111"/>
      <c r="D643" s="111"/>
      <c r="E643" s="217"/>
      <c r="F643" s="218"/>
      <c r="G643" s="219"/>
      <c r="H643" s="219"/>
      <c r="I643" s="220"/>
      <c r="J643" s="220"/>
      <c r="K643" s="221"/>
      <c r="L643" s="222"/>
      <c r="M643" s="221"/>
      <c r="N643" s="218"/>
      <c r="O643" s="219"/>
      <c r="P643" s="111"/>
      <c r="Q643" s="223"/>
      <c r="R643" s="218"/>
      <c r="S643" s="111"/>
    </row>
    <row r="644" ht="21.0" customHeight="1">
      <c r="A644" s="216"/>
      <c r="B644" s="111"/>
      <c r="C644" s="111"/>
      <c r="D644" s="111"/>
      <c r="E644" s="217"/>
      <c r="F644" s="218"/>
      <c r="G644" s="219"/>
      <c r="H644" s="219"/>
      <c r="I644" s="220"/>
      <c r="J644" s="220"/>
      <c r="K644" s="221"/>
      <c r="L644" s="222"/>
      <c r="M644" s="221"/>
      <c r="N644" s="218"/>
      <c r="O644" s="219"/>
      <c r="P644" s="111"/>
      <c r="Q644" s="223"/>
      <c r="R644" s="218"/>
      <c r="S644" s="111"/>
    </row>
    <row r="645" ht="21.0" customHeight="1">
      <c r="A645" s="216"/>
      <c r="B645" s="111"/>
      <c r="C645" s="111"/>
      <c r="D645" s="111"/>
      <c r="E645" s="217"/>
      <c r="F645" s="218"/>
      <c r="G645" s="219"/>
      <c r="H645" s="219"/>
      <c r="I645" s="220"/>
      <c r="J645" s="220"/>
      <c r="K645" s="221"/>
      <c r="L645" s="222"/>
      <c r="M645" s="221"/>
      <c r="N645" s="218"/>
      <c r="O645" s="219"/>
      <c r="P645" s="111"/>
      <c r="Q645" s="223"/>
      <c r="R645" s="218"/>
      <c r="S645" s="111"/>
    </row>
    <row r="646" ht="21.0" customHeight="1">
      <c r="A646" s="216"/>
      <c r="B646" s="111"/>
      <c r="C646" s="111"/>
      <c r="D646" s="111"/>
      <c r="E646" s="217"/>
      <c r="F646" s="218"/>
      <c r="G646" s="219"/>
      <c r="H646" s="219"/>
      <c r="I646" s="220"/>
      <c r="J646" s="220"/>
      <c r="K646" s="221"/>
      <c r="L646" s="222"/>
      <c r="M646" s="221"/>
      <c r="N646" s="218"/>
      <c r="O646" s="219"/>
      <c r="P646" s="111"/>
      <c r="Q646" s="223"/>
      <c r="R646" s="218"/>
      <c r="S646" s="111"/>
    </row>
    <row r="647" ht="21.0" customHeight="1">
      <c r="A647" s="216"/>
      <c r="B647" s="111"/>
      <c r="C647" s="111"/>
      <c r="D647" s="111"/>
      <c r="E647" s="217"/>
      <c r="F647" s="218"/>
      <c r="G647" s="219"/>
      <c r="H647" s="219"/>
      <c r="I647" s="220"/>
      <c r="J647" s="220"/>
      <c r="K647" s="221"/>
      <c r="L647" s="222"/>
      <c r="M647" s="221"/>
      <c r="N647" s="218"/>
      <c r="O647" s="219"/>
      <c r="P647" s="111"/>
      <c r="Q647" s="223"/>
      <c r="R647" s="218"/>
      <c r="S647" s="111"/>
    </row>
    <row r="648" ht="21.0" customHeight="1">
      <c r="A648" s="216"/>
      <c r="B648" s="111"/>
      <c r="C648" s="111"/>
      <c r="D648" s="111"/>
      <c r="E648" s="217"/>
      <c r="F648" s="218"/>
      <c r="G648" s="219"/>
      <c r="H648" s="219"/>
      <c r="I648" s="220"/>
      <c r="J648" s="220"/>
      <c r="K648" s="221"/>
      <c r="L648" s="222"/>
      <c r="M648" s="221"/>
      <c r="N648" s="218"/>
      <c r="O648" s="219"/>
      <c r="P648" s="111"/>
      <c r="Q648" s="223"/>
      <c r="R648" s="218"/>
      <c r="S648" s="111"/>
    </row>
    <row r="649" ht="21.0" customHeight="1">
      <c r="A649" s="216"/>
      <c r="B649" s="111"/>
      <c r="C649" s="111"/>
      <c r="D649" s="111"/>
      <c r="E649" s="217"/>
      <c r="F649" s="218"/>
      <c r="G649" s="219"/>
      <c r="H649" s="219"/>
      <c r="I649" s="220"/>
      <c r="J649" s="220"/>
      <c r="K649" s="221"/>
      <c r="L649" s="222"/>
      <c r="M649" s="221"/>
      <c r="N649" s="218"/>
      <c r="O649" s="219"/>
      <c r="P649" s="111"/>
      <c r="Q649" s="223"/>
      <c r="R649" s="218"/>
      <c r="S649" s="111"/>
    </row>
    <row r="650" ht="21.0" customHeight="1">
      <c r="A650" s="216"/>
      <c r="B650" s="111"/>
      <c r="C650" s="111"/>
      <c r="D650" s="111"/>
      <c r="E650" s="217"/>
      <c r="F650" s="218"/>
      <c r="G650" s="219"/>
      <c r="H650" s="219"/>
      <c r="I650" s="220"/>
      <c r="J650" s="220"/>
      <c r="K650" s="221"/>
      <c r="L650" s="222"/>
      <c r="M650" s="221"/>
      <c r="N650" s="218"/>
      <c r="O650" s="219"/>
      <c r="P650" s="111"/>
      <c r="Q650" s="223"/>
      <c r="R650" s="218"/>
      <c r="S650" s="111"/>
    </row>
    <row r="651" ht="21.0" customHeight="1">
      <c r="A651" s="216"/>
      <c r="B651" s="111"/>
      <c r="C651" s="111"/>
      <c r="D651" s="111"/>
      <c r="E651" s="217"/>
      <c r="F651" s="218"/>
      <c r="G651" s="219"/>
      <c r="H651" s="219"/>
      <c r="I651" s="220"/>
      <c r="J651" s="220"/>
      <c r="K651" s="221"/>
      <c r="L651" s="222"/>
      <c r="M651" s="221"/>
      <c r="N651" s="218"/>
      <c r="O651" s="219"/>
      <c r="P651" s="111"/>
      <c r="Q651" s="223"/>
      <c r="R651" s="218"/>
      <c r="S651" s="111"/>
    </row>
    <row r="652" ht="21.0" customHeight="1">
      <c r="A652" s="216"/>
      <c r="B652" s="111"/>
      <c r="C652" s="111"/>
      <c r="D652" s="111"/>
      <c r="E652" s="217"/>
      <c r="F652" s="218"/>
      <c r="G652" s="219"/>
      <c r="H652" s="219"/>
      <c r="I652" s="220"/>
      <c r="J652" s="220"/>
      <c r="K652" s="221"/>
      <c r="L652" s="222"/>
      <c r="M652" s="221"/>
      <c r="N652" s="218"/>
      <c r="O652" s="219"/>
      <c r="P652" s="111"/>
      <c r="Q652" s="223"/>
      <c r="R652" s="218"/>
      <c r="S652" s="111"/>
    </row>
    <row r="653" ht="21.0" customHeight="1">
      <c r="A653" s="216"/>
      <c r="B653" s="111"/>
      <c r="C653" s="111"/>
      <c r="D653" s="111"/>
      <c r="E653" s="217"/>
      <c r="F653" s="218"/>
      <c r="G653" s="219"/>
      <c r="H653" s="219"/>
      <c r="I653" s="220"/>
      <c r="J653" s="220"/>
      <c r="K653" s="221"/>
      <c r="L653" s="222"/>
      <c r="M653" s="221"/>
      <c r="N653" s="218"/>
      <c r="O653" s="219"/>
      <c r="P653" s="111"/>
      <c r="Q653" s="223"/>
      <c r="R653" s="218"/>
      <c r="S653" s="111"/>
    </row>
    <row r="654" ht="21.0" customHeight="1">
      <c r="A654" s="216"/>
      <c r="B654" s="111"/>
      <c r="C654" s="111"/>
      <c r="D654" s="111"/>
      <c r="E654" s="217"/>
      <c r="F654" s="218"/>
      <c r="G654" s="219"/>
      <c r="H654" s="219"/>
      <c r="I654" s="220"/>
      <c r="J654" s="220"/>
      <c r="K654" s="221"/>
      <c r="L654" s="222"/>
      <c r="M654" s="221"/>
      <c r="N654" s="218"/>
      <c r="O654" s="219"/>
      <c r="P654" s="111"/>
      <c r="Q654" s="223"/>
      <c r="R654" s="218"/>
      <c r="S654" s="111"/>
    </row>
    <row r="655" ht="21.0" customHeight="1">
      <c r="A655" s="216"/>
      <c r="B655" s="111"/>
      <c r="C655" s="111"/>
      <c r="D655" s="111"/>
      <c r="E655" s="217"/>
      <c r="F655" s="218"/>
      <c r="G655" s="219"/>
      <c r="H655" s="219"/>
      <c r="I655" s="220"/>
      <c r="J655" s="220"/>
      <c r="K655" s="221"/>
      <c r="L655" s="222"/>
      <c r="M655" s="221"/>
      <c r="N655" s="218"/>
      <c r="O655" s="219"/>
      <c r="P655" s="111"/>
      <c r="Q655" s="223"/>
      <c r="R655" s="218"/>
      <c r="S655" s="111"/>
    </row>
    <row r="656" ht="21.0" customHeight="1">
      <c r="A656" s="216"/>
      <c r="B656" s="111"/>
      <c r="C656" s="111"/>
      <c r="D656" s="111"/>
      <c r="E656" s="217"/>
      <c r="F656" s="218"/>
      <c r="G656" s="219"/>
      <c r="H656" s="219"/>
      <c r="I656" s="220"/>
      <c r="J656" s="220"/>
      <c r="K656" s="221"/>
      <c r="L656" s="222"/>
      <c r="M656" s="221"/>
      <c r="N656" s="218"/>
      <c r="O656" s="219"/>
      <c r="P656" s="111"/>
      <c r="Q656" s="223"/>
      <c r="R656" s="218"/>
      <c r="S656" s="111"/>
    </row>
    <row r="657" ht="21.0" customHeight="1">
      <c r="A657" s="216"/>
      <c r="B657" s="111"/>
      <c r="C657" s="111"/>
      <c r="D657" s="111"/>
      <c r="E657" s="217"/>
      <c r="F657" s="218"/>
      <c r="G657" s="219"/>
      <c r="H657" s="219"/>
      <c r="I657" s="220"/>
      <c r="J657" s="220"/>
      <c r="K657" s="221"/>
      <c r="L657" s="222"/>
      <c r="M657" s="221"/>
      <c r="N657" s="218"/>
      <c r="O657" s="219"/>
      <c r="P657" s="111"/>
      <c r="Q657" s="223"/>
      <c r="R657" s="218"/>
      <c r="S657" s="111"/>
    </row>
    <row r="658" ht="21.0" customHeight="1">
      <c r="A658" s="216"/>
      <c r="B658" s="111"/>
      <c r="C658" s="111"/>
      <c r="D658" s="111"/>
      <c r="E658" s="217"/>
      <c r="F658" s="218"/>
      <c r="G658" s="219"/>
      <c r="H658" s="219"/>
      <c r="I658" s="220"/>
      <c r="J658" s="220"/>
      <c r="K658" s="221"/>
      <c r="L658" s="222"/>
      <c r="M658" s="221"/>
      <c r="N658" s="218"/>
      <c r="O658" s="219"/>
      <c r="P658" s="111"/>
      <c r="Q658" s="223"/>
      <c r="R658" s="218"/>
      <c r="S658" s="111"/>
    </row>
    <row r="659" ht="21.0" customHeight="1">
      <c r="A659" s="216"/>
      <c r="B659" s="111"/>
      <c r="C659" s="111"/>
      <c r="D659" s="111"/>
      <c r="E659" s="217"/>
      <c r="F659" s="218"/>
      <c r="G659" s="219"/>
      <c r="H659" s="219"/>
      <c r="I659" s="220"/>
      <c r="J659" s="220"/>
      <c r="K659" s="221"/>
      <c r="L659" s="222"/>
      <c r="M659" s="221"/>
      <c r="N659" s="218"/>
      <c r="O659" s="219"/>
      <c r="P659" s="111"/>
      <c r="Q659" s="223"/>
      <c r="R659" s="218"/>
      <c r="S659" s="111"/>
    </row>
    <row r="660" ht="21.0" customHeight="1">
      <c r="A660" s="216"/>
      <c r="B660" s="111"/>
      <c r="C660" s="111"/>
      <c r="D660" s="111"/>
      <c r="E660" s="217"/>
      <c r="F660" s="218"/>
      <c r="G660" s="219"/>
      <c r="H660" s="219"/>
      <c r="I660" s="220"/>
      <c r="J660" s="220"/>
      <c r="K660" s="221"/>
      <c r="L660" s="222"/>
      <c r="M660" s="221"/>
      <c r="N660" s="218"/>
      <c r="O660" s="219"/>
      <c r="P660" s="111"/>
      <c r="Q660" s="223"/>
      <c r="R660" s="218"/>
      <c r="S660" s="111"/>
    </row>
    <row r="661" ht="21.0" customHeight="1">
      <c r="A661" s="216"/>
      <c r="B661" s="111"/>
      <c r="C661" s="111"/>
      <c r="D661" s="111"/>
      <c r="E661" s="217"/>
      <c r="F661" s="218"/>
      <c r="G661" s="219"/>
      <c r="H661" s="219"/>
      <c r="I661" s="220"/>
      <c r="J661" s="220"/>
      <c r="K661" s="221"/>
      <c r="L661" s="222"/>
      <c r="M661" s="221"/>
      <c r="N661" s="218"/>
      <c r="O661" s="219"/>
      <c r="P661" s="111"/>
      <c r="Q661" s="223"/>
      <c r="R661" s="218"/>
      <c r="S661" s="111"/>
    </row>
    <row r="662" ht="21.0" customHeight="1">
      <c r="A662" s="216"/>
      <c r="B662" s="111"/>
      <c r="C662" s="111"/>
      <c r="D662" s="111"/>
      <c r="E662" s="217"/>
      <c r="F662" s="218"/>
      <c r="G662" s="219"/>
      <c r="H662" s="219"/>
      <c r="I662" s="220"/>
      <c r="J662" s="220"/>
      <c r="K662" s="221"/>
      <c r="L662" s="222"/>
      <c r="M662" s="221"/>
      <c r="N662" s="218"/>
      <c r="O662" s="219"/>
      <c r="P662" s="111"/>
      <c r="Q662" s="223"/>
      <c r="R662" s="218"/>
      <c r="S662" s="111"/>
    </row>
    <row r="663" ht="21.0" customHeight="1">
      <c r="A663" s="216"/>
      <c r="B663" s="111"/>
      <c r="C663" s="111"/>
      <c r="D663" s="111"/>
      <c r="E663" s="217"/>
      <c r="F663" s="218"/>
      <c r="G663" s="219"/>
      <c r="H663" s="219"/>
      <c r="I663" s="220"/>
      <c r="J663" s="220"/>
      <c r="K663" s="221"/>
      <c r="L663" s="222"/>
      <c r="M663" s="221"/>
      <c r="N663" s="218"/>
      <c r="O663" s="219"/>
      <c r="P663" s="111"/>
      <c r="Q663" s="223"/>
      <c r="R663" s="218"/>
      <c r="S663" s="111"/>
    </row>
    <row r="664" ht="21.0" customHeight="1">
      <c r="A664" s="216"/>
      <c r="B664" s="111"/>
      <c r="C664" s="111"/>
      <c r="D664" s="111"/>
      <c r="E664" s="217"/>
      <c r="F664" s="218"/>
      <c r="G664" s="219"/>
      <c r="H664" s="219"/>
      <c r="I664" s="220"/>
      <c r="J664" s="220"/>
      <c r="K664" s="221"/>
      <c r="L664" s="222"/>
      <c r="M664" s="221"/>
      <c r="N664" s="218"/>
      <c r="O664" s="219"/>
      <c r="P664" s="111"/>
      <c r="Q664" s="223"/>
      <c r="R664" s="218"/>
      <c r="S664" s="111"/>
    </row>
    <row r="665" ht="21.0" customHeight="1">
      <c r="A665" s="216"/>
      <c r="B665" s="111"/>
      <c r="C665" s="111"/>
      <c r="D665" s="111"/>
      <c r="E665" s="217"/>
      <c r="F665" s="218"/>
      <c r="G665" s="219"/>
      <c r="H665" s="219"/>
      <c r="I665" s="220"/>
      <c r="J665" s="220"/>
      <c r="K665" s="221"/>
      <c r="L665" s="222"/>
      <c r="M665" s="221"/>
      <c r="N665" s="218"/>
      <c r="O665" s="219"/>
      <c r="P665" s="111"/>
      <c r="Q665" s="223"/>
      <c r="R665" s="218"/>
      <c r="S665" s="111"/>
    </row>
    <row r="666" ht="21.0" customHeight="1">
      <c r="A666" s="216"/>
      <c r="B666" s="111"/>
      <c r="C666" s="111"/>
      <c r="D666" s="111"/>
      <c r="E666" s="217"/>
      <c r="F666" s="218"/>
      <c r="G666" s="219"/>
      <c r="H666" s="219"/>
      <c r="I666" s="220"/>
      <c r="J666" s="220"/>
      <c r="K666" s="221"/>
      <c r="L666" s="222"/>
      <c r="M666" s="221"/>
      <c r="N666" s="218"/>
      <c r="O666" s="219"/>
      <c r="P666" s="111"/>
      <c r="Q666" s="223"/>
      <c r="R666" s="218"/>
      <c r="S666" s="111"/>
    </row>
    <row r="667" ht="21.0" customHeight="1">
      <c r="A667" s="216"/>
      <c r="B667" s="111"/>
      <c r="C667" s="111"/>
      <c r="D667" s="111"/>
      <c r="E667" s="217"/>
      <c r="F667" s="218"/>
      <c r="G667" s="219"/>
      <c r="H667" s="219"/>
      <c r="I667" s="220"/>
      <c r="J667" s="220"/>
      <c r="K667" s="221"/>
      <c r="L667" s="222"/>
      <c r="M667" s="221"/>
      <c r="N667" s="218"/>
      <c r="O667" s="219"/>
      <c r="P667" s="111"/>
      <c r="Q667" s="223"/>
      <c r="R667" s="218"/>
      <c r="S667" s="111"/>
    </row>
    <row r="668" ht="21.0" customHeight="1">
      <c r="A668" s="216"/>
      <c r="B668" s="111"/>
      <c r="C668" s="111"/>
      <c r="D668" s="111"/>
      <c r="E668" s="217"/>
      <c r="F668" s="218"/>
      <c r="G668" s="219"/>
      <c r="H668" s="219"/>
      <c r="I668" s="220"/>
      <c r="J668" s="220"/>
      <c r="K668" s="221"/>
      <c r="L668" s="222"/>
      <c r="M668" s="221"/>
      <c r="N668" s="218"/>
      <c r="O668" s="219"/>
      <c r="P668" s="111"/>
      <c r="Q668" s="223"/>
      <c r="R668" s="218"/>
      <c r="S668" s="111"/>
    </row>
    <row r="669" ht="21.0" customHeight="1">
      <c r="A669" s="216"/>
      <c r="B669" s="111"/>
      <c r="C669" s="111"/>
      <c r="D669" s="111"/>
      <c r="E669" s="217"/>
      <c r="F669" s="218"/>
      <c r="G669" s="219"/>
      <c r="H669" s="219"/>
      <c r="I669" s="220"/>
      <c r="J669" s="220"/>
      <c r="K669" s="221"/>
      <c r="L669" s="222"/>
      <c r="M669" s="221"/>
      <c r="N669" s="218"/>
      <c r="O669" s="219"/>
      <c r="P669" s="111"/>
      <c r="Q669" s="223"/>
      <c r="R669" s="218"/>
      <c r="S669" s="111"/>
    </row>
    <row r="670" ht="21.0" customHeight="1">
      <c r="A670" s="216"/>
      <c r="B670" s="111"/>
      <c r="C670" s="111"/>
      <c r="D670" s="111"/>
      <c r="E670" s="217"/>
      <c r="F670" s="218"/>
      <c r="G670" s="219"/>
      <c r="H670" s="219"/>
      <c r="I670" s="220"/>
      <c r="J670" s="220"/>
      <c r="K670" s="221"/>
      <c r="L670" s="222"/>
      <c r="M670" s="221"/>
      <c r="N670" s="218"/>
      <c r="O670" s="219"/>
      <c r="P670" s="111"/>
      <c r="Q670" s="223"/>
      <c r="R670" s="218"/>
      <c r="S670" s="111"/>
    </row>
    <row r="671" ht="21.0" customHeight="1">
      <c r="A671" s="216"/>
      <c r="B671" s="111"/>
      <c r="C671" s="111"/>
      <c r="D671" s="111"/>
      <c r="E671" s="217"/>
      <c r="F671" s="218"/>
      <c r="G671" s="219"/>
      <c r="H671" s="219"/>
      <c r="I671" s="220"/>
      <c r="J671" s="220"/>
      <c r="K671" s="221"/>
      <c r="L671" s="222"/>
      <c r="M671" s="221"/>
      <c r="N671" s="218"/>
      <c r="O671" s="219"/>
      <c r="P671" s="111"/>
      <c r="Q671" s="223"/>
      <c r="R671" s="218"/>
      <c r="S671" s="111"/>
    </row>
    <row r="672" ht="21.0" customHeight="1">
      <c r="A672" s="216"/>
      <c r="B672" s="111"/>
      <c r="C672" s="111"/>
      <c r="D672" s="111"/>
      <c r="E672" s="217"/>
      <c r="F672" s="218"/>
      <c r="G672" s="219"/>
      <c r="H672" s="219"/>
      <c r="I672" s="220"/>
      <c r="J672" s="220"/>
      <c r="K672" s="221"/>
      <c r="L672" s="222"/>
      <c r="M672" s="221"/>
      <c r="N672" s="218"/>
      <c r="O672" s="219"/>
      <c r="P672" s="111"/>
      <c r="Q672" s="223"/>
      <c r="R672" s="218"/>
      <c r="S672" s="111"/>
    </row>
    <row r="673" ht="21.0" customHeight="1">
      <c r="A673" s="216"/>
      <c r="B673" s="111"/>
      <c r="C673" s="111"/>
      <c r="D673" s="111"/>
      <c r="E673" s="217"/>
      <c r="F673" s="218"/>
      <c r="G673" s="219"/>
      <c r="H673" s="219"/>
      <c r="I673" s="220"/>
      <c r="J673" s="220"/>
      <c r="K673" s="221"/>
      <c r="L673" s="222"/>
      <c r="M673" s="221"/>
      <c r="N673" s="218"/>
      <c r="O673" s="219"/>
      <c r="P673" s="111"/>
      <c r="Q673" s="223"/>
      <c r="R673" s="218"/>
      <c r="S673" s="111"/>
    </row>
    <row r="674" ht="21.0" customHeight="1">
      <c r="A674" s="216"/>
      <c r="B674" s="111"/>
      <c r="C674" s="111"/>
      <c r="D674" s="111"/>
      <c r="E674" s="217"/>
      <c r="F674" s="218"/>
      <c r="G674" s="219"/>
      <c r="H674" s="219"/>
      <c r="I674" s="220"/>
      <c r="J674" s="220"/>
      <c r="K674" s="221"/>
      <c r="L674" s="222"/>
      <c r="M674" s="221"/>
      <c r="N674" s="218"/>
      <c r="O674" s="219"/>
      <c r="P674" s="111"/>
      <c r="Q674" s="223"/>
      <c r="R674" s="218"/>
      <c r="S674" s="111"/>
    </row>
    <row r="675" ht="21.0" customHeight="1">
      <c r="A675" s="216"/>
      <c r="B675" s="111"/>
      <c r="C675" s="111"/>
      <c r="D675" s="111"/>
      <c r="E675" s="217"/>
      <c r="F675" s="218"/>
      <c r="G675" s="219"/>
      <c r="H675" s="219"/>
      <c r="I675" s="220"/>
      <c r="J675" s="220"/>
      <c r="K675" s="221"/>
      <c r="L675" s="222"/>
      <c r="M675" s="221"/>
      <c r="N675" s="218"/>
      <c r="O675" s="219"/>
      <c r="P675" s="111"/>
      <c r="Q675" s="223"/>
      <c r="R675" s="218"/>
      <c r="S675" s="111"/>
    </row>
    <row r="676" ht="21.0" customHeight="1">
      <c r="A676" s="216"/>
      <c r="B676" s="111"/>
      <c r="C676" s="111"/>
      <c r="D676" s="111"/>
      <c r="E676" s="217"/>
      <c r="F676" s="218"/>
      <c r="G676" s="219"/>
      <c r="H676" s="219"/>
      <c r="I676" s="220"/>
      <c r="J676" s="220"/>
      <c r="K676" s="221"/>
      <c r="L676" s="222"/>
      <c r="M676" s="221"/>
      <c r="N676" s="218"/>
      <c r="O676" s="219"/>
      <c r="P676" s="111"/>
      <c r="Q676" s="223"/>
      <c r="R676" s="218"/>
      <c r="S676" s="111"/>
    </row>
    <row r="677" ht="21.0" customHeight="1">
      <c r="A677" s="216"/>
      <c r="B677" s="111"/>
      <c r="C677" s="111"/>
      <c r="D677" s="111"/>
      <c r="E677" s="217"/>
      <c r="F677" s="218"/>
      <c r="G677" s="219"/>
      <c r="H677" s="219"/>
      <c r="I677" s="220"/>
      <c r="J677" s="220"/>
      <c r="K677" s="221"/>
      <c r="L677" s="222"/>
      <c r="M677" s="221"/>
      <c r="N677" s="218"/>
      <c r="O677" s="219"/>
      <c r="P677" s="111"/>
      <c r="Q677" s="223"/>
      <c r="R677" s="218"/>
      <c r="S677" s="111"/>
    </row>
    <row r="678" ht="21.0" customHeight="1">
      <c r="A678" s="216"/>
      <c r="B678" s="111"/>
      <c r="C678" s="111"/>
      <c r="D678" s="111"/>
      <c r="E678" s="217"/>
      <c r="F678" s="218"/>
      <c r="G678" s="219"/>
      <c r="H678" s="219"/>
      <c r="I678" s="220"/>
      <c r="J678" s="220"/>
      <c r="K678" s="221"/>
      <c r="L678" s="222"/>
      <c r="M678" s="221"/>
      <c r="N678" s="218"/>
      <c r="O678" s="219"/>
      <c r="P678" s="111"/>
      <c r="Q678" s="223"/>
      <c r="R678" s="218"/>
      <c r="S678" s="111"/>
    </row>
    <row r="679" ht="21.0" customHeight="1">
      <c r="A679" s="216"/>
      <c r="B679" s="111"/>
      <c r="C679" s="111"/>
      <c r="D679" s="111"/>
      <c r="E679" s="217"/>
      <c r="F679" s="218"/>
      <c r="G679" s="219"/>
      <c r="H679" s="219"/>
      <c r="I679" s="220"/>
      <c r="J679" s="220"/>
      <c r="K679" s="221"/>
      <c r="L679" s="222"/>
      <c r="M679" s="221"/>
      <c r="N679" s="218"/>
      <c r="O679" s="219"/>
      <c r="P679" s="111"/>
      <c r="Q679" s="223"/>
      <c r="R679" s="218"/>
      <c r="S679" s="111"/>
    </row>
    <row r="680" ht="21.0" customHeight="1">
      <c r="A680" s="216"/>
      <c r="B680" s="111"/>
      <c r="C680" s="111"/>
      <c r="D680" s="111"/>
      <c r="E680" s="217"/>
      <c r="F680" s="218"/>
      <c r="G680" s="219"/>
      <c r="H680" s="219"/>
      <c r="I680" s="220"/>
      <c r="J680" s="220"/>
      <c r="K680" s="221"/>
      <c r="L680" s="222"/>
      <c r="M680" s="221"/>
      <c r="N680" s="218"/>
      <c r="O680" s="219"/>
      <c r="P680" s="111"/>
      <c r="Q680" s="223"/>
      <c r="R680" s="218"/>
      <c r="S680" s="111"/>
    </row>
    <row r="681" ht="21.0" customHeight="1">
      <c r="A681" s="216"/>
      <c r="B681" s="111"/>
      <c r="C681" s="111"/>
      <c r="D681" s="111"/>
      <c r="E681" s="217"/>
      <c r="F681" s="218"/>
      <c r="G681" s="219"/>
      <c r="H681" s="219"/>
      <c r="I681" s="220"/>
      <c r="J681" s="220"/>
      <c r="K681" s="221"/>
      <c r="L681" s="222"/>
      <c r="M681" s="221"/>
      <c r="N681" s="218"/>
      <c r="O681" s="219"/>
      <c r="P681" s="111"/>
      <c r="Q681" s="223"/>
      <c r="R681" s="218"/>
      <c r="S681" s="111"/>
    </row>
    <row r="682" ht="21.0" customHeight="1">
      <c r="A682" s="216"/>
      <c r="B682" s="111"/>
      <c r="C682" s="111"/>
      <c r="D682" s="111"/>
      <c r="E682" s="217"/>
      <c r="F682" s="218"/>
      <c r="G682" s="219"/>
      <c r="H682" s="219"/>
      <c r="I682" s="220"/>
      <c r="J682" s="220"/>
      <c r="K682" s="221"/>
      <c r="L682" s="222"/>
      <c r="M682" s="221"/>
      <c r="N682" s="218"/>
      <c r="O682" s="219"/>
      <c r="P682" s="111"/>
      <c r="Q682" s="223"/>
      <c r="R682" s="218"/>
      <c r="S682" s="111"/>
    </row>
    <row r="683" ht="21.0" customHeight="1">
      <c r="A683" s="216"/>
      <c r="B683" s="111"/>
      <c r="C683" s="111"/>
      <c r="D683" s="111"/>
      <c r="E683" s="217"/>
      <c r="F683" s="218"/>
      <c r="G683" s="219"/>
      <c r="H683" s="219"/>
      <c r="I683" s="220"/>
      <c r="J683" s="220"/>
      <c r="K683" s="221"/>
      <c r="L683" s="222"/>
      <c r="M683" s="221"/>
      <c r="N683" s="218"/>
      <c r="O683" s="219"/>
      <c r="P683" s="111"/>
      <c r="Q683" s="223"/>
      <c r="R683" s="218"/>
      <c r="S683" s="111"/>
    </row>
    <row r="684" ht="21.0" customHeight="1">
      <c r="A684" s="216"/>
      <c r="B684" s="111"/>
      <c r="C684" s="111"/>
      <c r="D684" s="111"/>
      <c r="E684" s="217"/>
      <c r="F684" s="218"/>
      <c r="G684" s="219"/>
      <c r="H684" s="219"/>
      <c r="I684" s="220"/>
      <c r="J684" s="220"/>
      <c r="K684" s="221"/>
      <c r="L684" s="222"/>
      <c r="M684" s="221"/>
      <c r="N684" s="218"/>
      <c r="O684" s="219"/>
      <c r="P684" s="111"/>
      <c r="Q684" s="223"/>
      <c r="R684" s="218"/>
      <c r="S684" s="111"/>
    </row>
    <row r="685" ht="21.0" customHeight="1">
      <c r="A685" s="216"/>
      <c r="B685" s="111"/>
      <c r="C685" s="111"/>
      <c r="D685" s="111"/>
      <c r="E685" s="217"/>
      <c r="F685" s="218"/>
      <c r="G685" s="219"/>
      <c r="H685" s="219"/>
      <c r="I685" s="220"/>
      <c r="J685" s="220"/>
      <c r="K685" s="221"/>
      <c r="L685" s="222"/>
      <c r="M685" s="221"/>
      <c r="N685" s="218"/>
      <c r="O685" s="219"/>
      <c r="P685" s="111"/>
      <c r="Q685" s="223"/>
      <c r="R685" s="218"/>
      <c r="S685" s="111"/>
    </row>
    <row r="686" ht="21.0" customHeight="1">
      <c r="A686" s="216"/>
      <c r="B686" s="111"/>
      <c r="C686" s="111"/>
      <c r="D686" s="111"/>
      <c r="E686" s="217"/>
      <c r="F686" s="218"/>
      <c r="G686" s="219"/>
      <c r="H686" s="219"/>
      <c r="I686" s="220"/>
      <c r="J686" s="220"/>
      <c r="K686" s="221"/>
      <c r="L686" s="222"/>
      <c r="M686" s="221"/>
      <c r="N686" s="218"/>
      <c r="O686" s="219"/>
      <c r="P686" s="111"/>
      <c r="Q686" s="223"/>
      <c r="R686" s="218"/>
      <c r="S686" s="111"/>
    </row>
    <row r="687" ht="21.0" customHeight="1">
      <c r="A687" s="216"/>
      <c r="B687" s="111"/>
      <c r="C687" s="111"/>
      <c r="D687" s="111"/>
      <c r="E687" s="217"/>
      <c r="F687" s="218"/>
      <c r="G687" s="219"/>
      <c r="H687" s="219"/>
      <c r="I687" s="220"/>
      <c r="J687" s="220"/>
      <c r="K687" s="221"/>
      <c r="L687" s="222"/>
      <c r="M687" s="221"/>
      <c r="N687" s="218"/>
      <c r="O687" s="219"/>
      <c r="P687" s="111"/>
      <c r="Q687" s="223"/>
      <c r="R687" s="218"/>
      <c r="S687" s="111"/>
    </row>
    <row r="688" ht="21.0" customHeight="1">
      <c r="A688" s="216"/>
      <c r="B688" s="111"/>
      <c r="C688" s="111"/>
      <c r="D688" s="111"/>
      <c r="E688" s="217"/>
      <c r="F688" s="218"/>
      <c r="G688" s="219"/>
      <c r="H688" s="219"/>
      <c r="I688" s="220"/>
      <c r="J688" s="220"/>
      <c r="K688" s="221"/>
      <c r="L688" s="222"/>
      <c r="M688" s="221"/>
      <c r="N688" s="218"/>
      <c r="O688" s="219"/>
      <c r="P688" s="111"/>
      <c r="Q688" s="223"/>
      <c r="R688" s="218"/>
      <c r="S688" s="111"/>
    </row>
    <row r="689" ht="21.0" customHeight="1">
      <c r="A689" s="216"/>
      <c r="B689" s="111"/>
      <c r="C689" s="111"/>
      <c r="D689" s="111"/>
      <c r="E689" s="217"/>
      <c r="F689" s="218"/>
      <c r="G689" s="219"/>
      <c r="H689" s="219"/>
      <c r="I689" s="220"/>
      <c r="J689" s="220"/>
      <c r="K689" s="221"/>
      <c r="L689" s="222"/>
      <c r="M689" s="221"/>
      <c r="N689" s="218"/>
      <c r="O689" s="219"/>
      <c r="P689" s="111"/>
      <c r="Q689" s="223"/>
      <c r="R689" s="218"/>
      <c r="S689" s="111"/>
    </row>
    <row r="690" ht="21.0" customHeight="1">
      <c r="A690" s="216"/>
      <c r="B690" s="111"/>
      <c r="C690" s="111"/>
      <c r="D690" s="111"/>
      <c r="E690" s="217"/>
      <c r="F690" s="218"/>
      <c r="G690" s="219"/>
      <c r="H690" s="219"/>
      <c r="I690" s="220"/>
      <c r="J690" s="220"/>
      <c r="K690" s="221"/>
      <c r="L690" s="222"/>
      <c r="M690" s="221"/>
      <c r="N690" s="218"/>
      <c r="O690" s="219"/>
      <c r="P690" s="111"/>
      <c r="Q690" s="223"/>
      <c r="R690" s="218"/>
      <c r="S690" s="111"/>
    </row>
    <row r="691" ht="21.0" customHeight="1">
      <c r="A691" s="216"/>
      <c r="B691" s="111"/>
      <c r="C691" s="111"/>
      <c r="D691" s="111"/>
      <c r="E691" s="217"/>
      <c r="F691" s="218"/>
      <c r="G691" s="219"/>
      <c r="H691" s="219"/>
      <c r="I691" s="220"/>
      <c r="J691" s="220"/>
      <c r="K691" s="221"/>
      <c r="L691" s="222"/>
      <c r="M691" s="221"/>
      <c r="N691" s="218"/>
      <c r="O691" s="219"/>
      <c r="P691" s="111"/>
      <c r="Q691" s="223"/>
      <c r="R691" s="218"/>
      <c r="S691" s="111"/>
    </row>
    <row r="692" ht="21.0" customHeight="1">
      <c r="A692" s="216"/>
      <c r="B692" s="111"/>
      <c r="C692" s="111"/>
      <c r="D692" s="111"/>
      <c r="E692" s="217"/>
      <c r="F692" s="218"/>
      <c r="G692" s="219"/>
      <c r="H692" s="219"/>
      <c r="I692" s="220"/>
      <c r="J692" s="220"/>
      <c r="K692" s="221"/>
      <c r="L692" s="222"/>
      <c r="M692" s="221"/>
      <c r="N692" s="218"/>
      <c r="O692" s="219"/>
      <c r="P692" s="111"/>
      <c r="Q692" s="223"/>
      <c r="R692" s="218"/>
      <c r="S692" s="111"/>
    </row>
    <row r="693" ht="21.0" customHeight="1">
      <c r="A693" s="216"/>
      <c r="B693" s="111"/>
      <c r="C693" s="111"/>
      <c r="D693" s="111"/>
      <c r="E693" s="217"/>
      <c r="F693" s="218"/>
      <c r="G693" s="219"/>
      <c r="H693" s="219"/>
      <c r="I693" s="220"/>
      <c r="J693" s="220"/>
      <c r="K693" s="221"/>
      <c r="L693" s="222"/>
      <c r="M693" s="221"/>
      <c r="N693" s="218"/>
      <c r="O693" s="219"/>
      <c r="P693" s="111"/>
      <c r="Q693" s="223"/>
      <c r="R693" s="218"/>
      <c r="S693" s="111"/>
    </row>
    <row r="694" ht="21.0" customHeight="1">
      <c r="A694" s="216"/>
      <c r="B694" s="111"/>
      <c r="C694" s="111"/>
      <c r="D694" s="111"/>
      <c r="E694" s="217"/>
      <c r="F694" s="218"/>
      <c r="G694" s="219"/>
      <c r="H694" s="219"/>
      <c r="I694" s="220"/>
      <c r="J694" s="220"/>
      <c r="K694" s="221"/>
      <c r="L694" s="222"/>
      <c r="M694" s="221"/>
      <c r="N694" s="218"/>
      <c r="O694" s="219"/>
      <c r="P694" s="111"/>
      <c r="Q694" s="223"/>
      <c r="R694" s="218"/>
      <c r="S694" s="111"/>
    </row>
    <row r="695" ht="21.0" customHeight="1">
      <c r="A695" s="216"/>
      <c r="B695" s="111"/>
      <c r="C695" s="111"/>
      <c r="D695" s="111"/>
      <c r="E695" s="217"/>
      <c r="F695" s="218"/>
      <c r="G695" s="219"/>
      <c r="H695" s="219"/>
      <c r="I695" s="220"/>
      <c r="J695" s="220"/>
      <c r="K695" s="221"/>
      <c r="L695" s="222"/>
      <c r="M695" s="221"/>
      <c r="N695" s="218"/>
      <c r="O695" s="219"/>
      <c r="P695" s="111"/>
      <c r="Q695" s="223"/>
      <c r="R695" s="218"/>
      <c r="S695" s="111"/>
    </row>
    <row r="696" ht="21.0" customHeight="1">
      <c r="A696" s="216"/>
      <c r="B696" s="111"/>
      <c r="C696" s="111"/>
      <c r="D696" s="111"/>
      <c r="E696" s="217"/>
      <c r="F696" s="218"/>
      <c r="G696" s="219"/>
      <c r="H696" s="219"/>
      <c r="I696" s="220"/>
      <c r="J696" s="220"/>
      <c r="K696" s="221"/>
      <c r="L696" s="222"/>
      <c r="M696" s="221"/>
      <c r="N696" s="218"/>
      <c r="O696" s="219"/>
      <c r="P696" s="111"/>
      <c r="Q696" s="223"/>
      <c r="R696" s="218"/>
      <c r="S696" s="111"/>
    </row>
    <row r="697" ht="21.0" customHeight="1">
      <c r="A697" s="216"/>
      <c r="B697" s="111"/>
      <c r="C697" s="111"/>
      <c r="D697" s="111"/>
      <c r="E697" s="217"/>
      <c r="F697" s="218"/>
      <c r="G697" s="219"/>
      <c r="H697" s="219"/>
      <c r="I697" s="220"/>
      <c r="J697" s="220"/>
      <c r="K697" s="221"/>
      <c r="L697" s="222"/>
      <c r="M697" s="221"/>
      <c r="N697" s="218"/>
      <c r="O697" s="219"/>
      <c r="P697" s="111"/>
      <c r="Q697" s="223"/>
      <c r="R697" s="218"/>
      <c r="S697" s="111"/>
    </row>
    <row r="698" ht="21.0" customHeight="1">
      <c r="A698" s="216"/>
      <c r="B698" s="111"/>
      <c r="C698" s="111"/>
      <c r="D698" s="111"/>
      <c r="E698" s="217"/>
      <c r="F698" s="218"/>
      <c r="G698" s="219"/>
      <c r="H698" s="219"/>
      <c r="I698" s="220"/>
      <c r="J698" s="220"/>
      <c r="K698" s="221"/>
      <c r="L698" s="222"/>
      <c r="M698" s="221"/>
      <c r="N698" s="218"/>
      <c r="O698" s="219"/>
      <c r="P698" s="111"/>
      <c r="Q698" s="223"/>
      <c r="R698" s="218"/>
      <c r="S698" s="111"/>
    </row>
    <row r="699" ht="21.0" customHeight="1">
      <c r="A699" s="216"/>
      <c r="B699" s="111"/>
      <c r="C699" s="111"/>
      <c r="D699" s="111"/>
      <c r="E699" s="217"/>
      <c r="F699" s="218"/>
      <c r="G699" s="219"/>
      <c r="H699" s="219"/>
      <c r="I699" s="220"/>
      <c r="J699" s="220"/>
      <c r="K699" s="221"/>
      <c r="L699" s="222"/>
      <c r="M699" s="221"/>
      <c r="N699" s="218"/>
      <c r="O699" s="219"/>
      <c r="P699" s="111"/>
      <c r="Q699" s="223"/>
      <c r="R699" s="218"/>
      <c r="S699" s="111"/>
    </row>
    <row r="700" ht="21.0" customHeight="1">
      <c r="A700" s="216"/>
      <c r="B700" s="111"/>
      <c r="C700" s="111"/>
      <c r="D700" s="111"/>
      <c r="E700" s="217"/>
      <c r="F700" s="218"/>
      <c r="G700" s="219"/>
      <c r="H700" s="219"/>
      <c r="I700" s="220"/>
      <c r="J700" s="220"/>
      <c r="K700" s="221"/>
      <c r="L700" s="222"/>
      <c r="M700" s="221"/>
      <c r="N700" s="218"/>
      <c r="O700" s="219"/>
      <c r="P700" s="111"/>
      <c r="Q700" s="223"/>
      <c r="R700" s="218"/>
      <c r="S700" s="111"/>
    </row>
    <row r="701" ht="21.0" customHeight="1">
      <c r="A701" s="216"/>
      <c r="B701" s="111"/>
      <c r="C701" s="111"/>
      <c r="D701" s="111"/>
      <c r="E701" s="217"/>
      <c r="F701" s="218"/>
      <c r="G701" s="219"/>
      <c r="H701" s="219"/>
      <c r="I701" s="220"/>
      <c r="J701" s="220"/>
      <c r="K701" s="221"/>
      <c r="L701" s="222"/>
      <c r="M701" s="221"/>
      <c r="N701" s="218"/>
      <c r="O701" s="219"/>
      <c r="P701" s="111"/>
      <c r="Q701" s="223"/>
      <c r="R701" s="218"/>
      <c r="S701" s="111"/>
    </row>
    <row r="702" ht="21.0" customHeight="1">
      <c r="A702" s="216"/>
      <c r="B702" s="111"/>
      <c r="C702" s="111"/>
      <c r="D702" s="111"/>
      <c r="E702" s="217"/>
      <c r="F702" s="218"/>
      <c r="G702" s="219"/>
      <c r="H702" s="219"/>
      <c r="I702" s="220"/>
      <c r="J702" s="220"/>
      <c r="K702" s="221"/>
      <c r="L702" s="222"/>
      <c r="M702" s="221"/>
      <c r="N702" s="218"/>
      <c r="O702" s="219"/>
      <c r="P702" s="111"/>
      <c r="Q702" s="223"/>
      <c r="R702" s="218"/>
      <c r="S702" s="111"/>
    </row>
    <row r="703" ht="21.0" customHeight="1">
      <c r="A703" s="216"/>
      <c r="B703" s="111"/>
      <c r="C703" s="111"/>
      <c r="D703" s="111"/>
      <c r="E703" s="217"/>
      <c r="F703" s="218"/>
      <c r="G703" s="219"/>
      <c r="H703" s="219"/>
      <c r="I703" s="220"/>
      <c r="J703" s="220"/>
      <c r="K703" s="221"/>
      <c r="L703" s="222"/>
      <c r="M703" s="221"/>
      <c r="N703" s="218"/>
      <c r="O703" s="219"/>
      <c r="P703" s="111"/>
      <c r="Q703" s="223"/>
      <c r="R703" s="218"/>
      <c r="S703" s="111"/>
    </row>
    <row r="704" ht="21.0" customHeight="1">
      <c r="A704" s="216"/>
      <c r="B704" s="111"/>
      <c r="C704" s="111"/>
      <c r="D704" s="111"/>
      <c r="E704" s="217"/>
      <c r="F704" s="218"/>
      <c r="G704" s="219"/>
      <c r="H704" s="219"/>
      <c r="I704" s="220"/>
      <c r="J704" s="220"/>
      <c r="K704" s="221"/>
      <c r="L704" s="222"/>
      <c r="M704" s="221"/>
      <c r="N704" s="218"/>
      <c r="O704" s="219"/>
      <c r="P704" s="111"/>
      <c r="Q704" s="223"/>
      <c r="R704" s="218"/>
      <c r="S704" s="111"/>
    </row>
    <row r="705" ht="21.0" customHeight="1">
      <c r="A705" s="216"/>
      <c r="B705" s="111"/>
      <c r="C705" s="111"/>
      <c r="D705" s="111"/>
      <c r="E705" s="217"/>
      <c r="F705" s="218"/>
      <c r="G705" s="219"/>
      <c r="H705" s="219"/>
      <c r="I705" s="220"/>
      <c r="J705" s="220"/>
      <c r="K705" s="221"/>
      <c r="L705" s="222"/>
      <c r="M705" s="221"/>
      <c r="N705" s="218"/>
      <c r="O705" s="219"/>
      <c r="P705" s="111"/>
      <c r="Q705" s="223"/>
      <c r="R705" s="218"/>
      <c r="S705" s="111"/>
    </row>
    <row r="706" ht="21.0" customHeight="1">
      <c r="A706" s="216"/>
      <c r="B706" s="111"/>
      <c r="C706" s="111"/>
      <c r="D706" s="111"/>
      <c r="E706" s="217"/>
      <c r="F706" s="218"/>
      <c r="G706" s="219"/>
      <c r="H706" s="219"/>
      <c r="I706" s="220"/>
      <c r="J706" s="220"/>
      <c r="K706" s="221"/>
      <c r="L706" s="222"/>
      <c r="M706" s="221"/>
      <c r="N706" s="218"/>
      <c r="O706" s="219"/>
      <c r="P706" s="111"/>
      <c r="Q706" s="223"/>
      <c r="R706" s="218"/>
      <c r="S706" s="111"/>
    </row>
    <row r="707" ht="21.0" customHeight="1">
      <c r="A707" s="216"/>
      <c r="B707" s="111"/>
      <c r="C707" s="111"/>
      <c r="D707" s="111"/>
      <c r="E707" s="217"/>
      <c r="F707" s="218"/>
      <c r="G707" s="219"/>
      <c r="H707" s="219"/>
      <c r="I707" s="220"/>
      <c r="J707" s="220"/>
      <c r="K707" s="221"/>
      <c r="L707" s="222"/>
      <c r="M707" s="221"/>
      <c r="N707" s="218"/>
      <c r="O707" s="219"/>
      <c r="P707" s="111"/>
      <c r="Q707" s="223"/>
      <c r="R707" s="218"/>
      <c r="S707" s="111"/>
    </row>
    <row r="708" ht="21.0" customHeight="1">
      <c r="A708" s="216"/>
      <c r="B708" s="111"/>
      <c r="C708" s="111"/>
      <c r="D708" s="111"/>
      <c r="E708" s="217"/>
      <c r="F708" s="218"/>
      <c r="G708" s="219"/>
      <c r="H708" s="219"/>
      <c r="I708" s="220"/>
      <c r="J708" s="220"/>
      <c r="K708" s="221"/>
      <c r="L708" s="222"/>
      <c r="M708" s="221"/>
      <c r="N708" s="218"/>
      <c r="O708" s="219"/>
      <c r="P708" s="111"/>
      <c r="Q708" s="223"/>
      <c r="R708" s="218"/>
      <c r="S708" s="111"/>
    </row>
    <row r="709" ht="21.0" customHeight="1">
      <c r="A709" s="216"/>
      <c r="B709" s="111"/>
      <c r="C709" s="111"/>
      <c r="D709" s="111"/>
      <c r="E709" s="217"/>
      <c r="F709" s="218"/>
      <c r="G709" s="219"/>
      <c r="H709" s="219"/>
      <c r="I709" s="220"/>
      <c r="J709" s="220"/>
      <c r="K709" s="221"/>
      <c r="L709" s="222"/>
      <c r="M709" s="221"/>
      <c r="N709" s="218"/>
      <c r="O709" s="219"/>
      <c r="P709" s="111"/>
      <c r="Q709" s="223"/>
      <c r="R709" s="218"/>
      <c r="S709" s="111"/>
    </row>
    <row r="710" ht="21.0" customHeight="1">
      <c r="A710" s="216"/>
      <c r="B710" s="111"/>
      <c r="C710" s="111"/>
      <c r="D710" s="111"/>
      <c r="E710" s="217"/>
      <c r="F710" s="218"/>
      <c r="G710" s="219"/>
      <c r="H710" s="219"/>
      <c r="I710" s="220"/>
      <c r="J710" s="220"/>
      <c r="K710" s="221"/>
      <c r="L710" s="222"/>
      <c r="M710" s="221"/>
      <c r="N710" s="218"/>
      <c r="O710" s="219"/>
      <c r="P710" s="111"/>
      <c r="Q710" s="223"/>
      <c r="R710" s="218"/>
      <c r="S710" s="111"/>
    </row>
    <row r="711" ht="21.0" customHeight="1">
      <c r="A711" s="216"/>
      <c r="B711" s="111"/>
      <c r="C711" s="111"/>
      <c r="D711" s="111"/>
      <c r="E711" s="217"/>
      <c r="F711" s="218"/>
      <c r="G711" s="219"/>
      <c r="H711" s="219"/>
      <c r="I711" s="220"/>
      <c r="J711" s="220"/>
      <c r="K711" s="221"/>
      <c r="L711" s="222"/>
      <c r="M711" s="221"/>
      <c r="N711" s="218"/>
      <c r="O711" s="219"/>
      <c r="P711" s="111"/>
      <c r="Q711" s="223"/>
      <c r="R711" s="218"/>
      <c r="S711" s="111"/>
    </row>
    <row r="712" ht="21.0" customHeight="1">
      <c r="A712" s="216"/>
      <c r="B712" s="111"/>
      <c r="C712" s="111"/>
      <c r="D712" s="111"/>
      <c r="E712" s="217"/>
      <c r="F712" s="218"/>
      <c r="G712" s="219"/>
      <c r="H712" s="219"/>
      <c r="I712" s="220"/>
      <c r="J712" s="220"/>
      <c r="K712" s="221"/>
      <c r="L712" s="222"/>
      <c r="M712" s="221"/>
      <c r="N712" s="218"/>
      <c r="O712" s="219"/>
      <c r="P712" s="111"/>
      <c r="Q712" s="223"/>
      <c r="R712" s="218"/>
      <c r="S712" s="111"/>
    </row>
    <row r="713" ht="21.0" customHeight="1">
      <c r="A713" s="216"/>
      <c r="B713" s="111"/>
      <c r="C713" s="111"/>
      <c r="D713" s="111"/>
      <c r="E713" s="217"/>
      <c r="F713" s="218"/>
      <c r="G713" s="219"/>
      <c r="H713" s="219"/>
      <c r="I713" s="220"/>
      <c r="J713" s="220"/>
      <c r="K713" s="221"/>
      <c r="L713" s="222"/>
      <c r="M713" s="221"/>
      <c r="N713" s="218"/>
      <c r="O713" s="219"/>
      <c r="P713" s="111"/>
      <c r="Q713" s="223"/>
      <c r="R713" s="218"/>
      <c r="S713" s="111"/>
    </row>
    <row r="714" ht="21.0" customHeight="1">
      <c r="A714" s="216"/>
      <c r="B714" s="111"/>
      <c r="C714" s="111"/>
      <c r="D714" s="111"/>
      <c r="E714" s="217"/>
      <c r="F714" s="218"/>
      <c r="G714" s="219"/>
      <c r="H714" s="219"/>
      <c r="I714" s="220"/>
      <c r="J714" s="220"/>
      <c r="K714" s="221"/>
      <c r="L714" s="222"/>
      <c r="M714" s="221"/>
      <c r="N714" s="218"/>
      <c r="O714" s="219"/>
      <c r="P714" s="111"/>
      <c r="Q714" s="223"/>
      <c r="R714" s="218"/>
      <c r="S714" s="111"/>
    </row>
    <row r="715" ht="21.0" customHeight="1">
      <c r="A715" s="216"/>
      <c r="B715" s="111"/>
      <c r="C715" s="111"/>
      <c r="D715" s="111"/>
      <c r="E715" s="217"/>
      <c r="F715" s="218"/>
      <c r="G715" s="219"/>
      <c r="H715" s="219"/>
      <c r="I715" s="220"/>
      <c r="J715" s="220"/>
      <c r="K715" s="221"/>
      <c r="L715" s="222"/>
      <c r="M715" s="221"/>
      <c r="N715" s="218"/>
      <c r="O715" s="219"/>
      <c r="P715" s="111"/>
      <c r="Q715" s="223"/>
      <c r="R715" s="218"/>
      <c r="S715" s="111"/>
    </row>
    <row r="716" ht="21.0" customHeight="1">
      <c r="A716" s="216"/>
      <c r="B716" s="111"/>
      <c r="C716" s="111"/>
      <c r="D716" s="111"/>
      <c r="E716" s="217"/>
      <c r="F716" s="218"/>
      <c r="G716" s="219"/>
      <c r="H716" s="219"/>
      <c r="I716" s="220"/>
      <c r="J716" s="220"/>
      <c r="K716" s="221"/>
      <c r="L716" s="222"/>
      <c r="M716" s="221"/>
      <c r="N716" s="218"/>
      <c r="O716" s="219"/>
      <c r="P716" s="111"/>
      <c r="Q716" s="223"/>
      <c r="R716" s="218"/>
      <c r="S716" s="111"/>
    </row>
    <row r="717" ht="21.0" customHeight="1">
      <c r="A717" s="216"/>
      <c r="B717" s="111"/>
      <c r="C717" s="111"/>
      <c r="D717" s="111"/>
      <c r="E717" s="217"/>
      <c r="F717" s="218"/>
      <c r="G717" s="219"/>
      <c r="H717" s="219"/>
      <c r="I717" s="220"/>
      <c r="J717" s="220"/>
      <c r="K717" s="221"/>
      <c r="L717" s="222"/>
      <c r="M717" s="221"/>
      <c r="N717" s="218"/>
      <c r="O717" s="219"/>
      <c r="P717" s="111"/>
      <c r="Q717" s="223"/>
      <c r="R717" s="218"/>
      <c r="S717" s="111"/>
    </row>
    <row r="718" ht="21.0" customHeight="1">
      <c r="A718" s="216"/>
      <c r="B718" s="111"/>
      <c r="C718" s="111"/>
      <c r="D718" s="111"/>
      <c r="E718" s="217"/>
      <c r="F718" s="218"/>
      <c r="G718" s="219"/>
      <c r="H718" s="219"/>
      <c r="I718" s="220"/>
      <c r="J718" s="220"/>
      <c r="K718" s="221"/>
      <c r="L718" s="222"/>
      <c r="M718" s="221"/>
      <c r="N718" s="218"/>
      <c r="O718" s="219"/>
      <c r="P718" s="111"/>
      <c r="Q718" s="223"/>
      <c r="R718" s="218"/>
      <c r="S718" s="111"/>
    </row>
    <row r="719" ht="21.0" customHeight="1">
      <c r="A719" s="216"/>
      <c r="B719" s="111"/>
      <c r="C719" s="111"/>
      <c r="D719" s="111"/>
      <c r="E719" s="217"/>
      <c r="F719" s="218"/>
      <c r="G719" s="219"/>
      <c r="H719" s="219"/>
      <c r="I719" s="220"/>
      <c r="J719" s="220"/>
      <c r="K719" s="221"/>
      <c r="L719" s="222"/>
      <c r="M719" s="221"/>
      <c r="N719" s="218"/>
      <c r="O719" s="219"/>
      <c r="P719" s="111"/>
      <c r="Q719" s="223"/>
      <c r="R719" s="218"/>
      <c r="S719" s="111"/>
    </row>
    <row r="720" ht="21.0" customHeight="1">
      <c r="A720" s="216"/>
      <c r="B720" s="111"/>
      <c r="C720" s="111"/>
      <c r="D720" s="111"/>
      <c r="E720" s="217"/>
      <c r="F720" s="218"/>
      <c r="G720" s="219"/>
      <c r="H720" s="219"/>
      <c r="I720" s="220"/>
      <c r="J720" s="220"/>
      <c r="K720" s="221"/>
      <c r="L720" s="222"/>
      <c r="M720" s="221"/>
      <c r="N720" s="218"/>
      <c r="O720" s="219"/>
      <c r="P720" s="111"/>
      <c r="Q720" s="223"/>
      <c r="R720" s="218"/>
      <c r="S720" s="111"/>
    </row>
    <row r="721" ht="21.0" customHeight="1">
      <c r="A721" s="216"/>
      <c r="B721" s="111"/>
      <c r="C721" s="111"/>
      <c r="D721" s="111"/>
      <c r="E721" s="217"/>
      <c r="F721" s="218"/>
      <c r="G721" s="219"/>
      <c r="H721" s="219"/>
      <c r="I721" s="220"/>
      <c r="J721" s="220"/>
      <c r="K721" s="221"/>
      <c r="L721" s="222"/>
      <c r="M721" s="221"/>
      <c r="N721" s="218"/>
      <c r="O721" s="219"/>
      <c r="P721" s="111"/>
      <c r="Q721" s="223"/>
      <c r="R721" s="218"/>
      <c r="S721" s="111"/>
    </row>
    <row r="722" ht="21.0" customHeight="1">
      <c r="A722" s="216"/>
      <c r="B722" s="111"/>
      <c r="C722" s="111"/>
      <c r="D722" s="111"/>
      <c r="E722" s="217"/>
      <c r="F722" s="218"/>
      <c r="G722" s="219"/>
      <c r="H722" s="219"/>
      <c r="I722" s="220"/>
      <c r="J722" s="220"/>
      <c r="K722" s="221"/>
      <c r="L722" s="222"/>
      <c r="M722" s="221"/>
      <c r="N722" s="218"/>
      <c r="O722" s="219"/>
      <c r="P722" s="111"/>
      <c r="Q722" s="223"/>
      <c r="R722" s="218"/>
      <c r="S722" s="111"/>
    </row>
    <row r="723" ht="21.0" customHeight="1">
      <c r="A723" s="216"/>
      <c r="B723" s="111"/>
      <c r="C723" s="111"/>
      <c r="D723" s="111"/>
      <c r="E723" s="217"/>
      <c r="F723" s="218"/>
      <c r="G723" s="219"/>
      <c r="H723" s="219"/>
      <c r="I723" s="220"/>
      <c r="J723" s="220"/>
      <c r="K723" s="221"/>
      <c r="L723" s="222"/>
      <c r="M723" s="221"/>
      <c r="N723" s="218"/>
      <c r="O723" s="219"/>
      <c r="P723" s="111"/>
      <c r="Q723" s="223"/>
      <c r="R723" s="218"/>
      <c r="S723" s="111"/>
    </row>
    <row r="724" ht="21.0" customHeight="1">
      <c r="A724" s="216"/>
      <c r="B724" s="111"/>
      <c r="C724" s="111"/>
      <c r="D724" s="111"/>
      <c r="E724" s="217"/>
      <c r="F724" s="218"/>
      <c r="G724" s="219"/>
      <c r="H724" s="219"/>
      <c r="I724" s="220"/>
      <c r="J724" s="220"/>
      <c r="K724" s="221"/>
      <c r="L724" s="222"/>
      <c r="M724" s="221"/>
      <c r="N724" s="218"/>
      <c r="O724" s="219"/>
      <c r="P724" s="111"/>
      <c r="Q724" s="223"/>
      <c r="R724" s="218"/>
      <c r="S724" s="111"/>
    </row>
    <row r="725" ht="21.0" customHeight="1">
      <c r="A725" s="216"/>
      <c r="B725" s="111"/>
      <c r="C725" s="111"/>
      <c r="D725" s="111"/>
      <c r="E725" s="217"/>
      <c r="F725" s="218"/>
      <c r="G725" s="219"/>
      <c r="H725" s="219"/>
      <c r="I725" s="220"/>
      <c r="J725" s="220"/>
      <c r="K725" s="221"/>
      <c r="L725" s="222"/>
      <c r="M725" s="221"/>
      <c r="N725" s="218"/>
      <c r="O725" s="219"/>
      <c r="P725" s="111"/>
      <c r="Q725" s="223"/>
      <c r="R725" s="218"/>
      <c r="S725" s="111"/>
    </row>
    <row r="726" ht="21.0" customHeight="1">
      <c r="A726" s="216"/>
      <c r="B726" s="111"/>
      <c r="C726" s="111"/>
      <c r="D726" s="111"/>
      <c r="E726" s="217"/>
      <c r="F726" s="218"/>
      <c r="G726" s="219"/>
      <c r="H726" s="219"/>
      <c r="I726" s="220"/>
      <c r="J726" s="220"/>
      <c r="K726" s="221"/>
      <c r="L726" s="222"/>
      <c r="M726" s="221"/>
      <c r="N726" s="218"/>
      <c r="O726" s="219"/>
      <c r="P726" s="111"/>
      <c r="Q726" s="223"/>
      <c r="R726" s="218"/>
      <c r="S726" s="111"/>
    </row>
    <row r="727" ht="21.0" customHeight="1">
      <c r="A727" s="216"/>
      <c r="B727" s="111"/>
      <c r="C727" s="111"/>
      <c r="D727" s="111"/>
      <c r="E727" s="217"/>
      <c r="F727" s="218"/>
      <c r="G727" s="219"/>
      <c r="H727" s="219"/>
      <c r="I727" s="220"/>
      <c r="J727" s="220"/>
      <c r="K727" s="221"/>
      <c r="L727" s="222"/>
      <c r="M727" s="221"/>
      <c r="N727" s="218"/>
      <c r="O727" s="219"/>
      <c r="P727" s="111"/>
      <c r="Q727" s="223"/>
      <c r="R727" s="218"/>
      <c r="S727" s="111"/>
    </row>
    <row r="728" ht="21.0" customHeight="1">
      <c r="A728" s="216"/>
      <c r="B728" s="111"/>
      <c r="C728" s="111"/>
      <c r="D728" s="111"/>
      <c r="E728" s="217"/>
      <c r="F728" s="218"/>
      <c r="G728" s="219"/>
      <c r="H728" s="219"/>
      <c r="I728" s="220"/>
      <c r="J728" s="220"/>
      <c r="K728" s="221"/>
      <c r="L728" s="222"/>
      <c r="M728" s="221"/>
      <c r="N728" s="218"/>
      <c r="O728" s="219"/>
      <c r="P728" s="111"/>
      <c r="Q728" s="223"/>
      <c r="R728" s="218"/>
      <c r="S728" s="111"/>
    </row>
    <row r="729" ht="21.0" customHeight="1">
      <c r="A729" s="216"/>
      <c r="B729" s="111"/>
      <c r="C729" s="111"/>
      <c r="D729" s="111"/>
      <c r="E729" s="217"/>
      <c r="F729" s="218"/>
      <c r="G729" s="219"/>
      <c r="H729" s="219"/>
      <c r="I729" s="220"/>
      <c r="J729" s="220"/>
      <c r="K729" s="221"/>
      <c r="L729" s="222"/>
      <c r="M729" s="221"/>
      <c r="N729" s="218"/>
      <c r="O729" s="219"/>
      <c r="P729" s="111"/>
      <c r="Q729" s="223"/>
      <c r="R729" s="218"/>
      <c r="S729" s="111"/>
    </row>
    <row r="730" ht="21.0" customHeight="1">
      <c r="A730" s="216"/>
      <c r="B730" s="111"/>
      <c r="C730" s="111"/>
      <c r="D730" s="111"/>
      <c r="E730" s="217"/>
      <c r="F730" s="218"/>
      <c r="G730" s="219"/>
      <c r="H730" s="219"/>
      <c r="I730" s="220"/>
      <c r="J730" s="220"/>
      <c r="K730" s="221"/>
      <c r="L730" s="222"/>
      <c r="M730" s="221"/>
      <c r="N730" s="218"/>
      <c r="O730" s="219"/>
      <c r="P730" s="111"/>
      <c r="Q730" s="223"/>
      <c r="R730" s="218"/>
      <c r="S730" s="111"/>
    </row>
    <row r="731" ht="21.0" customHeight="1">
      <c r="A731" s="216"/>
      <c r="B731" s="111"/>
      <c r="C731" s="111"/>
      <c r="D731" s="111"/>
      <c r="E731" s="217"/>
      <c r="F731" s="218"/>
      <c r="G731" s="219"/>
      <c r="H731" s="219"/>
      <c r="I731" s="220"/>
      <c r="J731" s="220"/>
      <c r="K731" s="221"/>
      <c r="L731" s="222"/>
      <c r="M731" s="221"/>
      <c r="N731" s="218"/>
      <c r="O731" s="219"/>
      <c r="P731" s="111"/>
      <c r="Q731" s="223"/>
      <c r="R731" s="218"/>
      <c r="S731" s="111"/>
    </row>
    <row r="732" ht="21.0" customHeight="1">
      <c r="A732" s="216"/>
      <c r="B732" s="111"/>
      <c r="C732" s="111"/>
      <c r="D732" s="111"/>
      <c r="E732" s="217"/>
      <c r="F732" s="218"/>
      <c r="G732" s="219"/>
      <c r="H732" s="219"/>
      <c r="I732" s="220"/>
      <c r="J732" s="220"/>
      <c r="K732" s="221"/>
      <c r="L732" s="222"/>
      <c r="M732" s="221"/>
      <c r="N732" s="218"/>
      <c r="O732" s="219"/>
      <c r="P732" s="111"/>
      <c r="Q732" s="223"/>
      <c r="R732" s="218"/>
      <c r="S732" s="111"/>
    </row>
    <row r="733" ht="21.0" customHeight="1">
      <c r="A733" s="216"/>
      <c r="B733" s="111"/>
      <c r="C733" s="111"/>
      <c r="D733" s="111"/>
      <c r="E733" s="217"/>
      <c r="F733" s="218"/>
      <c r="G733" s="219"/>
      <c r="H733" s="219"/>
      <c r="I733" s="220"/>
      <c r="J733" s="220"/>
      <c r="K733" s="221"/>
      <c r="L733" s="222"/>
      <c r="M733" s="221"/>
      <c r="N733" s="218"/>
      <c r="O733" s="219"/>
      <c r="P733" s="111"/>
      <c r="Q733" s="223"/>
      <c r="R733" s="218"/>
      <c r="S733" s="111"/>
    </row>
    <row r="734" ht="21.0" customHeight="1">
      <c r="A734" s="216"/>
      <c r="B734" s="111"/>
      <c r="C734" s="111"/>
      <c r="D734" s="111"/>
      <c r="E734" s="217"/>
      <c r="F734" s="218"/>
      <c r="G734" s="219"/>
      <c r="H734" s="219"/>
      <c r="I734" s="220"/>
      <c r="J734" s="220"/>
      <c r="K734" s="221"/>
      <c r="L734" s="222"/>
      <c r="M734" s="221"/>
      <c r="N734" s="218"/>
      <c r="O734" s="219"/>
      <c r="P734" s="111"/>
      <c r="Q734" s="223"/>
      <c r="R734" s="218"/>
      <c r="S734" s="111"/>
    </row>
    <row r="735" ht="21.0" customHeight="1">
      <c r="A735" s="216"/>
      <c r="B735" s="111"/>
      <c r="C735" s="111"/>
      <c r="D735" s="111"/>
      <c r="E735" s="217"/>
      <c r="F735" s="218"/>
      <c r="G735" s="219"/>
      <c r="H735" s="219"/>
      <c r="I735" s="220"/>
      <c r="J735" s="220"/>
      <c r="K735" s="221"/>
      <c r="L735" s="222"/>
      <c r="M735" s="221"/>
      <c r="N735" s="218"/>
      <c r="O735" s="219"/>
      <c r="P735" s="111"/>
      <c r="Q735" s="223"/>
      <c r="R735" s="218"/>
      <c r="S735" s="111"/>
    </row>
    <row r="736" ht="21.0" customHeight="1">
      <c r="A736" s="216"/>
      <c r="B736" s="111"/>
      <c r="C736" s="111"/>
      <c r="D736" s="111"/>
      <c r="E736" s="217"/>
      <c r="F736" s="218"/>
      <c r="G736" s="219"/>
      <c r="H736" s="219"/>
      <c r="I736" s="220"/>
      <c r="J736" s="220"/>
      <c r="K736" s="221"/>
      <c r="L736" s="222"/>
      <c r="M736" s="221"/>
      <c r="N736" s="218"/>
      <c r="O736" s="219"/>
      <c r="P736" s="111"/>
      <c r="Q736" s="223"/>
      <c r="R736" s="218"/>
      <c r="S736" s="111"/>
    </row>
    <row r="737" ht="21.0" customHeight="1">
      <c r="A737" s="216"/>
      <c r="B737" s="111"/>
      <c r="C737" s="111"/>
      <c r="D737" s="111"/>
      <c r="E737" s="217"/>
      <c r="F737" s="218"/>
      <c r="G737" s="219"/>
      <c r="H737" s="219"/>
      <c r="I737" s="220"/>
      <c r="J737" s="220"/>
      <c r="K737" s="221"/>
      <c r="L737" s="222"/>
      <c r="M737" s="221"/>
      <c r="N737" s="218"/>
      <c r="O737" s="219"/>
      <c r="P737" s="111"/>
      <c r="Q737" s="223"/>
      <c r="R737" s="218"/>
      <c r="S737" s="111"/>
    </row>
    <row r="738" ht="21.0" customHeight="1">
      <c r="A738" s="216"/>
      <c r="B738" s="111"/>
      <c r="C738" s="111"/>
      <c r="D738" s="111"/>
      <c r="E738" s="217"/>
      <c r="F738" s="218"/>
      <c r="G738" s="219"/>
      <c r="H738" s="219"/>
      <c r="I738" s="220"/>
      <c r="J738" s="220"/>
      <c r="K738" s="221"/>
      <c r="L738" s="222"/>
      <c r="M738" s="221"/>
      <c r="N738" s="218"/>
      <c r="O738" s="219"/>
      <c r="P738" s="111"/>
      <c r="Q738" s="223"/>
      <c r="R738" s="218"/>
      <c r="S738" s="111"/>
    </row>
    <row r="739" ht="21.0" customHeight="1">
      <c r="A739" s="216"/>
      <c r="B739" s="111"/>
      <c r="C739" s="111"/>
      <c r="D739" s="111"/>
      <c r="E739" s="217"/>
      <c r="F739" s="218"/>
      <c r="G739" s="219"/>
      <c r="H739" s="219"/>
      <c r="I739" s="220"/>
      <c r="J739" s="220"/>
      <c r="K739" s="221"/>
      <c r="L739" s="222"/>
      <c r="M739" s="221"/>
      <c r="N739" s="218"/>
      <c r="O739" s="219"/>
      <c r="P739" s="111"/>
      <c r="Q739" s="223"/>
      <c r="R739" s="218"/>
      <c r="S739" s="111"/>
    </row>
    <row r="740" ht="21.0" customHeight="1">
      <c r="A740" s="216"/>
      <c r="B740" s="111"/>
      <c r="C740" s="111"/>
      <c r="D740" s="111"/>
      <c r="E740" s="217"/>
      <c r="F740" s="218"/>
      <c r="G740" s="219"/>
      <c r="H740" s="219"/>
      <c r="I740" s="220"/>
      <c r="J740" s="220"/>
      <c r="K740" s="221"/>
      <c r="L740" s="222"/>
      <c r="M740" s="221"/>
      <c r="N740" s="218"/>
      <c r="O740" s="219"/>
      <c r="P740" s="111"/>
      <c r="Q740" s="223"/>
      <c r="R740" s="218"/>
      <c r="S740" s="111"/>
    </row>
    <row r="741" ht="21.0" customHeight="1">
      <c r="A741" s="216"/>
      <c r="B741" s="111"/>
      <c r="C741" s="111"/>
      <c r="D741" s="111"/>
      <c r="E741" s="217"/>
      <c r="F741" s="218"/>
      <c r="G741" s="219"/>
      <c r="H741" s="219"/>
      <c r="I741" s="220"/>
      <c r="J741" s="220"/>
      <c r="K741" s="221"/>
      <c r="L741" s="222"/>
      <c r="M741" s="221"/>
      <c r="N741" s="218"/>
      <c r="O741" s="219"/>
      <c r="P741" s="111"/>
      <c r="Q741" s="223"/>
      <c r="R741" s="218"/>
      <c r="S741" s="111"/>
    </row>
    <row r="742" ht="21.0" customHeight="1">
      <c r="A742" s="216"/>
      <c r="B742" s="111"/>
      <c r="C742" s="111"/>
      <c r="D742" s="111"/>
      <c r="E742" s="217"/>
      <c r="F742" s="218"/>
      <c r="G742" s="219"/>
      <c r="H742" s="219"/>
      <c r="I742" s="220"/>
      <c r="J742" s="220"/>
      <c r="K742" s="221"/>
      <c r="L742" s="222"/>
      <c r="M742" s="221"/>
      <c r="N742" s="218"/>
      <c r="O742" s="219"/>
      <c r="P742" s="111"/>
      <c r="Q742" s="223"/>
      <c r="R742" s="218"/>
      <c r="S742" s="111"/>
    </row>
    <row r="743" ht="21.0" customHeight="1">
      <c r="A743" s="216"/>
      <c r="B743" s="111"/>
      <c r="C743" s="111"/>
      <c r="D743" s="111"/>
      <c r="E743" s="217"/>
      <c r="F743" s="218"/>
      <c r="G743" s="219"/>
      <c r="H743" s="219"/>
      <c r="I743" s="220"/>
      <c r="J743" s="220"/>
      <c r="K743" s="221"/>
      <c r="L743" s="222"/>
      <c r="M743" s="221"/>
      <c r="N743" s="218"/>
      <c r="O743" s="219"/>
      <c r="P743" s="111"/>
      <c r="Q743" s="223"/>
      <c r="R743" s="218"/>
      <c r="S743" s="111"/>
    </row>
    <row r="744" ht="21.0" customHeight="1">
      <c r="A744" s="216"/>
      <c r="B744" s="111"/>
      <c r="C744" s="111"/>
      <c r="D744" s="111"/>
      <c r="E744" s="217"/>
      <c r="F744" s="218"/>
      <c r="G744" s="219"/>
      <c r="H744" s="219"/>
      <c r="I744" s="220"/>
      <c r="J744" s="220"/>
      <c r="K744" s="221"/>
      <c r="L744" s="222"/>
      <c r="M744" s="221"/>
      <c r="N744" s="218"/>
      <c r="O744" s="219"/>
      <c r="P744" s="111"/>
      <c r="Q744" s="223"/>
      <c r="R744" s="218"/>
      <c r="S744" s="111"/>
    </row>
    <row r="745" ht="21.0" customHeight="1">
      <c r="A745" s="216"/>
      <c r="B745" s="111"/>
      <c r="C745" s="111"/>
      <c r="D745" s="111"/>
      <c r="E745" s="217"/>
      <c r="F745" s="218"/>
      <c r="G745" s="219"/>
      <c r="H745" s="219"/>
      <c r="I745" s="220"/>
      <c r="J745" s="220"/>
      <c r="K745" s="221"/>
      <c r="L745" s="222"/>
      <c r="M745" s="221"/>
      <c r="N745" s="218"/>
      <c r="O745" s="219"/>
      <c r="P745" s="111"/>
      <c r="Q745" s="223"/>
      <c r="R745" s="218"/>
      <c r="S745" s="111"/>
    </row>
    <row r="746" ht="21.0" customHeight="1">
      <c r="A746" s="216"/>
      <c r="B746" s="111"/>
      <c r="C746" s="111"/>
      <c r="D746" s="111"/>
      <c r="E746" s="217"/>
      <c r="F746" s="218"/>
      <c r="G746" s="219"/>
      <c r="H746" s="219"/>
      <c r="I746" s="220"/>
      <c r="J746" s="220"/>
      <c r="K746" s="221"/>
      <c r="L746" s="222"/>
      <c r="M746" s="221"/>
      <c r="N746" s="218"/>
      <c r="O746" s="219"/>
      <c r="P746" s="111"/>
      <c r="Q746" s="223"/>
      <c r="R746" s="218"/>
      <c r="S746" s="111"/>
    </row>
    <row r="747" ht="21.0" customHeight="1">
      <c r="A747" s="216"/>
      <c r="B747" s="111"/>
      <c r="C747" s="111"/>
      <c r="D747" s="111"/>
      <c r="E747" s="217"/>
      <c r="F747" s="218"/>
      <c r="G747" s="219"/>
      <c r="H747" s="219"/>
      <c r="I747" s="220"/>
      <c r="J747" s="220"/>
      <c r="K747" s="221"/>
      <c r="L747" s="222"/>
      <c r="M747" s="221"/>
      <c r="N747" s="218"/>
      <c r="O747" s="219"/>
      <c r="P747" s="111"/>
      <c r="Q747" s="223"/>
      <c r="R747" s="218"/>
      <c r="S747" s="111"/>
    </row>
    <row r="748" ht="21.0" customHeight="1">
      <c r="A748" s="216"/>
      <c r="B748" s="111"/>
      <c r="C748" s="111"/>
      <c r="D748" s="111"/>
      <c r="E748" s="217"/>
      <c r="F748" s="218"/>
      <c r="G748" s="219"/>
      <c r="H748" s="219"/>
      <c r="I748" s="220"/>
      <c r="J748" s="220"/>
      <c r="K748" s="221"/>
      <c r="L748" s="222"/>
      <c r="M748" s="221"/>
      <c r="N748" s="218"/>
      <c r="O748" s="219"/>
      <c r="P748" s="111"/>
      <c r="Q748" s="223"/>
      <c r="R748" s="218"/>
      <c r="S748" s="111"/>
    </row>
    <row r="749" ht="21.0" customHeight="1">
      <c r="A749" s="216"/>
      <c r="B749" s="111"/>
      <c r="C749" s="111"/>
      <c r="D749" s="111"/>
      <c r="E749" s="217"/>
      <c r="F749" s="218"/>
      <c r="G749" s="219"/>
      <c r="H749" s="219"/>
      <c r="I749" s="220"/>
      <c r="J749" s="220"/>
      <c r="K749" s="221"/>
      <c r="L749" s="222"/>
      <c r="M749" s="221"/>
      <c r="N749" s="218"/>
      <c r="O749" s="219"/>
      <c r="P749" s="111"/>
      <c r="Q749" s="223"/>
      <c r="R749" s="218"/>
      <c r="S749" s="111"/>
    </row>
    <row r="750" ht="21.0" customHeight="1">
      <c r="A750" s="216"/>
      <c r="B750" s="111"/>
      <c r="C750" s="111"/>
      <c r="D750" s="111"/>
      <c r="E750" s="217"/>
      <c r="F750" s="218"/>
      <c r="G750" s="219"/>
      <c r="H750" s="219"/>
      <c r="I750" s="220"/>
      <c r="J750" s="220"/>
      <c r="K750" s="221"/>
      <c r="L750" s="222"/>
      <c r="M750" s="221"/>
      <c r="N750" s="218"/>
      <c r="O750" s="219"/>
      <c r="P750" s="111"/>
      <c r="Q750" s="223"/>
      <c r="R750" s="218"/>
      <c r="S750" s="111"/>
    </row>
    <row r="751" ht="21.0" customHeight="1">
      <c r="A751" s="216"/>
      <c r="B751" s="111"/>
      <c r="C751" s="111"/>
      <c r="D751" s="111"/>
      <c r="E751" s="217"/>
      <c r="F751" s="218"/>
      <c r="G751" s="219"/>
      <c r="H751" s="219"/>
      <c r="I751" s="220"/>
      <c r="J751" s="220"/>
      <c r="K751" s="221"/>
      <c r="L751" s="222"/>
      <c r="M751" s="221"/>
      <c r="N751" s="218"/>
      <c r="O751" s="219"/>
      <c r="P751" s="111"/>
      <c r="Q751" s="223"/>
      <c r="R751" s="218"/>
      <c r="S751" s="111"/>
    </row>
    <row r="752" ht="21.0" customHeight="1">
      <c r="A752" s="216"/>
      <c r="B752" s="111"/>
      <c r="C752" s="111"/>
      <c r="D752" s="111"/>
      <c r="E752" s="217"/>
      <c r="F752" s="218"/>
      <c r="G752" s="219"/>
      <c r="H752" s="219"/>
      <c r="I752" s="220"/>
      <c r="J752" s="220"/>
      <c r="K752" s="221"/>
      <c r="L752" s="222"/>
      <c r="M752" s="221"/>
      <c r="N752" s="218"/>
      <c r="O752" s="219"/>
      <c r="P752" s="111"/>
      <c r="Q752" s="223"/>
      <c r="R752" s="218"/>
      <c r="S752" s="111"/>
    </row>
    <row r="753" ht="21.0" customHeight="1">
      <c r="A753" s="216"/>
      <c r="B753" s="111"/>
      <c r="C753" s="111"/>
      <c r="D753" s="111"/>
      <c r="E753" s="217"/>
      <c r="F753" s="218"/>
      <c r="G753" s="219"/>
      <c r="H753" s="219"/>
      <c r="I753" s="220"/>
      <c r="J753" s="220"/>
      <c r="K753" s="221"/>
      <c r="L753" s="222"/>
      <c r="M753" s="221"/>
      <c r="N753" s="218"/>
      <c r="O753" s="219"/>
      <c r="P753" s="111"/>
      <c r="Q753" s="223"/>
      <c r="R753" s="218"/>
      <c r="S753" s="111"/>
    </row>
    <row r="754" ht="21.0" customHeight="1">
      <c r="A754" s="216"/>
      <c r="B754" s="111"/>
      <c r="C754" s="111"/>
      <c r="D754" s="111"/>
      <c r="E754" s="217"/>
      <c r="F754" s="218"/>
      <c r="G754" s="219"/>
      <c r="H754" s="219"/>
      <c r="I754" s="220"/>
      <c r="J754" s="220"/>
      <c r="K754" s="221"/>
      <c r="L754" s="222"/>
      <c r="M754" s="221"/>
      <c r="N754" s="218"/>
      <c r="O754" s="219"/>
      <c r="P754" s="111"/>
      <c r="Q754" s="223"/>
      <c r="R754" s="218"/>
      <c r="S754" s="111"/>
    </row>
    <row r="755" ht="21.0" customHeight="1">
      <c r="A755" s="216"/>
      <c r="B755" s="111"/>
      <c r="C755" s="111"/>
      <c r="D755" s="111"/>
      <c r="E755" s="217"/>
      <c r="F755" s="218"/>
      <c r="G755" s="219"/>
      <c r="H755" s="219"/>
      <c r="I755" s="220"/>
      <c r="J755" s="220"/>
      <c r="K755" s="221"/>
      <c r="L755" s="222"/>
      <c r="M755" s="221"/>
      <c r="N755" s="218"/>
      <c r="O755" s="219"/>
      <c r="P755" s="111"/>
      <c r="Q755" s="223"/>
      <c r="R755" s="218"/>
      <c r="S755" s="111"/>
    </row>
    <row r="756" ht="21.0" customHeight="1">
      <c r="A756" s="216"/>
      <c r="B756" s="111"/>
      <c r="C756" s="111"/>
      <c r="D756" s="111"/>
      <c r="E756" s="217"/>
      <c r="F756" s="218"/>
      <c r="G756" s="219"/>
      <c r="H756" s="219"/>
      <c r="I756" s="220"/>
      <c r="J756" s="220"/>
      <c r="K756" s="221"/>
      <c r="L756" s="222"/>
      <c r="M756" s="221"/>
      <c r="N756" s="218"/>
      <c r="O756" s="219"/>
      <c r="P756" s="111"/>
      <c r="Q756" s="223"/>
      <c r="R756" s="218"/>
      <c r="S756" s="111"/>
    </row>
    <row r="757" ht="21.0" customHeight="1">
      <c r="A757" s="216"/>
      <c r="B757" s="111"/>
      <c r="C757" s="111"/>
      <c r="D757" s="111"/>
      <c r="E757" s="217"/>
      <c r="F757" s="218"/>
      <c r="G757" s="219"/>
      <c r="H757" s="219"/>
      <c r="I757" s="220"/>
      <c r="J757" s="220"/>
      <c r="K757" s="221"/>
      <c r="L757" s="222"/>
      <c r="M757" s="221"/>
      <c r="N757" s="218"/>
      <c r="O757" s="219"/>
      <c r="P757" s="111"/>
      <c r="Q757" s="223"/>
      <c r="R757" s="218"/>
      <c r="S757" s="111"/>
    </row>
    <row r="758" ht="21.0" customHeight="1">
      <c r="A758" s="216"/>
      <c r="B758" s="111"/>
      <c r="C758" s="111"/>
      <c r="D758" s="111"/>
      <c r="E758" s="217"/>
      <c r="F758" s="218"/>
      <c r="G758" s="219"/>
      <c r="H758" s="219"/>
      <c r="I758" s="220"/>
      <c r="J758" s="220"/>
      <c r="K758" s="221"/>
      <c r="L758" s="222"/>
      <c r="M758" s="221"/>
      <c r="N758" s="218"/>
      <c r="O758" s="219"/>
      <c r="P758" s="111"/>
      <c r="Q758" s="223"/>
      <c r="R758" s="218"/>
      <c r="S758" s="111"/>
    </row>
    <row r="759" ht="21.0" customHeight="1">
      <c r="A759" s="216"/>
      <c r="B759" s="111"/>
      <c r="C759" s="111"/>
      <c r="D759" s="111"/>
      <c r="E759" s="217"/>
      <c r="F759" s="218"/>
      <c r="G759" s="219"/>
      <c r="H759" s="219"/>
      <c r="I759" s="220"/>
      <c r="J759" s="220"/>
      <c r="K759" s="221"/>
      <c r="L759" s="222"/>
      <c r="M759" s="221"/>
      <c r="N759" s="218"/>
      <c r="O759" s="219"/>
      <c r="P759" s="111"/>
      <c r="Q759" s="223"/>
      <c r="R759" s="218"/>
      <c r="S759" s="111"/>
    </row>
    <row r="760" ht="21.0" customHeight="1">
      <c r="A760" s="216"/>
      <c r="B760" s="111"/>
      <c r="C760" s="111"/>
      <c r="D760" s="111"/>
      <c r="E760" s="217"/>
      <c r="F760" s="218"/>
      <c r="G760" s="219"/>
      <c r="H760" s="219"/>
      <c r="I760" s="220"/>
      <c r="J760" s="220"/>
      <c r="K760" s="221"/>
      <c r="L760" s="222"/>
      <c r="M760" s="221"/>
      <c r="N760" s="218"/>
      <c r="O760" s="219"/>
      <c r="P760" s="111"/>
      <c r="Q760" s="223"/>
      <c r="R760" s="218"/>
      <c r="S760" s="111"/>
    </row>
    <row r="761" ht="21.0" customHeight="1">
      <c r="A761" s="216"/>
      <c r="B761" s="111"/>
      <c r="C761" s="111"/>
      <c r="D761" s="111"/>
      <c r="E761" s="217"/>
      <c r="F761" s="218"/>
      <c r="G761" s="219"/>
      <c r="H761" s="219"/>
      <c r="I761" s="220"/>
      <c r="J761" s="220"/>
      <c r="K761" s="221"/>
      <c r="L761" s="222"/>
      <c r="M761" s="221"/>
      <c r="N761" s="218"/>
      <c r="O761" s="219"/>
      <c r="P761" s="111"/>
      <c r="Q761" s="223"/>
      <c r="R761" s="218"/>
      <c r="S761" s="111"/>
    </row>
    <row r="762" ht="21.0" customHeight="1">
      <c r="A762" s="216"/>
      <c r="B762" s="111"/>
      <c r="C762" s="111"/>
      <c r="D762" s="111"/>
      <c r="E762" s="217"/>
      <c r="F762" s="218"/>
      <c r="G762" s="219"/>
      <c r="H762" s="219"/>
      <c r="I762" s="220"/>
      <c r="J762" s="220"/>
      <c r="K762" s="221"/>
      <c r="L762" s="222"/>
      <c r="M762" s="221"/>
      <c r="N762" s="218"/>
      <c r="O762" s="219"/>
      <c r="P762" s="111"/>
      <c r="Q762" s="223"/>
      <c r="R762" s="218"/>
      <c r="S762" s="111"/>
    </row>
    <row r="763" ht="21.0" customHeight="1">
      <c r="A763" s="216"/>
      <c r="B763" s="111"/>
      <c r="C763" s="111"/>
      <c r="D763" s="111"/>
      <c r="E763" s="217"/>
      <c r="F763" s="218"/>
      <c r="G763" s="219"/>
      <c r="H763" s="219"/>
      <c r="I763" s="220"/>
      <c r="J763" s="220"/>
      <c r="K763" s="221"/>
      <c r="L763" s="222"/>
      <c r="M763" s="221"/>
      <c r="N763" s="218"/>
      <c r="O763" s="219"/>
      <c r="P763" s="111"/>
      <c r="Q763" s="223"/>
      <c r="R763" s="218"/>
      <c r="S763" s="111"/>
    </row>
    <row r="764" ht="21.0" customHeight="1">
      <c r="A764" s="216"/>
      <c r="B764" s="111"/>
      <c r="C764" s="111"/>
      <c r="D764" s="111"/>
      <c r="E764" s="217"/>
      <c r="F764" s="218"/>
      <c r="G764" s="219"/>
      <c r="H764" s="219"/>
      <c r="I764" s="220"/>
      <c r="J764" s="220"/>
      <c r="K764" s="221"/>
      <c r="L764" s="222"/>
      <c r="M764" s="221"/>
      <c r="N764" s="218"/>
      <c r="O764" s="219"/>
      <c r="P764" s="111"/>
      <c r="Q764" s="223"/>
      <c r="R764" s="218"/>
      <c r="S764" s="111"/>
    </row>
    <row r="765" ht="21.0" customHeight="1">
      <c r="A765" s="216"/>
      <c r="B765" s="111"/>
      <c r="C765" s="111"/>
      <c r="D765" s="111"/>
      <c r="E765" s="217"/>
      <c r="F765" s="218"/>
      <c r="G765" s="219"/>
      <c r="H765" s="219"/>
      <c r="I765" s="220"/>
      <c r="J765" s="220"/>
      <c r="K765" s="221"/>
      <c r="L765" s="222"/>
      <c r="M765" s="221"/>
      <c r="N765" s="218"/>
      <c r="O765" s="219"/>
      <c r="P765" s="111"/>
      <c r="Q765" s="223"/>
      <c r="R765" s="218"/>
      <c r="S765" s="111"/>
    </row>
    <row r="766" ht="21.0" customHeight="1">
      <c r="A766" s="216"/>
      <c r="B766" s="111"/>
      <c r="C766" s="111"/>
      <c r="D766" s="111"/>
      <c r="E766" s="217"/>
      <c r="F766" s="218"/>
      <c r="G766" s="219"/>
      <c r="H766" s="219"/>
      <c r="I766" s="220"/>
      <c r="J766" s="220"/>
      <c r="K766" s="221"/>
      <c r="L766" s="222"/>
      <c r="M766" s="221"/>
      <c r="N766" s="218"/>
      <c r="O766" s="219"/>
      <c r="P766" s="111"/>
      <c r="Q766" s="223"/>
      <c r="R766" s="218"/>
      <c r="S766" s="111"/>
    </row>
    <row r="767" ht="21.0" customHeight="1">
      <c r="A767" s="216"/>
      <c r="B767" s="111"/>
      <c r="C767" s="111"/>
      <c r="D767" s="111"/>
      <c r="E767" s="217"/>
      <c r="F767" s="218"/>
      <c r="G767" s="219"/>
      <c r="H767" s="219"/>
      <c r="I767" s="220"/>
      <c r="J767" s="220"/>
      <c r="K767" s="221"/>
      <c r="L767" s="222"/>
      <c r="M767" s="221"/>
      <c r="N767" s="218"/>
      <c r="O767" s="219"/>
      <c r="P767" s="111"/>
      <c r="Q767" s="223"/>
      <c r="R767" s="218"/>
      <c r="S767" s="111"/>
    </row>
    <row r="768" ht="21.0" customHeight="1">
      <c r="A768" s="216"/>
      <c r="B768" s="111"/>
      <c r="C768" s="111"/>
      <c r="D768" s="111"/>
      <c r="E768" s="217"/>
      <c r="F768" s="218"/>
      <c r="G768" s="219"/>
      <c r="H768" s="219"/>
      <c r="I768" s="220"/>
      <c r="J768" s="220"/>
      <c r="K768" s="221"/>
      <c r="L768" s="222"/>
      <c r="M768" s="221"/>
      <c r="N768" s="218"/>
      <c r="O768" s="219"/>
      <c r="P768" s="111"/>
      <c r="Q768" s="223"/>
      <c r="R768" s="218"/>
      <c r="S768" s="111"/>
    </row>
    <row r="769" ht="21.0" customHeight="1">
      <c r="A769" s="216"/>
      <c r="B769" s="111"/>
      <c r="C769" s="111"/>
      <c r="D769" s="111"/>
      <c r="E769" s="217"/>
      <c r="F769" s="218"/>
      <c r="G769" s="219"/>
      <c r="H769" s="219"/>
      <c r="I769" s="220"/>
      <c r="J769" s="220"/>
      <c r="K769" s="221"/>
      <c r="L769" s="222"/>
      <c r="M769" s="221"/>
      <c r="N769" s="218"/>
      <c r="O769" s="219"/>
      <c r="P769" s="111"/>
      <c r="Q769" s="223"/>
      <c r="R769" s="218"/>
      <c r="S769" s="111"/>
    </row>
    <row r="770" ht="21.0" customHeight="1">
      <c r="A770" s="216"/>
      <c r="B770" s="111"/>
      <c r="C770" s="111"/>
      <c r="D770" s="111"/>
      <c r="E770" s="217"/>
      <c r="F770" s="218"/>
      <c r="G770" s="219"/>
      <c r="H770" s="219"/>
      <c r="I770" s="220"/>
      <c r="J770" s="220"/>
      <c r="K770" s="221"/>
      <c r="L770" s="222"/>
      <c r="M770" s="221"/>
      <c r="N770" s="218"/>
      <c r="O770" s="219"/>
      <c r="P770" s="111"/>
      <c r="Q770" s="223"/>
      <c r="R770" s="218"/>
      <c r="S770" s="111"/>
    </row>
    <row r="771" ht="21.0" customHeight="1">
      <c r="A771" s="216"/>
      <c r="B771" s="111"/>
      <c r="C771" s="111"/>
      <c r="D771" s="111"/>
      <c r="E771" s="217"/>
      <c r="F771" s="218"/>
      <c r="G771" s="219"/>
      <c r="H771" s="219"/>
      <c r="I771" s="220"/>
      <c r="J771" s="220"/>
      <c r="K771" s="221"/>
      <c r="L771" s="222"/>
      <c r="M771" s="221"/>
      <c r="N771" s="218"/>
      <c r="O771" s="219"/>
      <c r="P771" s="111"/>
      <c r="Q771" s="223"/>
      <c r="R771" s="218"/>
      <c r="S771" s="111"/>
    </row>
    <row r="772" ht="21.0" customHeight="1">
      <c r="A772" s="216"/>
      <c r="B772" s="111"/>
      <c r="C772" s="111"/>
      <c r="D772" s="111"/>
      <c r="E772" s="217"/>
      <c r="F772" s="218"/>
      <c r="G772" s="219"/>
      <c r="H772" s="219"/>
      <c r="I772" s="220"/>
      <c r="J772" s="220"/>
      <c r="K772" s="221"/>
      <c r="L772" s="222"/>
      <c r="M772" s="221"/>
      <c r="N772" s="218"/>
      <c r="O772" s="219"/>
      <c r="P772" s="111"/>
      <c r="Q772" s="223"/>
      <c r="R772" s="218"/>
      <c r="S772" s="111"/>
    </row>
    <row r="773" ht="21.0" customHeight="1">
      <c r="A773" s="216"/>
      <c r="B773" s="111"/>
      <c r="C773" s="111"/>
      <c r="D773" s="111"/>
      <c r="E773" s="217"/>
      <c r="F773" s="218"/>
      <c r="G773" s="219"/>
      <c r="H773" s="219"/>
      <c r="I773" s="220"/>
      <c r="J773" s="220"/>
      <c r="K773" s="221"/>
      <c r="L773" s="222"/>
      <c r="M773" s="221"/>
      <c r="N773" s="218"/>
      <c r="O773" s="219"/>
      <c r="P773" s="111"/>
      <c r="Q773" s="223"/>
      <c r="R773" s="218"/>
      <c r="S773" s="111"/>
    </row>
    <row r="774" ht="21.0" customHeight="1">
      <c r="A774" s="216"/>
      <c r="B774" s="111"/>
      <c r="C774" s="111"/>
      <c r="D774" s="111"/>
      <c r="E774" s="217"/>
      <c r="F774" s="218"/>
      <c r="G774" s="219"/>
      <c r="H774" s="219"/>
      <c r="I774" s="220"/>
      <c r="J774" s="220"/>
      <c r="K774" s="221"/>
      <c r="L774" s="222"/>
      <c r="M774" s="221"/>
      <c r="N774" s="218"/>
      <c r="O774" s="219"/>
      <c r="P774" s="111"/>
      <c r="Q774" s="223"/>
      <c r="R774" s="218"/>
      <c r="S774" s="111"/>
    </row>
    <row r="775" ht="21.0" customHeight="1">
      <c r="A775" s="216"/>
      <c r="B775" s="111"/>
      <c r="C775" s="111"/>
      <c r="D775" s="111"/>
      <c r="E775" s="217"/>
      <c r="F775" s="218"/>
      <c r="G775" s="219"/>
      <c r="H775" s="219"/>
      <c r="I775" s="220"/>
      <c r="J775" s="220"/>
      <c r="K775" s="221"/>
      <c r="L775" s="222"/>
      <c r="M775" s="221"/>
      <c r="N775" s="218"/>
      <c r="O775" s="219"/>
      <c r="P775" s="111"/>
      <c r="Q775" s="223"/>
      <c r="R775" s="218"/>
      <c r="S775" s="111"/>
    </row>
    <row r="776" ht="21.0" customHeight="1">
      <c r="A776" s="216"/>
      <c r="B776" s="111"/>
      <c r="C776" s="111"/>
      <c r="D776" s="111"/>
      <c r="E776" s="217"/>
      <c r="F776" s="218"/>
      <c r="G776" s="219"/>
      <c r="H776" s="219"/>
      <c r="I776" s="220"/>
      <c r="J776" s="220"/>
      <c r="K776" s="221"/>
      <c r="L776" s="222"/>
      <c r="M776" s="221"/>
      <c r="N776" s="218"/>
      <c r="O776" s="219"/>
      <c r="P776" s="111"/>
      <c r="Q776" s="223"/>
      <c r="R776" s="218"/>
      <c r="S776" s="111"/>
    </row>
    <row r="777" ht="21.0" customHeight="1">
      <c r="A777" s="216"/>
      <c r="B777" s="111"/>
      <c r="C777" s="111"/>
      <c r="D777" s="111"/>
      <c r="E777" s="217"/>
      <c r="F777" s="218"/>
      <c r="G777" s="219"/>
      <c r="H777" s="219"/>
      <c r="I777" s="220"/>
      <c r="J777" s="220"/>
      <c r="K777" s="221"/>
      <c r="L777" s="222"/>
      <c r="M777" s="221"/>
      <c r="N777" s="218"/>
      <c r="O777" s="219"/>
      <c r="P777" s="111"/>
      <c r="Q777" s="223"/>
      <c r="R777" s="218"/>
      <c r="S777" s="111"/>
    </row>
    <row r="778" ht="21.0" customHeight="1">
      <c r="A778" s="216"/>
      <c r="B778" s="111"/>
      <c r="C778" s="111"/>
      <c r="D778" s="111"/>
      <c r="E778" s="217"/>
      <c r="F778" s="218"/>
      <c r="G778" s="219"/>
      <c r="H778" s="219"/>
      <c r="I778" s="220"/>
      <c r="J778" s="220"/>
      <c r="K778" s="221"/>
      <c r="L778" s="222"/>
      <c r="M778" s="221"/>
      <c r="N778" s="218"/>
      <c r="O778" s="219"/>
      <c r="P778" s="111"/>
      <c r="Q778" s="223"/>
      <c r="R778" s="218"/>
      <c r="S778" s="111"/>
    </row>
    <row r="779" ht="21.0" customHeight="1">
      <c r="A779" s="216"/>
      <c r="B779" s="111"/>
      <c r="C779" s="111"/>
      <c r="D779" s="111"/>
      <c r="E779" s="217"/>
      <c r="F779" s="218"/>
      <c r="G779" s="219"/>
      <c r="H779" s="219"/>
      <c r="I779" s="220"/>
      <c r="J779" s="220"/>
      <c r="K779" s="221"/>
      <c r="L779" s="222"/>
      <c r="M779" s="221"/>
      <c r="N779" s="218"/>
      <c r="O779" s="219"/>
      <c r="P779" s="111"/>
      <c r="Q779" s="223"/>
      <c r="R779" s="218"/>
      <c r="S779" s="111"/>
    </row>
    <row r="780" ht="21.0" customHeight="1">
      <c r="A780" s="216"/>
      <c r="B780" s="111"/>
      <c r="C780" s="111"/>
      <c r="D780" s="111"/>
      <c r="E780" s="217"/>
      <c r="F780" s="218"/>
      <c r="G780" s="219"/>
      <c r="H780" s="219"/>
      <c r="I780" s="220"/>
      <c r="J780" s="220"/>
      <c r="K780" s="221"/>
      <c r="L780" s="222"/>
      <c r="M780" s="221"/>
      <c r="N780" s="218"/>
      <c r="O780" s="219"/>
      <c r="P780" s="111"/>
      <c r="Q780" s="223"/>
      <c r="R780" s="218"/>
      <c r="S780" s="111"/>
    </row>
    <row r="781" ht="21.0" customHeight="1">
      <c r="A781" s="216"/>
      <c r="B781" s="111"/>
      <c r="C781" s="111"/>
      <c r="D781" s="111"/>
      <c r="E781" s="217"/>
      <c r="F781" s="218"/>
      <c r="G781" s="219"/>
      <c r="H781" s="219"/>
      <c r="I781" s="220"/>
      <c r="J781" s="220"/>
      <c r="K781" s="221"/>
      <c r="L781" s="222"/>
      <c r="M781" s="221"/>
      <c r="N781" s="218"/>
      <c r="O781" s="219"/>
      <c r="P781" s="111"/>
      <c r="Q781" s="223"/>
      <c r="R781" s="218"/>
      <c r="S781" s="111"/>
    </row>
    <row r="782" ht="21.0" customHeight="1">
      <c r="A782" s="216"/>
      <c r="B782" s="111"/>
      <c r="C782" s="111"/>
      <c r="D782" s="111"/>
      <c r="E782" s="217"/>
      <c r="F782" s="218"/>
      <c r="G782" s="219"/>
      <c r="H782" s="219"/>
      <c r="I782" s="220"/>
      <c r="J782" s="220"/>
      <c r="K782" s="221"/>
      <c r="L782" s="222"/>
      <c r="M782" s="221"/>
      <c r="N782" s="218"/>
      <c r="O782" s="219"/>
      <c r="P782" s="111"/>
      <c r="Q782" s="223"/>
      <c r="R782" s="218"/>
      <c r="S782" s="111"/>
    </row>
    <row r="783" ht="21.0" customHeight="1">
      <c r="A783" s="216"/>
      <c r="B783" s="111"/>
      <c r="C783" s="111"/>
      <c r="D783" s="111"/>
      <c r="E783" s="217"/>
      <c r="F783" s="218"/>
      <c r="G783" s="219"/>
      <c r="H783" s="219"/>
      <c r="I783" s="220"/>
      <c r="J783" s="220"/>
      <c r="K783" s="221"/>
      <c r="L783" s="222"/>
      <c r="M783" s="221"/>
      <c r="N783" s="218"/>
      <c r="O783" s="219"/>
      <c r="P783" s="111"/>
      <c r="Q783" s="223"/>
      <c r="R783" s="218"/>
      <c r="S783" s="111"/>
    </row>
    <row r="784" ht="21.0" customHeight="1">
      <c r="A784" s="216"/>
      <c r="B784" s="111"/>
      <c r="C784" s="111"/>
      <c r="D784" s="111"/>
      <c r="E784" s="217"/>
      <c r="F784" s="218"/>
      <c r="G784" s="219"/>
      <c r="H784" s="219"/>
      <c r="I784" s="220"/>
      <c r="J784" s="220"/>
      <c r="K784" s="221"/>
      <c r="L784" s="222"/>
      <c r="M784" s="221"/>
      <c r="N784" s="218"/>
      <c r="O784" s="219"/>
      <c r="P784" s="111"/>
      <c r="Q784" s="223"/>
      <c r="R784" s="218"/>
      <c r="S784" s="111"/>
    </row>
    <row r="785" ht="21.0" customHeight="1">
      <c r="A785" s="216"/>
      <c r="B785" s="111"/>
      <c r="C785" s="111"/>
      <c r="D785" s="111"/>
      <c r="E785" s="217"/>
      <c r="F785" s="218"/>
      <c r="G785" s="219"/>
      <c r="H785" s="219"/>
      <c r="I785" s="220"/>
      <c r="J785" s="220"/>
      <c r="K785" s="221"/>
      <c r="L785" s="222"/>
      <c r="M785" s="221"/>
      <c r="N785" s="218"/>
      <c r="O785" s="219"/>
      <c r="P785" s="111"/>
      <c r="Q785" s="223"/>
      <c r="R785" s="218"/>
      <c r="S785" s="111"/>
    </row>
    <row r="786" ht="21.0" customHeight="1">
      <c r="A786" s="216"/>
      <c r="B786" s="111"/>
      <c r="C786" s="111"/>
      <c r="D786" s="111"/>
      <c r="E786" s="217"/>
      <c r="F786" s="218"/>
      <c r="G786" s="219"/>
      <c r="H786" s="219"/>
      <c r="I786" s="220"/>
      <c r="J786" s="220"/>
      <c r="K786" s="221"/>
      <c r="L786" s="222"/>
      <c r="M786" s="221"/>
      <c r="N786" s="218"/>
      <c r="O786" s="219"/>
      <c r="P786" s="111"/>
      <c r="Q786" s="223"/>
      <c r="R786" s="218"/>
      <c r="S786" s="111"/>
    </row>
    <row r="787" ht="21.0" customHeight="1">
      <c r="A787" s="216"/>
      <c r="B787" s="111"/>
      <c r="C787" s="111"/>
      <c r="D787" s="111"/>
      <c r="E787" s="217"/>
      <c r="F787" s="218"/>
      <c r="G787" s="219"/>
      <c r="H787" s="219"/>
      <c r="I787" s="220"/>
      <c r="J787" s="220"/>
      <c r="K787" s="221"/>
      <c r="L787" s="222"/>
      <c r="M787" s="221"/>
      <c r="N787" s="218"/>
      <c r="O787" s="219"/>
      <c r="P787" s="111"/>
      <c r="Q787" s="223"/>
      <c r="R787" s="218"/>
      <c r="S787" s="111"/>
    </row>
    <row r="788" ht="21.0" customHeight="1">
      <c r="A788" s="216"/>
      <c r="B788" s="111"/>
      <c r="C788" s="111"/>
      <c r="D788" s="111"/>
      <c r="E788" s="217"/>
      <c r="F788" s="218"/>
      <c r="G788" s="219"/>
      <c r="H788" s="219"/>
      <c r="I788" s="220"/>
      <c r="J788" s="220"/>
      <c r="K788" s="221"/>
      <c r="L788" s="222"/>
      <c r="M788" s="221"/>
      <c r="N788" s="218"/>
      <c r="O788" s="219"/>
      <c r="P788" s="111"/>
      <c r="Q788" s="223"/>
      <c r="R788" s="218"/>
      <c r="S788" s="111"/>
    </row>
    <row r="789" ht="21.0" customHeight="1">
      <c r="A789" s="216"/>
      <c r="B789" s="111"/>
      <c r="C789" s="111"/>
      <c r="D789" s="111"/>
      <c r="E789" s="217"/>
      <c r="F789" s="218"/>
      <c r="G789" s="219"/>
      <c r="H789" s="219"/>
      <c r="I789" s="220"/>
      <c r="J789" s="220"/>
      <c r="K789" s="221"/>
      <c r="L789" s="222"/>
      <c r="M789" s="221"/>
      <c r="N789" s="218"/>
      <c r="O789" s="219"/>
      <c r="P789" s="111"/>
      <c r="Q789" s="223"/>
      <c r="R789" s="218"/>
      <c r="S789" s="111"/>
    </row>
    <row r="790" ht="21.0" customHeight="1">
      <c r="A790" s="216"/>
      <c r="B790" s="111"/>
      <c r="C790" s="111"/>
      <c r="D790" s="111"/>
      <c r="E790" s="217"/>
      <c r="F790" s="218"/>
      <c r="G790" s="219"/>
      <c r="H790" s="219"/>
      <c r="I790" s="220"/>
      <c r="J790" s="220"/>
      <c r="K790" s="221"/>
      <c r="L790" s="222"/>
      <c r="M790" s="221"/>
      <c r="N790" s="218"/>
      <c r="O790" s="219"/>
      <c r="P790" s="111"/>
      <c r="Q790" s="223"/>
      <c r="R790" s="218"/>
      <c r="S790" s="111"/>
    </row>
    <row r="791" ht="21.0" customHeight="1">
      <c r="A791" s="216"/>
      <c r="B791" s="111"/>
      <c r="C791" s="111"/>
      <c r="D791" s="111"/>
      <c r="E791" s="217"/>
      <c r="F791" s="218"/>
      <c r="G791" s="219"/>
      <c r="H791" s="219"/>
      <c r="I791" s="220"/>
      <c r="J791" s="220"/>
      <c r="K791" s="221"/>
      <c r="L791" s="222"/>
      <c r="M791" s="221"/>
      <c r="N791" s="218"/>
      <c r="O791" s="219"/>
      <c r="P791" s="111"/>
      <c r="Q791" s="223"/>
      <c r="R791" s="218"/>
      <c r="S791" s="111"/>
    </row>
    <row r="792" ht="21.0" customHeight="1">
      <c r="A792" s="216"/>
      <c r="B792" s="111"/>
      <c r="C792" s="111"/>
      <c r="D792" s="111"/>
      <c r="E792" s="217"/>
      <c r="F792" s="218"/>
      <c r="G792" s="219"/>
      <c r="H792" s="219"/>
      <c r="I792" s="220"/>
      <c r="J792" s="220"/>
      <c r="K792" s="221"/>
      <c r="L792" s="222"/>
      <c r="M792" s="221"/>
      <c r="N792" s="218"/>
      <c r="O792" s="219"/>
      <c r="P792" s="111"/>
      <c r="Q792" s="223"/>
      <c r="R792" s="218"/>
      <c r="S792" s="111"/>
    </row>
    <row r="793" ht="21.0" customHeight="1">
      <c r="A793" s="216"/>
      <c r="B793" s="111"/>
      <c r="C793" s="111"/>
      <c r="D793" s="111"/>
      <c r="E793" s="217"/>
      <c r="F793" s="218"/>
      <c r="G793" s="219"/>
      <c r="H793" s="219"/>
      <c r="I793" s="220"/>
      <c r="J793" s="220"/>
      <c r="K793" s="221"/>
      <c r="L793" s="222"/>
      <c r="M793" s="221"/>
      <c r="N793" s="218"/>
      <c r="O793" s="219"/>
      <c r="P793" s="111"/>
      <c r="Q793" s="223"/>
      <c r="R793" s="218"/>
      <c r="S793" s="111"/>
    </row>
    <row r="794" ht="21.0" customHeight="1">
      <c r="A794" s="216"/>
      <c r="B794" s="111"/>
      <c r="C794" s="111"/>
      <c r="D794" s="111"/>
      <c r="E794" s="217"/>
      <c r="F794" s="218"/>
      <c r="G794" s="219"/>
      <c r="H794" s="219"/>
      <c r="I794" s="220"/>
      <c r="J794" s="220"/>
      <c r="K794" s="221"/>
      <c r="L794" s="222"/>
      <c r="M794" s="221"/>
      <c r="N794" s="218"/>
      <c r="O794" s="219"/>
      <c r="P794" s="111"/>
      <c r="Q794" s="223"/>
      <c r="R794" s="218"/>
      <c r="S794" s="111"/>
    </row>
    <row r="795" ht="21.0" customHeight="1">
      <c r="A795" s="216"/>
      <c r="B795" s="111"/>
      <c r="C795" s="111"/>
      <c r="D795" s="111"/>
      <c r="E795" s="217"/>
      <c r="F795" s="218"/>
      <c r="G795" s="219"/>
      <c r="H795" s="219"/>
      <c r="I795" s="220"/>
      <c r="J795" s="220"/>
      <c r="K795" s="221"/>
      <c r="L795" s="222"/>
      <c r="M795" s="221"/>
      <c r="N795" s="218"/>
      <c r="O795" s="219"/>
      <c r="P795" s="111"/>
      <c r="Q795" s="223"/>
      <c r="R795" s="218"/>
      <c r="S795" s="111"/>
    </row>
    <row r="796" ht="21.0" customHeight="1">
      <c r="A796" s="216"/>
      <c r="B796" s="111"/>
      <c r="C796" s="111"/>
      <c r="D796" s="111"/>
      <c r="E796" s="217"/>
      <c r="F796" s="218"/>
      <c r="G796" s="219"/>
      <c r="H796" s="219"/>
      <c r="I796" s="220"/>
      <c r="J796" s="220"/>
      <c r="K796" s="221"/>
      <c r="L796" s="222"/>
      <c r="M796" s="221"/>
      <c r="N796" s="218"/>
      <c r="O796" s="219"/>
      <c r="P796" s="111"/>
      <c r="Q796" s="223"/>
      <c r="R796" s="218"/>
      <c r="S796" s="111"/>
    </row>
    <row r="797" ht="21.0" customHeight="1">
      <c r="A797" s="216"/>
      <c r="B797" s="111"/>
      <c r="C797" s="111"/>
      <c r="D797" s="111"/>
      <c r="E797" s="217"/>
      <c r="F797" s="218"/>
      <c r="G797" s="219"/>
      <c r="H797" s="219"/>
      <c r="I797" s="220"/>
      <c r="J797" s="220"/>
      <c r="K797" s="221"/>
      <c r="L797" s="222"/>
      <c r="M797" s="221"/>
      <c r="N797" s="218"/>
      <c r="O797" s="219"/>
      <c r="P797" s="111"/>
      <c r="Q797" s="223"/>
      <c r="R797" s="218"/>
      <c r="S797" s="111"/>
    </row>
    <row r="798" ht="21.0" customHeight="1">
      <c r="A798" s="216"/>
      <c r="B798" s="111"/>
      <c r="C798" s="111"/>
      <c r="D798" s="111"/>
      <c r="E798" s="217"/>
      <c r="F798" s="218"/>
      <c r="G798" s="219"/>
      <c r="H798" s="219"/>
      <c r="I798" s="220"/>
      <c r="J798" s="220"/>
      <c r="K798" s="221"/>
      <c r="L798" s="222"/>
      <c r="M798" s="221"/>
      <c r="N798" s="218"/>
      <c r="O798" s="219"/>
      <c r="P798" s="111"/>
      <c r="Q798" s="223"/>
      <c r="R798" s="218"/>
      <c r="S798" s="111"/>
    </row>
    <row r="799" ht="21.0" customHeight="1">
      <c r="A799" s="216"/>
      <c r="B799" s="111"/>
      <c r="C799" s="111"/>
      <c r="D799" s="111"/>
      <c r="E799" s="217"/>
      <c r="F799" s="218"/>
      <c r="G799" s="219"/>
      <c r="H799" s="219"/>
      <c r="I799" s="220"/>
      <c r="J799" s="220"/>
      <c r="K799" s="221"/>
      <c r="L799" s="222"/>
      <c r="M799" s="221"/>
      <c r="N799" s="218"/>
      <c r="O799" s="219"/>
      <c r="P799" s="111"/>
      <c r="Q799" s="223"/>
      <c r="R799" s="218"/>
      <c r="S799" s="111"/>
    </row>
    <row r="800" ht="21.0" customHeight="1">
      <c r="A800" s="216"/>
      <c r="B800" s="111"/>
      <c r="C800" s="111"/>
      <c r="D800" s="111"/>
      <c r="E800" s="217"/>
      <c r="F800" s="218"/>
      <c r="G800" s="219"/>
      <c r="H800" s="219"/>
      <c r="I800" s="220"/>
      <c r="J800" s="220"/>
      <c r="K800" s="221"/>
      <c r="L800" s="222"/>
      <c r="M800" s="221"/>
      <c r="N800" s="218"/>
      <c r="O800" s="219"/>
      <c r="P800" s="111"/>
      <c r="Q800" s="223"/>
      <c r="R800" s="218"/>
      <c r="S800" s="111"/>
    </row>
    <row r="801" ht="21.0" customHeight="1">
      <c r="A801" s="216"/>
      <c r="B801" s="111"/>
      <c r="C801" s="111"/>
      <c r="D801" s="111"/>
      <c r="E801" s="217"/>
      <c r="F801" s="218"/>
      <c r="G801" s="219"/>
      <c r="H801" s="219"/>
      <c r="I801" s="220"/>
      <c r="J801" s="220"/>
      <c r="K801" s="221"/>
      <c r="L801" s="222"/>
      <c r="M801" s="221"/>
      <c r="N801" s="218"/>
      <c r="O801" s="219"/>
      <c r="P801" s="111"/>
      <c r="Q801" s="223"/>
      <c r="R801" s="218"/>
      <c r="S801" s="111"/>
    </row>
    <row r="802" ht="21.0" customHeight="1">
      <c r="A802" s="216"/>
      <c r="B802" s="111"/>
      <c r="C802" s="111"/>
      <c r="D802" s="111"/>
      <c r="E802" s="217"/>
      <c r="F802" s="218"/>
      <c r="G802" s="219"/>
      <c r="H802" s="219"/>
      <c r="I802" s="220"/>
      <c r="J802" s="220"/>
      <c r="K802" s="221"/>
      <c r="L802" s="222"/>
      <c r="M802" s="221"/>
      <c r="N802" s="218"/>
      <c r="O802" s="219"/>
      <c r="P802" s="111"/>
      <c r="Q802" s="223"/>
      <c r="R802" s="218"/>
      <c r="S802" s="111"/>
    </row>
    <row r="803" ht="21.0" customHeight="1">
      <c r="A803" s="216"/>
      <c r="B803" s="111"/>
      <c r="C803" s="111"/>
      <c r="D803" s="111"/>
      <c r="E803" s="217"/>
      <c r="F803" s="218"/>
      <c r="G803" s="219"/>
      <c r="H803" s="219"/>
      <c r="I803" s="220"/>
      <c r="J803" s="220"/>
      <c r="K803" s="221"/>
      <c r="L803" s="222"/>
      <c r="M803" s="221"/>
      <c r="N803" s="218"/>
      <c r="O803" s="219"/>
      <c r="P803" s="111"/>
      <c r="Q803" s="223"/>
      <c r="R803" s="218"/>
      <c r="S803" s="111"/>
    </row>
    <row r="804" ht="21.0" customHeight="1">
      <c r="A804" s="216"/>
      <c r="B804" s="111"/>
      <c r="C804" s="111"/>
      <c r="D804" s="111"/>
      <c r="E804" s="217"/>
      <c r="F804" s="218"/>
      <c r="G804" s="219"/>
      <c r="H804" s="219"/>
      <c r="I804" s="220"/>
      <c r="J804" s="220"/>
      <c r="K804" s="221"/>
      <c r="L804" s="222"/>
      <c r="M804" s="221"/>
      <c r="N804" s="218"/>
      <c r="O804" s="219"/>
      <c r="P804" s="111"/>
      <c r="Q804" s="223"/>
      <c r="R804" s="218"/>
      <c r="S804" s="111"/>
    </row>
    <row r="805" ht="21.0" customHeight="1">
      <c r="A805" s="216"/>
      <c r="B805" s="111"/>
      <c r="C805" s="111"/>
      <c r="D805" s="111"/>
      <c r="E805" s="217"/>
      <c r="F805" s="218"/>
      <c r="G805" s="219"/>
      <c r="H805" s="219"/>
      <c r="I805" s="220"/>
      <c r="J805" s="220"/>
      <c r="K805" s="221"/>
      <c r="L805" s="222"/>
      <c r="M805" s="221"/>
      <c r="N805" s="218"/>
      <c r="O805" s="219"/>
      <c r="P805" s="111"/>
      <c r="Q805" s="223"/>
      <c r="R805" s="218"/>
      <c r="S805" s="111"/>
    </row>
    <row r="806" ht="21.0" customHeight="1">
      <c r="A806" s="216"/>
      <c r="B806" s="111"/>
      <c r="C806" s="111"/>
      <c r="D806" s="111"/>
      <c r="E806" s="217"/>
      <c r="F806" s="218"/>
      <c r="G806" s="219"/>
      <c r="H806" s="219"/>
      <c r="I806" s="220"/>
      <c r="J806" s="220"/>
      <c r="K806" s="221"/>
      <c r="L806" s="222"/>
      <c r="M806" s="221"/>
      <c r="N806" s="218"/>
      <c r="O806" s="219"/>
      <c r="P806" s="111"/>
      <c r="Q806" s="223"/>
      <c r="R806" s="218"/>
      <c r="S806" s="111"/>
    </row>
    <row r="807" ht="21.0" customHeight="1">
      <c r="A807" s="216"/>
      <c r="B807" s="111"/>
      <c r="C807" s="111"/>
      <c r="D807" s="111"/>
      <c r="E807" s="217"/>
      <c r="F807" s="218"/>
      <c r="G807" s="219"/>
      <c r="H807" s="219"/>
      <c r="I807" s="220"/>
      <c r="J807" s="220"/>
      <c r="K807" s="221"/>
      <c r="L807" s="222"/>
      <c r="M807" s="221"/>
      <c r="N807" s="218"/>
      <c r="O807" s="219"/>
      <c r="P807" s="111"/>
      <c r="Q807" s="223"/>
      <c r="R807" s="218"/>
      <c r="S807" s="111"/>
    </row>
    <row r="808" ht="21.0" customHeight="1">
      <c r="A808" s="216"/>
      <c r="B808" s="111"/>
      <c r="C808" s="111"/>
      <c r="D808" s="111"/>
      <c r="E808" s="217"/>
      <c r="F808" s="218"/>
      <c r="G808" s="219"/>
      <c r="H808" s="219"/>
      <c r="I808" s="220"/>
      <c r="J808" s="220"/>
      <c r="K808" s="221"/>
      <c r="L808" s="222"/>
      <c r="M808" s="221"/>
      <c r="N808" s="218"/>
      <c r="O808" s="219"/>
      <c r="P808" s="111"/>
      <c r="Q808" s="223"/>
      <c r="R808" s="218"/>
      <c r="S808" s="111"/>
    </row>
    <row r="809" ht="21.0" customHeight="1">
      <c r="A809" s="216"/>
      <c r="B809" s="111"/>
      <c r="C809" s="111"/>
      <c r="D809" s="111"/>
      <c r="E809" s="217"/>
      <c r="F809" s="218"/>
      <c r="G809" s="219"/>
      <c r="H809" s="219"/>
      <c r="I809" s="220"/>
      <c r="J809" s="220"/>
      <c r="K809" s="221"/>
      <c r="L809" s="222"/>
      <c r="M809" s="221"/>
      <c r="N809" s="218"/>
      <c r="O809" s="219"/>
      <c r="P809" s="111"/>
      <c r="Q809" s="223"/>
      <c r="R809" s="218"/>
      <c r="S809" s="111"/>
    </row>
    <row r="810" ht="21.0" customHeight="1">
      <c r="A810" s="216"/>
      <c r="B810" s="111"/>
      <c r="C810" s="111"/>
      <c r="D810" s="111"/>
      <c r="E810" s="217"/>
      <c r="F810" s="218"/>
      <c r="G810" s="219"/>
      <c r="H810" s="219"/>
      <c r="I810" s="220"/>
      <c r="J810" s="220"/>
      <c r="K810" s="221"/>
      <c r="L810" s="222"/>
      <c r="M810" s="221"/>
      <c r="N810" s="218"/>
      <c r="O810" s="219"/>
      <c r="P810" s="111"/>
      <c r="Q810" s="223"/>
      <c r="R810" s="218"/>
      <c r="S810" s="111"/>
    </row>
    <row r="811" ht="21.0" customHeight="1">
      <c r="A811" s="216"/>
      <c r="B811" s="111"/>
      <c r="C811" s="111"/>
      <c r="D811" s="111"/>
      <c r="E811" s="217"/>
      <c r="F811" s="218"/>
      <c r="G811" s="219"/>
      <c r="H811" s="219"/>
      <c r="I811" s="220"/>
      <c r="J811" s="220"/>
      <c r="K811" s="221"/>
      <c r="L811" s="222"/>
      <c r="M811" s="221"/>
      <c r="N811" s="218"/>
      <c r="O811" s="219"/>
      <c r="P811" s="111"/>
      <c r="Q811" s="223"/>
      <c r="R811" s="218"/>
      <c r="S811" s="111"/>
    </row>
    <row r="812" ht="21.0" customHeight="1">
      <c r="A812" s="216"/>
      <c r="B812" s="111"/>
      <c r="C812" s="111"/>
      <c r="D812" s="111"/>
      <c r="E812" s="217"/>
      <c r="F812" s="218"/>
      <c r="G812" s="219"/>
      <c r="H812" s="219"/>
      <c r="I812" s="220"/>
      <c r="J812" s="220"/>
      <c r="K812" s="221"/>
      <c r="L812" s="222"/>
      <c r="M812" s="221"/>
      <c r="N812" s="218"/>
      <c r="O812" s="219"/>
      <c r="P812" s="111"/>
      <c r="Q812" s="223"/>
      <c r="R812" s="218"/>
      <c r="S812" s="111"/>
    </row>
    <row r="813" ht="21.0" customHeight="1">
      <c r="A813" s="216"/>
      <c r="B813" s="111"/>
      <c r="C813" s="111"/>
      <c r="D813" s="111"/>
      <c r="E813" s="217"/>
      <c r="F813" s="218"/>
      <c r="G813" s="219"/>
      <c r="H813" s="219"/>
      <c r="I813" s="220"/>
      <c r="J813" s="220"/>
      <c r="K813" s="221"/>
      <c r="L813" s="222"/>
      <c r="M813" s="221"/>
      <c r="N813" s="218"/>
      <c r="O813" s="219"/>
      <c r="P813" s="111"/>
      <c r="Q813" s="223"/>
      <c r="R813" s="218"/>
      <c r="S813" s="111"/>
    </row>
    <row r="814" ht="21.0" customHeight="1">
      <c r="A814" s="216"/>
      <c r="B814" s="111"/>
      <c r="C814" s="111"/>
      <c r="D814" s="111"/>
      <c r="E814" s="217"/>
      <c r="F814" s="218"/>
      <c r="G814" s="219"/>
      <c r="H814" s="219"/>
      <c r="I814" s="220"/>
      <c r="J814" s="220"/>
      <c r="K814" s="221"/>
      <c r="L814" s="222"/>
      <c r="M814" s="221"/>
      <c r="N814" s="218"/>
      <c r="O814" s="219"/>
      <c r="P814" s="111"/>
      <c r="Q814" s="223"/>
      <c r="R814" s="218"/>
      <c r="S814" s="111"/>
    </row>
    <row r="815" ht="21.0" customHeight="1">
      <c r="A815" s="216"/>
      <c r="B815" s="111"/>
      <c r="C815" s="111"/>
      <c r="D815" s="111"/>
      <c r="E815" s="217"/>
      <c r="F815" s="218"/>
      <c r="G815" s="219"/>
      <c r="H815" s="219"/>
      <c r="I815" s="220"/>
      <c r="J815" s="220"/>
      <c r="K815" s="221"/>
      <c r="L815" s="222"/>
      <c r="M815" s="221"/>
      <c r="N815" s="218"/>
      <c r="O815" s="219"/>
      <c r="P815" s="111"/>
      <c r="Q815" s="223"/>
      <c r="R815" s="218"/>
      <c r="S815" s="111"/>
    </row>
    <row r="816" ht="21.0" customHeight="1">
      <c r="A816" s="216"/>
      <c r="B816" s="111"/>
      <c r="C816" s="111"/>
      <c r="D816" s="111"/>
      <c r="E816" s="217"/>
      <c r="F816" s="218"/>
      <c r="G816" s="219"/>
      <c r="H816" s="219"/>
      <c r="I816" s="220"/>
      <c r="J816" s="220"/>
      <c r="K816" s="221"/>
      <c r="L816" s="222"/>
      <c r="M816" s="221"/>
      <c r="N816" s="218"/>
      <c r="O816" s="219"/>
      <c r="P816" s="111"/>
      <c r="Q816" s="223"/>
      <c r="R816" s="218"/>
      <c r="S816" s="111"/>
    </row>
    <row r="817" ht="21.0" customHeight="1">
      <c r="A817" s="216"/>
      <c r="B817" s="111"/>
      <c r="C817" s="111"/>
      <c r="D817" s="111"/>
      <c r="E817" s="217"/>
      <c r="F817" s="218"/>
      <c r="G817" s="219"/>
      <c r="H817" s="219"/>
      <c r="I817" s="220"/>
      <c r="J817" s="220"/>
      <c r="K817" s="221"/>
      <c r="L817" s="222"/>
      <c r="M817" s="221"/>
      <c r="N817" s="218"/>
      <c r="O817" s="219"/>
      <c r="P817" s="111"/>
      <c r="Q817" s="223"/>
      <c r="R817" s="218"/>
      <c r="S817" s="111"/>
    </row>
    <row r="818" ht="21.0" customHeight="1">
      <c r="A818" s="216"/>
      <c r="B818" s="111"/>
      <c r="C818" s="111"/>
      <c r="D818" s="111"/>
      <c r="E818" s="217"/>
      <c r="F818" s="218"/>
      <c r="G818" s="219"/>
      <c r="H818" s="219"/>
      <c r="I818" s="220"/>
      <c r="J818" s="220"/>
      <c r="K818" s="221"/>
      <c r="L818" s="222"/>
      <c r="M818" s="221"/>
      <c r="N818" s="218"/>
      <c r="O818" s="219"/>
      <c r="P818" s="111"/>
      <c r="Q818" s="223"/>
      <c r="R818" s="218"/>
      <c r="S818" s="111"/>
    </row>
    <row r="819" ht="21.0" customHeight="1">
      <c r="A819" s="216"/>
      <c r="B819" s="111"/>
      <c r="C819" s="111"/>
      <c r="D819" s="111"/>
      <c r="E819" s="217"/>
      <c r="F819" s="218"/>
      <c r="G819" s="219"/>
      <c r="H819" s="219"/>
      <c r="I819" s="220"/>
      <c r="J819" s="220"/>
      <c r="K819" s="221"/>
      <c r="L819" s="222"/>
      <c r="M819" s="221"/>
      <c r="N819" s="218"/>
      <c r="O819" s="219"/>
      <c r="P819" s="111"/>
      <c r="Q819" s="223"/>
      <c r="R819" s="218"/>
      <c r="S819" s="111"/>
    </row>
    <row r="820" ht="21.0" customHeight="1">
      <c r="A820" s="216"/>
      <c r="B820" s="111"/>
      <c r="C820" s="111"/>
      <c r="D820" s="111"/>
      <c r="E820" s="217"/>
      <c r="F820" s="218"/>
      <c r="G820" s="219"/>
      <c r="H820" s="219"/>
      <c r="I820" s="220"/>
      <c r="J820" s="220"/>
      <c r="K820" s="221"/>
      <c r="L820" s="222"/>
      <c r="M820" s="221"/>
      <c r="N820" s="218"/>
      <c r="O820" s="219"/>
      <c r="P820" s="111"/>
      <c r="Q820" s="223"/>
      <c r="R820" s="218"/>
      <c r="S820" s="111"/>
    </row>
    <row r="821" ht="21.0" customHeight="1">
      <c r="A821" s="216"/>
      <c r="B821" s="111"/>
      <c r="C821" s="111"/>
      <c r="D821" s="111"/>
      <c r="E821" s="217"/>
      <c r="F821" s="218"/>
      <c r="G821" s="219"/>
      <c r="H821" s="219"/>
      <c r="I821" s="220"/>
      <c r="J821" s="220"/>
      <c r="K821" s="221"/>
      <c r="L821" s="222"/>
      <c r="M821" s="221"/>
      <c r="N821" s="218"/>
      <c r="O821" s="219"/>
      <c r="P821" s="111"/>
      <c r="Q821" s="223"/>
      <c r="R821" s="218"/>
      <c r="S821" s="111"/>
    </row>
    <row r="822" ht="21.0" customHeight="1">
      <c r="A822" s="216"/>
      <c r="B822" s="111"/>
      <c r="C822" s="111"/>
      <c r="D822" s="111"/>
      <c r="E822" s="217"/>
      <c r="F822" s="218"/>
      <c r="G822" s="219"/>
      <c r="H822" s="219"/>
      <c r="I822" s="220"/>
      <c r="J822" s="220"/>
      <c r="K822" s="221"/>
      <c r="L822" s="222"/>
      <c r="M822" s="221"/>
      <c r="N822" s="218"/>
      <c r="O822" s="219"/>
      <c r="P822" s="111"/>
      <c r="Q822" s="223"/>
      <c r="R822" s="218"/>
      <c r="S822" s="111"/>
    </row>
    <row r="823" ht="21.0" customHeight="1">
      <c r="A823" s="216"/>
      <c r="B823" s="111"/>
      <c r="C823" s="111"/>
      <c r="D823" s="111"/>
      <c r="E823" s="217"/>
      <c r="F823" s="218"/>
      <c r="G823" s="219"/>
      <c r="H823" s="219"/>
      <c r="I823" s="220"/>
      <c r="J823" s="220"/>
      <c r="K823" s="221"/>
      <c r="L823" s="222"/>
      <c r="M823" s="221"/>
      <c r="N823" s="218"/>
      <c r="O823" s="219"/>
      <c r="P823" s="111"/>
      <c r="Q823" s="223"/>
      <c r="R823" s="218"/>
      <c r="S823" s="111"/>
    </row>
    <row r="824" ht="21.0" customHeight="1">
      <c r="A824" s="216"/>
      <c r="B824" s="111"/>
      <c r="C824" s="111"/>
      <c r="D824" s="111"/>
      <c r="E824" s="217"/>
      <c r="F824" s="218"/>
      <c r="G824" s="219"/>
      <c r="H824" s="219"/>
      <c r="I824" s="220"/>
      <c r="J824" s="220"/>
      <c r="K824" s="221"/>
      <c r="L824" s="222"/>
      <c r="M824" s="221"/>
      <c r="N824" s="218"/>
      <c r="O824" s="219"/>
      <c r="P824" s="111"/>
      <c r="Q824" s="223"/>
      <c r="R824" s="218"/>
      <c r="S824" s="111"/>
    </row>
    <row r="825" ht="21.0" customHeight="1">
      <c r="A825" s="216"/>
      <c r="B825" s="111"/>
      <c r="C825" s="111"/>
      <c r="D825" s="111"/>
      <c r="E825" s="217"/>
      <c r="F825" s="218"/>
      <c r="G825" s="219"/>
      <c r="H825" s="219"/>
      <c r="I825" s="220"/>
      <c r="J825" s="220"/>
      <c r="K825" s="221"/>
      <c r="L825" s="222"/>
      <c r="M825" s="221"/>
      <c r="N825" s="218"/>
      <c r="O825" s="219"/>
      <c r="P825" s="111"/>
      <c r="Q825" s="223"/>
      <c r="R825" s="218"/>
      <c r="S825" s="111"/>
    </row>
    <row r="826" ht="21.0" customHeight="1">
      <c r="A826" s="216"/>
      <c r="B826" s="111"/>
      <c r="C826" s="111"/>
      <c r="D826" s="111"/>
      <c r="E826" s="217"/>
      <c r="F826" s="218"/>
      <c r="G826" s="219"/>
      <c r="H826" s="219"/>
      <c r="I826" s="220"/>
      <c r="J826" s="220"/>
      <c r="K826" s="221"/>
      <c r="L826" s="222"/>
      <c r="M826" s="221"/>
      <c r="N826" s="218"/>
      <c r="O826" s="219"/>
      <c r="P826" s="111"/>
      <c r="Q826" s="223"/>
      <c r="R826" s="218"/>
      <c r="S826" s="111"/>
    </row>
    <row r="827" ht="21.0" customHeight="1">
      <c r="A827" s="216"/>
      <c r="B827" s="111"/>
      <c r="C827" s="111"/>
      <c r="D827" s="111"/>
      <c r="E827" s="217"/>
      <c r="F827" s="218"/>
      <c r="G827" s="219"/>
      <c r="H827" s="219"/>
      <c r="I827" s="220"/>
      <c r="J827" s="220"/>
      <c r="K827" s="221"/>
      <c r="L827" s="222"/>
      <c r="M827" s="221"/>
      <c r="N827" s="218"/>
      <c r="O827" s="219"/>
      <c r="P827" s="111"/>
      <c r="Q827" s="223"/>
      <c r="R827" s="218"/>
      <c r="S827" s="111"/>
    </row>
    <row r="828" ht="21.0" customHeight="1">
      <c r="A828" s="216"/>
      <c r="B828" s="111"/>
      <c r="C828" s="111"/>
      <c r="D828" s="111"/>
      <c r="E828" s="217"/>
      <c r="F828" s="218"/>
      <c r="G828" s="219"/>
      <c r="H828" s="219"/>
      <c r="I828" s="220"/>
      <c r="J828" s="220"/>
      <c r="K828" s="221"/>
      <c r="L828" s="222"/>
      <c r="M828" s="221"/>
      <c r="N828" s="218"/>
      <c r="O828" s="219"/>
      <c r="P828" s="111"/>
      <c r="Q828" s="223"/>
      <c r="R828" s="218"/>
      <c r="S828" s="111"/>
    </row>
    <row r="829" ht="21.0" customHeight="1">
      <c r="A829" s="216"/>
      <c r="B829" s="111"/>
      <c r="C829" s="111"/>
      <c r="D829" s="111"/>
      <c r="E829" s="217"/>
      <c r="F829" s="218"/>
      <c r="G829" s="219"/>
      <c r="H829" s="219"/>
      <c r="I829" s="220"/>
      <c r="J829" s="220"/>
      <c r="K829" s="221"/>
      <c r="L829" s="222"/>
      <c r="M829" s="221"/>
      <c r="N829" s="218"/>
      <c r="O829" s="219"/>
      <c r="P829" s="111"/>
      <c r="Q829" s="223"/>
      <c r="R829" s="218"/>
      <c r="S829" s="111"/>
    </row>
    <row r="830" ht="21.0" customHeight="1">
      <c r="A830" s="216"/>
      <c r="B830" s="111"/>
      <c r="C830" s="111"/>
      <c r="D830" s="111"/>
      <c r="E830" s="217"/>
      <c r="F830" s="218"/>
      <c r="G830" s="219"/>
      <c r="H830" s="219"/>
      <c r="I830" s="220"/>
      <c r="J830" s="220"/>
      <c r="K830" s="221"/>
      <c r="L830" s="222"/>
      <c r="M830" s="221"/>
      <c r="N830" s="218"/>
      <c r="O830" s="219"/>
      <c r="P830" s="111"/>
      <c r="Q830" s="223"/>
      <c r="R830" s="218"/>
      <c r="S830" s="111"/>
    </row>
    <row r="831" ht="21.0" customHeight="1">
      <c r="A831" s="216"/>
      <c r="B831" s="111"/>
      <c r="C831" s="111"/>
      <c r="D831" s="111"/>
      <c r="E831" s="217"/>
      <c r="F831" s="218"/>
      <c r="G831" s="219"/>
      <c r="H831" s="219"/>
      <c r="I831" s="220"/>
      <c r="J831" s="220"/>
      <c r="K831" s="221"/>
      <c r="L831" s="222"/>
      <c r="M831" s="221"/>
      <c r="N831" s="218"/>
      <c r="O831" s="219"/>
      <c r="P831" s="111"/>
      <c r="Q831" s="223"/>
      <c r="R831" s="218"/>
      <c r="S831" s="111"/>
    </row>
    <row r="832" ht="21.0" customHeight="1">
      <c r="A832" s="216"/>
      <c r="B832" s="111"/>
      <c r="C832" s="111"/>
      <c r="D832" s="111"/>
      <c r="E832" s="217"/>
      <c r="F832" s="218"/>
      <c r="G832" s="219"/>
      <c r="H832" s="219"/>
      <c r="I832" s="220"/>
      <c r="J832" s="220"/>
      <c r="K832" s="221"/>
      <c r="L832" s="222"/>
      <c r="M832" s="221"/>
      <c r="N832" s="218"/>
      <c r="O832" s="219"/>
      <c r="P832" s="111"/>
      <c r="Q832" s="223"/>
      <c r="R832" s="218"/>
      <c r="S832" s="111"/>
    </row>
    <row r="833" ht="21.0" customHeight="1">
      <c r="A833" s="216"/>
      <c r="B833" s="111"/>
      <c r="C833" s="111"/>
      <c r="D833" s="111"/>
      <c r="E833" s="217"/>
      <c r="F833" s="218"/>
      <c r="G833" s="219"/>
      <c r="H833" s="219"/>
      <c r="I833" s="220"/>
      <c r="J833" s="220"/>
      <c r="K833" s="221"/>
      <c r="L833" s="222"/>
      <c r="M833" s="221"/>
      <c r="N833" s="218"/>
      <c r="O833" s="219"/>
      <c r="P833" s="111"/>
      <c r="Q833" s="223"/>
      <c r="R833" s="218"/>
      <c r="S833" s="111"/>
    </row>
    <row r="834" ht="21.0" customHeight="1">
      <c r="A834" s="216"/>
      <c r="B834" s="111"/>
      <c r="C834" s="111"/>
      <c r="D834" s="111"/>
      <c r="E834" s="217"/>
      <c r="F834" s="218"/>
      <c r="G834" s="219"/>
      <c r="H834" s="219"/>
      <c r="I834" s="220"/>
      <c r="J834" s="220"/>
      <c r="K834" s="221"/>
      <c r="L834" s="222"/>
      <c r="M834" s="221"/>
      <c r="N834" s="218"/>
      <c r="O834" s="219"/>
      <c r="P834" s="111"/>
      <c r="Q834" s="223"/>
      <c r="R834" s="218"/>
      <c r="S834" s="111"/>
    </row>
    <row r="835" ht="21.0" customHeight="1">
      <c r="A835" s="216"/>
      <c r="B835" s="111"/>
      <c r="C835" s="111"/>
      <c r="D835" s="111"/>
      <c r="E835" s="217"/>
      <c r="F835" s="218"/>
      <c r="G835" s="219"/>
      <c r="H835" s="219"/>
      <c r="I835" s="220"/>
      <c r="J835" s="220"/>
      <c r="K835" s="221"/>
      <c r="L835" s="222"/>
      <c r="M835" s="221"/>
      <c r="N835" s="218"/>
      <c r="O835" s="219"/>
      <c r="P835" s="111"/>
      <c r="Q835" s="223"/>
      <c r="R835" s="218"/>
      <c r="S835" s="111"/>
    </row>
    <row r="836" ht="21.0" customHeight="1">
      <c r="A836" s="216"/>
      <c r="B836" s="111"/>
      <c r="C836" s="111"/>
      <c r="D836" s="111"/>
      <c r="E836" s="217"/>
      <c r="F836" s="218"/>
      <c r="G836" s="219"/>
      <c r="H836" s="219"/>
      <c r="I836" s="220"/>
      <c r="J836" s="220"/>
      <c r="K836" s="221"/>
      <c r="L836" s="222"/>
      <c r="M836" s="221"/>
      <c r="N836" s="218"/>
      <c r="O836" s="219"/>
      <c r="P836" s="111"/>
      <c r="Q836" s="223"/>
      <c r="R836" s="218"/>
      <c r="S836" s="111"/>
    </row>
    <row r="837" ht="21.0" customHeight="1">
      <c r="A837" s="216"/>
      <c r="B837" s="111"/>
      <c r="C837" s="111"/>
      <c r="D837" s="111"/>
      <c r="E837" s="217"/>
      <c r="F837" s="218"/>
      <c r="G837" s="219"/>
      <c r="H837" s="219"/>
      <c r="I837" s="220"/>
      <c r="J837" s="220"/>
      <c r="K837" s="221"/>
      <c r="L837" s="222"/>
      <c r="M837" s="221"/>
      <c r="N837" s="218"/>
      <c r="O837" s="219"/>
      <c r="P837" s="111"/>
      <c r="Q837" s="223"/>
      <c r="R837" s="218"/>
      <c r="S837" s="111"/>
    </row>
    <row r="838" ht="21.0" customHeight="1">
      <c r="A838" s="216"/>
      <c r="B838" s="111"/>
      <c r="C838" s="111"/>
      <c r="D838" s="111"/>
      <c r="E838" s="217"/>
      <c r="F838" s="218"/>
      <c r="G838" s="219"/>
      <c r="H838" s="219"/>
      <c r="I838" s="220"/>
      <c r="J838" s="220"/>
      <c r="K838" s="221"/>
      <c r="L838" s="222"/>
      <c r="M838" s="221"/>
      <c r="N838" s="218"/>
      <c r="O838" s="219"/>
      <c r="P838" s="111"/>
      <c r="Q838" s="223"/>
      <c r="R838" s="218"/>
      <c r="S838" s="111"/>
    </row>
    <row r="839" ht="21.0" customHeight="1">
      <c r="A839" s="216"/>
      <c r="B839" s="111"/>
      <c r="C839" s="111"/>
      <c r="D839" s="111"/>
      <c r="E839" s="217"/>
      <c r="F839" s="218"/>
      <c r="G839" s="219"/>
      <c r="H839" s="219"/>
      <c r="I839" s="220"/>
      <c r="J839" s="220"/>
      <c r="K839" s="221"/>
      <c r="L839" s="222"/>
      <c r="M839" s="221"/>
      <c r="N839" s="218"/>
      <c r="O839" s="219"/>
      <c r="P839" s="111"/>
      <c r="Q839" s="223"/>
      <c r="R839" s="218"/>
      <c r="S839" s="111"/>
    </row>
    <row r="840" ht="21.0" customHeight="1">
      <c r="A840" s="216"/>
      <c r="B840" s="111"/>
      <c r="C840" s="111"/>
      <c r="D840" s="111"/>
      <c r="E840" s="217"/>
      <c r="F840" s="218"/>
      <c r="G840" s="219"/>
      <c r="H840" s="219"/>
      <c r="I840" s="220"/>
      <c r="J840" s="220"/>
      <c r="K840" s="221"/>
      <c r="L840" s="222"/>
      <c r="M840" s="221"/>
      <c r="N840" s="218"/>
      <c r="O840" s="219"/>
      <c r="P840" s="111"/>
      <c r="Q840" s="223"/>
      <c r="R840" s="218"/>
      <c r="S840" s="111"/>
    </row>
    <row r="841" ht="21.0" customHeight="1">
      <c r="A841" s="216"/>
      <c r="B841" s="111"/>
      <c r="C841" s="111"/>
      <c r="D841" s="111"/>
      <c r="E841" s="217"/>
      <c r="F841" s="218"/>
      <c r="G841" s="219"/>
      <c r="H841" s="219"/>
      <c r="I841" s="220"/>
      <c r="J841" s="220"/>
      <c r="K841" s="221"/>
      <c r="L841" s="222"/>
      <c r="M841" s="221"/>
      <c r="N841" s="218"/>
      <c r="O841" s="219"/>
      <c r="P841" s="111"/>
      <c r="Q841" s="223"/>
      <c r="R841" s="218"/>
      <c r="S841" s="111"/>
    </row>
    <row r="842" ht="21.0" customHeight="1">
      <c r="A842" s="216"/>
      <c r="B842" s="111"/>
      <c r="C842" s="111"/>
      <c r="D842" s="111"/>
      <c r="E842" s="217"/>
      <c r="F842" s="218"/>
      <c r="G842" s="219"/>
      <c r="H842" s="219"/>
      <c r="I842" s="220"/>
      <c r="J842" s="220"/>
      <c r="K842" s="221"/>
      <c r="L842" s="222"/>
      <c r="M842" s="221"/>
      <c r="N842" s="218"/>
      <c r="O842" s="219"/>
      <c r="P842" s="111"/>
      <c r="Q842" s="223"/>
      <c r="R842" s="218"/>
      <c r="S842" s="111"/>
    </row>
    <row r="843" ht="21.0" customHeight="1">
      <c r="A843" s="216"/>
      <c r="B843" s="111"/>
      <c r="C843" s="111"/>
      <c r="D843" s="111"/>
      <c r="E843" s="217"/>
      <c r="F843" s="218"/>
      <c r="G843" s="219"/>
      <c r="H843" s="219"/>
      <c r="I843" s="220"/>
      <c r="J843" s="220"/>
      <c r="K843" s="221"/>
      <c r="L843" s="222"/>
      <c r="M843" s="221"/>
      <c r="N843" s="218"/>
      <c r="O843" s="219"/>
      <c r="P843" s="111"/>
      <c r="Q843" s="223"/>
      <c r="R843" s="218"/>
      <c r="S843" s="111"/>
    </row>
    <row r="844" ht="21.0" customHeight="1">
      <c r="A844" s="216"/>
      <c r="B844" s="111"/>
      <c r="C844" s="111"/>
      <c r="D844" s="111"/>
      <c r="E844" s="217"/>
      <c r="F844" s="218"/>
      <c r="G844" s="219"/>
      <c r="H844" s="219"/>
      <c r="I844" s="220"/>
      <c r="J844" s="220"/>
      <c r="K844" s="221"/>
      <c r="L844" s="222"/>
      <c r="M844" s="221"/>
      <c r="N844" s="218"/>
      <c r="O844" s="219"/>
      <c r="P844" s="111"/>
      <c r="Q844" s="223"/>
      <c r="R844" s="218"/>
      <c r="S844" s="111"/>
    </row>
    <row r="845" ht="21.0" customHeight="1">
      <c r="A845" s="216"/>
      <c r="B845" s="111"/>
      <c r="C845" s="111"/>
      <c r="D845" s="111"/>
      <c r="E845" s="217"/>
      <c r="F845" s="218"/>
      <c r="G845" s="219"/>
      <c r="H845" s="219"/>
      <c r="I845" s="220"/>
      <c r="J845" s="220"/>
      <c r="K845" s="221"/>
      <c r="L845" s="222"/>
      <c r="M845" s="221"/>
      <c r="N845" s="218"/>
      <c r="O845" s="219"/>
      <c r="P845" s="111"/>
      <c r="Q845" s="223"/>
      <c r="R845" s="218"/>
      <c r="S845" s="111"/>
    </row>
    <row r="846" ht="21.0" customHeight="1">
      <c r="A846" s="216"/>
      <c r="B846" s="111"/>
      <c r="C846" s="111"/>
      <c r="D846" s="111"/>
      <c r="E846" s="217"/>
      <c r="F846" s="218"/>
      <c r="G846" s="219"/>
      <c r="H846" s="219"/>
      <c r="I846" s="220"/>
      <c r="J846" s="220"/>
      <c r="K846" s="221"/>
      <c r="L846" s="222"/>
      <c r="M846" s="221"/>
      <c r="N846" s="218"/>
      <c r="O846" s="219"/>
      <c r="P846" s="111"/>
      <c r="Q846" s="223"/>
      <c r="R846" s="218"/>
      <c r="S846" s="111"/>
    </row>
    <row r="847" ht="21.0" customHeight="1">
      <c r="A847" s="216"/>
      <c r="B847" s="111"/>
      <c r="C847" s="111"/>
      <c r="D847" s="111"/>
      <c r="E847" s="217"/>
      <c r="F847" s="218"/>
      <c r="G847" s="219"/>
      <c r="H847" s="219"/>
      <c r="I847" s="220"/>
      <c r="J847" s="220"/>
      <c r="K847" s="221"/>
      <c r="L847" s="222"/>
      <c r="M847" s="221"/>
      <c r="N847" s="218"/>
      <c r="O847" s="219"/>
      <c r="P847" s="111"/>
      <c r="Q847" s="223"/>
      <c r="R847" s="218"/>
      <c r="S847" s="111"/>
    </row>
    <row r="848" ht="21.0" customHeight="1">
      <c r="A848" s="216"/>
      <c r="B848" s="111"/>
      <c r="C848" s="111"/>
      <c r="D848" s="111"/>
      <c r="E848" s="217"/>
      <c r="F848" s="218"/>
      <c r="G848" s="219"/>
      <c r="H848" s="219"/>
      <c r="I848" s="220"/>
      <c r="J848" s="220"/>
      <c r="K848" s="221"/>
      <c r="L848" s="222"/>
      <c r="M848" s="221"/>
      <c r="N848" s="218"/>
      <c r="O848" s="219"/>
      <c r="P848" s="111"/>
      <c r="Q848" s="223"/>
      <c r="R848" s="218"/>
      <c r="S848" s="111"/>
    </row>
    <row r="849" ht="21.0" customHeight="1">
      <c r="A849" s="216"/>
      <c r="B849" s="111"/>
      <c r="C849" s="111"/>
      <c r="D849" s="111"/>
      <c r="E849" s="217"/>
      <c r="F849" s="218"/>
      <c r="G849" s="219"/>
      <c r="H849" s="219"/>
      <c r="I849" s="220"/>
      <c r="J849" s="220"/>
      <c r="K849" s="221"/>
      <c r="L849" s="222"/>
      <c r="M849" s="221"/>
      <c r="N849" s="218"/>
      <c r="O849" s="219"/>
      <c r="P849" s="111"/>
      <c r="Q849" s="223"/>
      <c r="R849" s="218"/>
      <c r="S849" s="111"/>
    </row>
    <row r="850" ht="21.0" customHeight="1">
      <c r="A850" s="216"/>
      <c r="B850" s="111"/>
      <c r="C850" s="111"/>
      <c r="D850" s="111"/>
      <c r="E850" s="217"/>
      <c r="F850" s="218"/>
      <c r="G850" s="219"/>
      <c r="H850" s="219"/>
      <c r="I850" s="220"/>
      <c r="J850" s="220"/>
      <c r="K850" s="221"/>
      <c r="L850" s="222"/>
      <c r="M850" s="221"/>
      <c r="N850" s="218"/>
      <c r="O850" s="219"/>
      <c r="P850" s="111"/>
      <c r="Q850" s="223"/>
      <c r="R850" s="218"/>
      <c r="S850" s="111"/>
    </row>
    <row r="851" ht="21.0" customHeight="1">
      <c r="A851" s="216"/>
      <c r="B851" s="111"/>
      <c r="C851" s="111"/>
      <c r="D851" s="111"/>
      <c r="E851" s="217"/>
      <c r="F851" s="218"/>
      <c r="G851" s="219"/>
      <c r="H851" s="219"/>
      <c r="I851" s="220"/>
      <c r="J851" s="220"/>
      <c r="K851" s="221"/>
      <c r="L851" s="222"/>
      <c r="M851" s="221"/>
      <c r="N851" s="218"/>
      <c r="O851" s="219"/>
      <c r="P851" s="111"/>
      <c r="Q851" s="223"/>
      <c r="R851" s="218"/>
      <c r="S851" s="111"/>
    </row>
    <row r="852" ht="21.0" customHeight="1">
      <c r="A852" s="216"/>
      <c r="B852" s="111"/>
      <c r="C852" s="111"/>
      <c r="D852" s="111"/>
      <c r="E852" s="217"/>
      <c r="F852" s="218"/>
      <c r="G852" s="219"/>
      <c r="H852" s="219"/>
      <c r="I852" s="220"/>
      <c r="J852" s="220"/>
      <c r="K852" s="221"/>
      <c r="L852" s="222"/>
      <c r="M852" s="221"/>
      <c r="N852" s="218"/>
      <c r="O852" s="219"/>
      <c r="P852" s="111"/>
      <c r="Q852" s="223"/>
      <c r="R852" s="218"/>
      <c r="S852" s="111"/>
    </row>
    <row r="853" ht="21.0" customHeight="1">
      <c r="A853" s="216"/>
      <c r="B853" s="111"/>
      <c r="C853" s="111"/>
      <c r="D853" s="111"/>
      <c r="E853" s="217"/>
      <c r="F853" s="218"/>
      <c r="G853" s="219"/>
      <c r="H853" s="219"/>
      <c r="I853" s="220"/>
      <c r="J853" s="220"/>
      <c r="K853" s="221"/>
      <c r="L853" s="222"/>
      <c r="M853" s="221"/>
      <c r="N853" s="218"/>
      <c r="O853" s="219"/>
      <c r="P853" s="111"/>
      <c r="Q853" s="223"/>
      <c r="R853" s="218"/>
      <c r="S853" s="111"/>
    </row>
    <row r="854" ht="21.0" customHeight="1">
      <c r="A854" s="216"/>
      <c r="B854" s="111"/>
      <c r="C854" s="111"/>
      <c r="D854" s="111"/>
      <c r="E854" s="217"/>
      <c r="F854" s="218"/>
      <c r="G854" s="219"/>
      <c r="H854" s="219"/>
      <c r="I854" s="220"/>
      <c r="J854" s="220"/>
      <c r="K854" s="221"/>
      <c r="L854" s="222"/>
      <c r="M854" s="221"/>
      <c r="N854" s="218"/>
      <c r="O854" s="219"/>
      <c r="P854" s="111"/>
      <c r="Q854" s="223"/>
      <c r="R854" s="218"/>
      <c r="S854" s="111"/>
    </row>
    <row r="855" ht="21.0" customHeight="1">
      <c r="A855" s="216"/>
      <c r="B855" s="111"/>
      <c r="C855" s="111"/>
      <c r="D855" s="111"/>
      <c r="E855" s="217"/>
      <c r="F855" s="218"/>
      <c r="G855" s="219"/>
      <c r="H855" s="219"/>
      <c r="I855" s="220"/>
      <c r="J855" s="220"/>
      <c r="K855" s="221"/>
      <c r="L855" s="222"/>
      <c r="M855" s="221"/>
      <c r="N855" s="218"/>
      <c r="O855" s="219"/>
      <c r="P855" s="111"/>
      <c r="Q855" s="223"/>
      <c r="R855" s="218"/>
      <c r="S855" s="111"/>
    </row>
    <row r="856" ht="21.0" customHeight="1">
      <c r="A856" s="216"/>
      <c r="B856" s="111"/>
      <c r="C856" s="111"/>
      <c r="D856" s="111"/>
      <c r="E856" s="217"/>
      <c r="F856" s="218"/>
      <c r="G856" s="219"/>
      <c r="H856" s="219"/>
      <c r="I856" s="220"/>
      <c r="J856" s="220"/>
      <c r="K856" s="221"/>
      <c r="L856" s="222"/>
      <c r="M856" s="221"/>
      <c r="N856" s="218"/>
      <c r="O856" s="219"/>
      <c r="P856" s="111"/>
      <c r="Q856" s="223"/>
      <c r="R856" s="218"/>
      <c r="S856" s="111"/>
    </row>
    <row r="857" ht="21.0" customHeight="1">
      <c r="A857" s="216"/>
      <c r="B857" s="111"/>
      <c r="C857" s="111"/>
      <c r="D857" s="111"/>
      <c r="E857" s="217"/>
      <c r="F857" s="218"/>
      <c r="G857" s="219"/>
      <c r="H857" s="219"/>
      <c r="I857" s="220"/>
      <c r="J857" s="220"/>
      <c r="K857" s="221"/>
      <c r="L857" s="222"/>
      <c r="M857" s="221"/>
      <c r="N857" s="218"/>
      <c r="O857" s="219"/>
      <c r="P857" s="111"/>
      <c r="Q857" s="223"/>
      <c r="R857" s="218"/>
      <c r="S857" s="111"/>
    </row>
    <row r="858" ht="21.0" customHeight="1">
      <c r="A858" s="216"/>
      <c r="B858" s="111"/>
      <c r="C858" s="111"/>
      <c r="D858" s="111"/>
      <c r="E858" s="217"/>
      <c r="F858" s="218"/>
      <c r="G858" s="219"/>
      <c r="H858" s="219"/>
      <c r="I858" s="220"/>
      <c r="J858" s="220"/>
      <c r="K858" s="221"/>
      <c r="L858" s="222"/>
      <c r="M858" s="221"/>
      <c r="N858" s="218"/>
      <c r="O858" s="219"/>
      <c r="P858" s="111"/>
      <c r="Q858" s="223"/>
      <c r="R858" s="218"/>
      <c r="S858" s="111"/>
    </row>
    <row r="859" ht="21.0" customHeight="1">
      <c r="A859" s="216"/>
      <c r="B859" s="111"/>
      <c r="C859" s="111"/>
      <c r="D859" s="111"/>
      <c r="E859" s="217"/>
      <c r="F859" s="218"/>
      <c r="G859" s="219"/>
      <c r="H859" s="219"/>
      <c r="I859" s="220"/>
      <c r="J859" s="220"/>
      <c r="K859" s="221"/>
      <c r="L859" s="222"/>
      <c r="M859" s="221"/>
      <c r="N859" s="218"/>
      <c r="O859" s="219"/>
      <c r="P859" s="111"/>
      <c r="Q859" s="223"/>
      <c r="R859" s="218"/>
      <c r="S859" s="111"/>
    </row>
    <row r="860" ht="21.0" customHeight="1">
      <c r="A860" s="216"/>
      <c r="B860" s="111"/>
      <c r="C860" s="111"/>
      <c r="D860" s="111"/>
      <c r="E860" s="217"/>
      <c r="F860" s="218"/>
      <c r="G860" s="219"/>
      <c r="H860" s="219"/>
      <c r="I860" s="220"/>
      <c r="J860" s="220"/>
      <c r="K860" s="221"/>
      <c r="L860" s="222"/>
      <c r="M860" s="221"/>
      <c r="N860" s="218"/>
      <c r="O860" s="219"/>
      <c r="P860" s="111"/>
      <c r="Q860" s="223"/>
      <c r="R860" s="218"/>
      <c r="S860" s="111"/>
    </row>
    <row r="861" ht="21.0" customHeight="1">
      <c r="A861" s="216"/>
      <c r="B861" s="111"/>
      <c r="C861" s="111"/>
      <c r="D861" s="111"/>
      <c r="E861" s="217"/>
      <c r="F861" s="218"/>
      <c r="G861" s="219"/>
      <c r="H861" s="219"/>
      <c r="I861" s="220"/>
      <c r="J861" s="220"/>
      <c r="K861" s="221"/>
      <c r="L861" s="222"/>
      <c r="M861" s="221"/>
      <c r="N861" s="218"/>
      <c r="O861" s="219"/>
      <c r="P861" s="111"/>
      <c r="Q861" s="223"/>
      <c r="R861" s="218"/>
      <c r="S861" s="111"/>
    </row>
    <row r="862" ht="21.0" customHeight="1">
      <c r="A862" s="216"/>
      <c r="B862" s="111"/>
      <c r="C862" s="111"/>
      <c r="D862" s="111"/>
      <c r="E862" s="217"/>
      <c r="F862" s="218"/>
      <c r="G862" s="219"/>
      <c r="H862" s="219"/>
      <c r="I862" s="220"/>
      <c r="J862" s="220"/>
      <c r="K862" s="221"/>
      <c r="L862" s="222"/>
      <c r="M862" s="221"/>
      <c r="N862" s="218"/>
      <c r="O862" s="219"/>
      <c r="P862" s="111"/>
      <c r="Q862" s="223"/>
      <c r="R862" s="218"/>
      <c r="S862" s="111"/>
    </row>
    <row r="863" ht="21.0" customHeight="1">
      <c r="A863" s="216"/>
      <c r="B863" s="111"/>
      <c r="C863" s="111"/>
      <c r="D863" s="111"/>
      <c r="E863" s="217"/>
      <c r="F863" s="218"/>
      <c r="G863" s="219"/>
      <c r="H863" s="219"/>
      <c r="I863" s="220"/>
      <c r="J863" s="220"/>
      <c r="K863" s="221"/>
      <c r="L863" s="222"/>
      <c r="M863" s="221"/>
      <c r="N863" s="218"/>
      <c r="O863" s="219"/>
      <c r="P863" s="111"/>
      <c r="Q863" s="223"/>
      <c r="R863" s="218"/>
      <c r="S863" s="111"/>
    </row>
    <row r="864" ht="21.0" customHeight="1">
      <c r="A864" s="216"/>
      <c r="B864" s="111"/>
      <c r="C864" s="111"/>
      <c r="D864" s="111"/>
      <c r="E864" s="217"/>
      <c r="F864" s="218"/>
      <c r="G864" s="219"/>
      <c r="H864" s="219"/>
      <c r="I864" s="220"/>
      <c r="J864" s="220"/>
      <c r="K864" s="221"/>
      <c r="L864" s="222"/>
      <c r="M864" s="221"/>
      <c r="N864" s="218"/>
      <c r="O864" s="219"/>
      <c r="P864" s="111"/>
      <c r="Q864" s="223"/>
      <c r="R864" s="218"/>
      <c r="S864" s="111"/>
    </row>
    <row r="865" ht="21.0" customHeight="1">
      <c r="A865" s="216"/>
      <c r="B865" s="111"/>
      <c r="C865" s="111"/>
      <c r="D865" s="111"/>
      <c r="E865" s="217"/>
      <c r="F865" s="218"/>
      <c r="G865" s="219"/>
      <c r="H865" s="219"/>
      <c r="I865" s="220"/>
      <c r="J865" s="220"/>
      <c r="K865" s="221"/>
      <c r="L865" s="222"/>
      <c r="M865" s="221"/>
      <c r="N865" s="218"/>
      <c r="O865" s="219"/>
      <c r="P865" s="111"/>
      <c r="Q865" s="223"/>
      <c r="R865" s="218"/>
      <c r="S865" s="111"/>
    </row>
    <row r="866" ht="21.0" customHeight="1">
      <c r="A866" s="216"/>
      <c r="B866" s="111"/>
      <c r="C866" s="111"/>
      <c r="D866" s="111"/>
      <c r="E866" s="217"/>
      <c r="F866" s="218"/>
      <c r="G866" s="219"/>
      <c r="H866" s="219"/>
      <c r="I866" s="220"/>
      <c r="J866" s="220"/>
      <c r="K866" s="221"/>
      <c r="L866" s="222"/>
      <c r="M866" s="221"/>
      <c r="N866" s="218"/>
      <c r="O866" s="219"/>
      <c r="P866" s="111"/>
      <c r="Q866" s="223"/>
      <c r="R866" s="218"/>
      <c r="S866" s="111"/>
    </row>
    <row r="867" ht="21.0" customHeight="1">
      <c r="A867" s="216"/>
      <c r="B867" s="111"/>
      <c r="C867" s="111"/>
      <c r="D867" s="111"/>
      <c r="E867" s="217"/>
      <c r="F867" s="218"/>
      <c r="G867" s="219"/>
      <c r="H867" s="219"/>
      <c r="I867" s="220"/>
      <c r="J867" s="220"/>
      <c r="K867" s="221"/>
      <c r="L867" s="222"/>
      <c r="M867" s="221"/>
      <c r="N867" s="218"/>
      <c r="O867" s="219"/>
      <c r="P867" s="111"/>
      <c r="Q867" s="223"/>
      <c r="R867" s="218"/>
      <c r="S867" s="111"/>
    </row>
    <row r="868" ht="21.0" customHeight="1">
      <c r="A868" s="216"/>
      <c r="B868" s="111"/>
      <c r="C868" s="111"/>
      <c r="D868" s="111"/>
      <c r="E868" s="217"/>
      <c r="F868" s="218"/>
      <c r="G868" s="219"/>
      <c r="H868" s="219"/>
      <c r="I868" s="220"/>
      <c r="J868" s="220"/>
      <c r="K868" s="221"/>
      <c r="L868" s="222"/>
      <c r="M868" s="221"/>
      <c r="N868" s="218"/>
      <c r="O868" s="219"/>
      <c r="P868" s="111"/>
      <c r="Q868" s="223"/>
      <c r="R868" s="218"/>
      <c r="S868" s="111"/>
    </row>
    <row r="869" ht="21.0" customHeight="1">
      <c r="A869" s="216"/>
      <c r="B869" s="111"/>
      <c r="C869" s="111"/>
      <c r="D869" s="111"/>
      <c r="E869" s="217"/>
      <c r="F869" s="218"/>
      <c r="G869" s="219"/>
      <c r="H869" s="219"/>
      <c r="I869" s="220"/>
      <c r="J869" s="220"/>
      <c r="K869" s="221"/>
      <c r="L869" s="222"/>
      <c r="M869" s="221"/>
      <c r="N869" s="218"/>
      <c r="O869" s="219"/>
      <c r="P869" s="111"/>
      <c r="Q869" s="223"/>
      <c r="R869" s="218"/>
      <c r="S869" s="111"/>
    </row>
    <row r="870" ht="21.0" customHeight="1">
      <c r="A870" s="216"/>
      <c r="B870" s="111"/>
      <c r="C870" s="111"/>
      <c r="D870" s="111"/>
      <c r="E870" s="217"/>
      <c r="F870" s="218"/>
      <c r="G870" s="219"/>
      <c r="H870" s="219"/>
      <c r="I870" s="220"/>
      <c r="J870" s="220"/>
      <c r="K870" s="221"/>
      <c r="L870" s="222"/>
      <c r="M870" s="221"/>
      <c r="N870" s="218"/>
      <c r="O870" s="219"/>
      <c r="P870" s="111"/>
      <c r="Q870" s="223"/>
      <c r="R870" s="218"/>
      <c r="S870" s="111"/>
    </row>
    <row r="871" ht="21.0" customHeight="1">
      <c r="A871" s="216"/>
      <c r="B871" s="111"/>
      <c r="C871" s="111"/>
      <c r="D871" s="111"/>
      <c r="E871" s="217"/>
      <c r="F871" s="218"/>
      <c r="G871" s="219"/>
      <c r="H871" s="219"/>
      <c r="I871" s="220"/>
      <c r="J871" s="220"/>
      <c r="K871" s="221"/>
      <c r="L871" s="222"/>
      <c r="M871" s="221"/>
      <c r="N871" s="218"/>
      <c r="O871" s="219"/>
      <c r="P871" s="111"/>
      <c r="Q871" s="223"/>
      <c r="R871" s="218"/>
      <c r="S871" s="111"/>
    </row>
    <row r="872" ht="21.0" customHeight="1">
      <c r="A872" s="216"/>
      <c r="B872" s="111"/>
      <c r="C872" s="111"/>
      <c r="D872" s="111"/>
      <c r="E872" s="217"/>
      <c r="F872" s="218"/>
      <c r="G872" s="219"/>
      <c r="H872" s="219"/>
      <c r="I872" s="220"/>
      <c r="J872" s="220"/>
      <c r="K872" s="221"/>
      <c r="L872" s="222"/>
      <c r="M872" s="221"/>
      <c r="N872" s="218"/>
      <c r="O872" s="219"/>
      <c r="P872" s="111"/>
      <c r="Q872" s="223"/>
      <c r="R872" s="218"/>
      <c r="S872" s="111"/>
    </row>
    <row r="873" ht="21.0" customHeight="1">
      <c r="A873" s="216"/>
      <c r="B873" s="111"/>
      <c r="C873" s="111"/>
      <c r="D873" s="111"/>
      <c r="E873" s="217"/>
      <c r="F873" s="218"/>
      <c r="G873" s="219"/>
      <c r="H873" s="219"/>
      <c r="I873" s="220"/>
      <c r="J873" s="220"/>
      <c r="K873" s="221"/>
      <c r="L873" s="222"/>
      <c r="M873" s="221"/>
      <c r="N873" s="218"/>
      <c r="O873" s="219"/>
      <c r="P873" s="111"/>
      <c r="Q873" s="223"/>
      <c r="R873" s="218"/>
      <c r="S873" s="111"/>
    </row>
    <row r="874" ht="21.0" customHeight="1">
      <c r="A874" s="216"/>
      <c r="B874" s="111"/>
      <c r="C874" s="111"/>
      <c r="D874" s="111"/>
      <c r="E874" s="217"/>
      <c r="F874" s="218"/>
      <c r="G874" s="219"/>
      <c r="H874" s="219"/>
      <c r="I874" s="220"/>
      <c r="J874" s="220"/>
      <c r="K874" s="221"/>
      <c r="L874" s="222"/>
      <c r="M874" s="221"/>
      <c r="N874" s="218"/>
      <c r="O874" s="219"/>
      <c r="P874" s="111"/>
      <c r="Q874" s="223"/>
      <c r="R874" s="218"/>
      <c r="S874" s="111"/>
    </row>
    <row r="875" ht="21.0" customHeight="1">
      <c r="A875" s="216"/>
      <c r="B875" s="111"/>
      <c r="C875" s="111"/>
      <c r="D875" s="111"/>
      <c r="E875" s="217"/>
      <c r="F875" s="218"/>
      <c r="G875" s="219"/>
      <c r="H875" s="219"/>
      <c r="I875" s="220"/>
      <c r="J875" s="220"/>
      <c r="K875" s="221"/>
      <c r="L875" s="222"/>
      <c r="M875" s="221"/>
      <c r="N875" s="218"/>
      <c r="O875" s="219"/>
      <c r="P875" s="111"/>
      <c r="Q875" s="223"/>
      <c r="R875" s="218"/>
      <c r="S875" s="111"/>
    </row>
    <row r="876" ht="21.0" customHeight="1">
      <c r="A876" s="216"/>
      <c r="B876" s="111"/>
      <c r="C876" s="111"/>
      <c r="D876" s="111"/>
      <c r="E876" s="217"/>
      <c r="F876" s="218"/>
      <c r="G876" s="219"/>
      <c r="H876" s="219"/>
      <c r="I876" s="220"/>
      <c r="J876" s="220"/>
      <c r="K876" s="221"/>
      <c r="L876" s="222"/>
      <c r="M876" s="221"/>
      <c r="N876" s="218"/>
      <c r="O876" s="219"/>
      <c r="P876" s="111"/>
      <c r="Q876" s="223"/>
      <c r="R876" s="218"/>
      <c r="S876" s="111"/>
    </row>
    <row r="877" ht="21.0" customHeight="1">
      <c r="A877" s="216"/>
      <c r="B877" s="111"/>
      <c r="C877" s="111"/>
      <c r="D877" s="111"/>
      <c r="E877" s="217"/>
      <c r="F877" s="218"/>
      <c r="G877" s="219"/>
      <c r="H877" s="219"/>
      <c r="I877" s="220"/>
      <c r="J877" s="220"/>
      <c r="K877" s="221"/>
      <c r="L877" s="222"/>
      <c r="M877" s="221"/>
      <c r="N877" s="218"/>
      <c r="O877" s="219"/>
      <c r="P877" s="111"/>
      <c r="Q877" s="223"/>
      <c r="R877" s="218"/>
      <c r="S877" s="111"/>
    </row>
    <row r="878" ht="21.0" customHeight="1">
      <c r="A878" s="216"/>
      <c r="B878" s="111"/>
      <c r="C878" s="111"/>
      <c r="D878" s="111"/>
      <c r="E878" s="217"/>
      <c r="F878" s="218"/>
      <c r="G878" s="219"/>
      <c r="H878" s="219"/>
      <c r="I878" s="220"/>
      <c r="J878" s="220"/>
      <c r="K878" s="221"/>
      <c r="L878" s="222"/>
      <c r="M878" s="221"/>
      <c r="N878" s="218"/>
      <c r="O878" s="219"/>
      <c r="P878" s="111"/>
      <c r="Q878" s="223"/>
      <c r="R878" s="218"/>
      <c r="S878" s="111"/>
    </row>
    <row r="879" ht="21.0" customHeight="1">
      <c r="A879" s="216"/>
      <c r="B879" s="111"/>
      <c r="C879" s="111"/>
      <c r="D879" s="111"/>
      <c r="E879" s="217"/>
      <c r="F879" s="218"/>
      <c r="G879" s="219"/>
      <c r="H879" s="219"/>
      <c r="I879" s="220"/>
      <c r="J879" s="220"/>
      <c r="K879" s="221"/>
      <c r="L879" s="222"/>
      <c r="M879" s="221"/>
      <c r="N879" s="218"/>
      <c r="O879" s="219"/>
      <c r="P879" s="111"/>
      <c r="Q879" s="223"/>
      <c r="R879" s="218"/>
      <c r="S879" s="111"/>
    </row>
    <row r="880" ht="21.0" customHeight="1">
      <c r="A880" s="216"/>
      <c r="B880" s="111"/>
      <c r="C880" s="111"/>
      <c r="D880" s="111"/>
      <c r="E880" s="217"/>
      <c r="F880" s="218"/>
      <c r="G880" s="219"/>
      <c r="H880" s="219"/>
      <c r="I880" s="220"/>
      <c r="J880" s="220"/>
      <c r="K880" s="221"/>
      <c r="L880" s="222"/>
      <c r="M880" s="221"/>
      <c r="N880" s="218"/>
      <c r="O880" s="219"/>
      <c r="P880" s="111"/>
      <c r="Q880" s="223"/>
      <c r="R880" s="218"/>
      <c r="S880" s="111"/>
    </row>
    <row r="881" ht="21.0" customHeight="1">
      <c r="A881" s="216"/>
      <c r="B881" s="111"/>
      <c r="C881" s="111"/>
      <c r="D881" s="111"/>
      <c r="E881" s="217"/>
      <c r="F881" s="218"/>
      <c r="G881" s="219"/>
      <c r="H881" s="219"/>
      <c r="I881" s="220"/>
      <c r="J881" s="220"/>
      <c r="K881" s="221"/>
      <c r="L881" s="222"/>
      <c r="M881" s="221"/>
      <c r="N881" s="218"/>
      <c r="O881" s="219"/>
      <c r="P881" s="111"/>
      <c r="Q881" s="223"/>
      <c r="R881" s="218"/>
      <c r="S881" s="111"/>
    </row>
    <row r="882" ht="21.0" customHeight="1">
      <c r="A882" s="216"/>
      <c r="B882" s="111"/>
      <c r="C882" s="111"/>
      <c r="D882" s="111"/>
      <c r="E882" s="217"/>
      <c r="F882" s="218"/>
      <c r="G882" s="219"/>
      <c r="H882" s="219"/>
      <c r="I882" s="220"/>
      <c r="J882" s="220"/>
      <c r="K882" s="221"/>
      <c r="L882" s="222"/>
      <c r="M882" s="221"/>
      <c r="N882" s="218"/>
      <c r="O882" s="219"/>
      <c r="P882" s="111"/>
      <c r="Q882" s="223"/>
      <c r="R882" s="218"/>
      <c r="S882" s="111"/>
    </row>
    <row r="883" ht="21.0" customHeight="1">
      <c r="A883" s="216"/>
      <c r="B883" s="111"/>
      <c r="C883" s="111"/>
      <c r="D883" s="111"/>
      <c r="E883" s="217"/>
      <c r="F883" s="218"/>
      <c r="G883" s="219"/>
      <c r="H883" s="219"/>
      <c r="I883" s="220"/>
      <c r="J883" s="220"/>
      <c r="K883" s="221"/>
      <c r="L883" s="222"/>
      <c r="M883" s="221"/>
      <c r="N883" s="218"/>
      <c r="O883" s="219"/>
      <c r="P883" s="111"/>
      <c r="Q883" s="223"/>
      <c r="R883" s="218"/>
      <c r="S883" s="111"/>
    </row>
    <row r="884" ht="21.0" customHeight="1">
      <c r="A884" s="216"/>
      <c r="B884" s="111"/>
      <c r="C884" s="111"/>
      <c r="D884" s="111"/>
      <c r="E884" s="217"/>
      <c r="F884" s="218"/>
      <c r="G884" s="219"/>
      <c r="H884" s="219"/>
      <c r="I884" s="220"/>
      <c r="J884" s="220"/>
      <c r="K884" s="221"/>
      <c r="L884" s="222"/>
      <c r="M884" s="221"/>
      <c r="N884" s="218"/>
      <c r="O884" s="219"/>
      <c r="P884" s="111"/>
      <c r="Q884" s="223"/>
      <c r="R884" s="218"/>
      <c r="S884" s="111"/>
    </row>
    <row r="885" ht="21.0" customHeight="1">
      <c r="A885" s="216"/>
      <c r="B885" s="111"/>
      <c r="C885" s="111"/>
      <c r="D885" s="111"/>
      <c r="E885" s="217"/>
      <c r="F885" s="218"/>
      <c r="G885" s="219"/>
      <c r="H885" s="219"/>
      <c r="I885" s="220"/>
      <c r="J885" s="220"/>
      <c r="K885" s="221"/>
      <c r="L885" s="222"/>
      <c r="M885" s="221"/>
      <c r="N885" s="218"/>
      <c r="O885" s="219"/>
      <c r="P885" s="111"/>
      <c r="Q885" s="223"/>
      <c r="R885" s="218"/>
      <c r="S885" s="111"/>
    </row>
    <row r="886" ht="21.0" customHeight="1">
      <c r="A886" s="216"/>
      <c r="B886" s="111"/>
      <c r="C886" s="111"/>
      <c r="D886" s="111"/>
      <c r="E886" s="217"/>
      <c r="F886" s="218"/>
      <c r="G886" s="219"/>
      <c r="H886" s="219"/>
      <c r="I886" s="220"/>
      <c r="J886" s="220"/>
      <c r="K886" s="221"/>
      <c r="L886" s="222"/>
      <c r="M886" s="221"/>
      <c r="N886" s="218"/>
      <c r="O886" s="219"/>
      <c r="P886" s="111"/>
      <c r="Q886" s="223"/>
      <c r="R886" s="218"/>
      <c r="S886" s="111"/>
    </row>
    <row r="887" ht="21.0" customHeight="1">
      <c r="A887" s="216"/>
      <c r="B887" s="111"/>
      <c r="C887" s="111"/>
      <c r="D887" s="111"/>
      <c r="E887" s="217"/>
      <c r="F887" s="218"/>
      <c r="G887" s="219"/>
      <c r="H887" s="219"/>
      <c r="I887" s="220"/>
      <c r="J887" s="220"/>
      <c r="K887" s="221"/>
      <c r="L887" s="222"/>
      <c r="M887" s="221"/>
      <c r="N887" s="218"/>
      <c r="O887" s="219"/>
      <c r="P887" s="111"/>
      <c r="Q887" s="223"/>
      <c r="R887" s="218"/>
      <c r="S887" s="111"/>
    </row>
    <row r="888" ht="21.0" customHeight="1">
      <c r="A888" s="216"/>
      <c r="B888" s="111"/>
      <c r="C888" s="111"/>
      <c r="D888" s="111"/>
      <c r="E888" s="217"/>
      <c r="F888" s="218"/>
      <c r="G888" s="219"/>
      <c r="H888" s="219"/>
      <c r="I888" s="220"/>
      <c r="J888" s="220"/>
      <c r="K888" s="221"/>
      <c r="L888" s="222"/>
      <c r="M888" s="221"/>
      <c r="N888" s="218"/>
      <c r="O888" s="219"/>
      <c r="P888" s="111"/>
      <c r="Q888" s="223"/>
      <c r="R888" s="218"/>
      <c r="S888" s="111"/>
    </row>
    <row r="889" ht="21.0" customHeight="1">
      <c r="A889" s="216"/>
      <c r="B889" s="111"/>
      <c r="C889" s="111"/>
      <c r="D889" s="111"/>
      <c r="E889" s="217"/>
      <c r="F889" s="218"/>
      <c r="G889" s="219"/>
      <c r="H889" s="219"/>
      <c r="I889" s="220"/>
      <c r="J889" s="220"/>
      <c r="K889" s="221"/>
      <c r="L889" s="222"/>
      <c r="M889" s="221"/>
      <c r="N889" s="218"/>
      <c r="O889" s="219"/>
      <c r="P889" s="111"/>
      <c r="Q889" s="223"/>
      <c r="R889" s="218"/>
      <c r="S889" s="111"/>
    </row>
    <row r="890" ht="21.0" customHeight="1">
      <c r="A890" s="216"/>
      <c r="B890" s="111"/>
      <c r="C890" s="111"/>
      <c r="D890" s="111"/>
      <c r="E890" s="217"/>
      <c r="F890" s="218"/>
      <c r="G890" s="219"/>
      <c r="H890" s="219"/>
      <c r="I890" s="220"/>
      <c r="J890" s="220"/>
      <c r="K890" s="221"/>
      <c r="L890" s="222"/>
      <c r="M890" s="221"/>
      <c r="N890" s="218"/>
      <c r="O890" s="219"/>
      <c r="P890" s="111"/>
      <c r="Q890" s="223"/>
      <c r="R890" s="218"/>
      <c r="S890" s="111"/>
    </row>
    <row r="891" ht="21.0" customHeight="1">
      <c r="A891" s="216"/>
      <c r="B891" s="111"/>
      <c r="C891" s="111"/>
      <c r="D891" s="111"/>
      <c r="E891" s="217"/>
      <c r="F891" s="218"/>
      <c r="G891" s="219"/>
      <c r="H891" s="219"/>
      <c r="I891" s="220"/>
      <c r="J891" s="220"/>
      <c r="K891" s="221"/>
      <c r="L891" s="222"/>
      <c r="M891" s="221"/>
      <c r="N891" s="218"/>
      <c r="O891" s="219"/>
      <c r="P891" s="111"/>
      <c r="Q891" s="223"/>
      <c r="R891" s="218"/>
      <c r="S891" s="111"/>
    </row>
    <row r="892" ht="21.0" customHeight="1">
      <c r="A892" s="216"/>
      <c r="B892" s="111"/>
      <c r="C892" s="111"/>
      <c r="D892" s="111"/>
      <c r="E892" s="217"/>
      <c r="F892" s="218"/>
      <c r="G892" s="219"/>
      <c r="H892" s="219"/>
      <c r="I892" s="220"/>
      <c r="J892" s="220"/>
      <c r="K892" s="221"/>
      <c r="L892" s="222"/>
      <c r="M892" s="221"/>
      <c r="N892" s="218"/>
      <c r="O892" s="219"/>
      <c r="P892" s="111"/>
      <c r="Q892" s="223"/>
      <c r="R892" s="218"/>
      <c r="S892" s="111"/>
    </row>
    <row r="893" ht="21.0" customHeight="1">
      <c r="A893" s="216"/>
      <c r="B893" s="111"/>
      <c r="C893" s="111"/>
      <c r="D893" s="111"/>
      <c r="E893" s="217"/>
      <c r="F893" s="218"/>
      <c r="G893" s="219"/>
      <c r="H893" s="219"/>
      <c r="I893" s="220"/>
      <c r="J893" s="220"/>
      <c r="K893" s="221"/>
      <c r="L893" s="222"/>
      <c r="M893" s="221"/>
      <c r="N893" s="218"/>
      <c r="O893" s="219"/>
      <c r="P893" s="111"/>
      <c r="Q893" s="223"/>
      <c r="R893" s="218"/>
      <c r="S893" s="111"/>
    </row>
    <row r="894" ht="21.0" customHeight="1">
      <c r="A894" s="216"/>
      <c r="B894" s="111"/>
      <c r="C894" s="111"/>
      <c r="D894" s="111"/>
      <c r="E894" s="217"/>
      <c r="F894" s="218"/>
      <c r="G894" s="219"/>
      <c r="H894" s="219"/>
      <c r="I894" s="220"/>
      <c r="J894" s="220"/>
      <c r="K894" s="221"/>
      <c r="L894" s="222"/>
      <c r="M894" s="221"/>
      <c r="N894" s="218"/>
      <c r="O894" s="219"/>
      <c r="P894" s="111"/>
      <c r="Q894" s="223"/>
      <c r="R894" s="218"/>
      <c r="S894" s="111"/>
    </row>
    <row r="895" ht="21.0" customHeight="1">
      <c r="A895" s="216"/>
      <c r="B895" s="111"/>
      <c r="C895" s="111"/>
      <c r="D895" s="111"/>
      <c r="E895" s="217"/>
      <c r="F895" s="218"/>
      <c r="G895" s="219"/>
      <c r="H895" s="219"/>
      <c r="I895" s="220"/>
      <c r="J895" s="220"/>
      <c r="K895" s="221"/>
      <c r="L895" s="222"/>
      <c r="M895" s="221"/>
      <c r="N895" s="218"/>
      <c r="O895" s="219"/>
      <c r="P895" s="111"/>
      <c r="Q895" s="223"/>
      <c r="R895" s="218"/>
      <c r="S895" s="111"/>
    </row>
    <row r="896" ht="21.0" customHeight="1">
      <c r="A896" s="216"/>
      <c r="B896" s="111"/>
      <c r="C896" s="111"/>
      <c r="D896" s="111"/>
      <c r="E896" s="217"/>
      <c r="F896" s="218"/>
      <c r="G896" s="219"/>
      <c r="H896" s="219"/>
      <c r="I896" s="220"/>
      <c r="J896" s="220"/>
      <c r="K896" s="221"/>
      <c r="L896" s="222"/>
      <c r="M896" s="221"/>
      <c r="N896" s="218"/>
      <c r="O896" s="219"/>
      <c r="P896" s="111"/>
      <c r="Q896" s="223"/>
      <c r="R896" s="218"/>
      <c r="S896" s="111"/>
    </row>
    <row r="897" ht="21.0" customHeight="1">
      <c r="A897" s="216"/>
      <c r="B897" s="111"/>
      <c r="C897" s="111"/>
      <c r="D897" s="111"/>
      <c r="E897" s="217"/>
      <c r="F897" s="218"/>
      <c r="G897" s="219"/>
      <c r="H897" s="219"/>
      <c r="I897" s="220"/>
      <c r="J897" s="220"/>
      <c r="K897" s="221"/>
      <c r="L897" s="222"/>
      <c r="M897" s="221"/>
      <c r="N897" s="218"/>
      <c r="O897" s="219"/>
      <c r="P897" s="111"/>
      <c r="Q897" s="223"/>
      <c r="R897" s="218"/>
      <c r="S897" s="111"/>
    </row>
    <row r="898" ht="21.0" customHeight="1">
      <c r="A898" s="216"/>
      <c r="B898" s="111"/>
      <c r="C898" s="111"/>
      <c r="D898" s="111"/>
      <c r="E898" s="217"/>
      <c r="F898" s="218"/>
      <c r="G898" s="219"/>
      <c r="H898" s="219"/>
      <c r="I898" s="220"/>
      <c r="J898" s="220"/>
      <c r="K898" s="221"/>
      <c r="L898" s="222"/>
      <c r="M898" s="221"/>
      <c r="N898" s="218"/>
      <c r="O898" s="219"/>
      <c r="P898" s="111"/>
      <c r="Q898" s="223"/>
      <c r="R898" s="218"/>
      <c r="S898" s="111"/>
    </row>
    <row r="899" ht="21.0" customHeight="1">
      <c r="A899" s="216"/>
      <c r="B899" s="111"/>
      <c r="C899" s="111"/>
      <c r="D899" s="111"/>
      <c r="E899" s="217"/>
      <c r="F899" s="218"/>
      <c r="G899" s="219"/>
      <c r="H899" s="219"/>
      <c r="I899" s="220"/>
      <c r="J899" s="220"/>
      <c r="K899" s="221"/>
      <c r="L899" s="222"/>
      <c r="M899" s="221"/>
      <c r="N899" s="218"/>
      <c r="O899" s="219"/>
      <c r="P899" s="111"/>
      <c r="Q899" s="223"/>
      <c r="R899" s="218"/>
      <c r="S899" s="111"/>
    </row>
    <row r="900" ht="21.0" customHeight="1">
      <c r="A900" s="216"/>
      <c r="B900" s="111"/>
      <c r="C900" s="111"/>
      <c r="D900" s="111"/>
      <c r="E900" s="217"/>
      <c r="F900" s="218"/>
      <c r="G900" s="219"/>
      <c r="H900" s="219"/>
      <c r="I900" s="220"/>
      <c r="J900" s="220"/>
      <c r="K900" s="221"/>
      <c r="L900" s="222"/>
      <c r="M900" s="221"/>
      <c r="N900" s="218"/>
      <c r="O900" s="219"/>
      <c r="P900" s="111"/>
      <c r="Q900" s="223"/>
      <c r="R900" s="218"/>
      <c r="S900" s="111"/>
    </row>
    <row r="901" ht="21.0" customHeight="1">
      <c r="A901" s="216"/>
      <c r="B901" s="111"/>
      <c r="C901" s="111"/>
      <c r="D901" s="111"/>
      <c r="E901" s="217"/>
      <c r="F901" s="218"/>
      <c r="G901" s="219"/>
      <c r="H901" s="219"/>
      <c r="I901" s="220"/>
      <c r="J901" s="220"/>
      <c r="K901" s="221"/>
      <c r="L901" s="222"/>
      <c r="M901" s="221"/>
      <c r="N901" s="218"/>
      <c r="O901" s="219"/>
      <c r="P901" s="111"/>
      <c r="Q901" s="223"/>
      <c r="R901" s="218"/>
      <c r="S901" s="111"/>
    </row>
    <row r="902" ht="21.0" customHeight="1">
      <c r="A902" s="216"/>
      <c r="B902" s="111"/>
      <c r="C902" s="111"/>
      <c r="D902" s="111"/>
      <c r="E902" s="217"/>
      <c r="F902" s="218"/>
      <c r="G902" s="219"/>
      <c r="H902" s="219"/>
      <c r="I902" s="220"/>
      <c r="J902" s="220"/>
      <c r="K902" s="221"/>
      <c r="L902" s="222"/>
      <c r="M902" s="221"/>
      <c r="N902" s="218"/>
      <c r="O902" s="219"/>
      <c r="P902" s="111"/>
      <c r="Q902" s="223"/>
      <c r="R902" s="218"/>
      <c r="S902" s="111"/>
    </row>
    <row r="903" ht="21.0" customHeight="1">
      <c r="A903" s="216"/>
      <c r="B903" s="111"/>
      <c r="C903" s="111"/>
      <c r="D903" s="111"/>
      <c r="E903" s="217"/>
      <c r="F903" s="218"/>
      <c r="G903" s="219"/>
      <c r="H903" s="219"/>
      <c r="I903" s="220"/>
      <c r="J903" s="220"/>
      <c r="K903" s="221"/>
      <c r="L903" s="222"/>
      <c r="M903" s="221"/>
      <c r="N903" s="218"/>
      <c r="O903" s="219"/>
      <c r="P903" s="111"/>
      <c r="Q903" s="223"/>
      <c r="R903" s="218"/>
      <c r="S903" s="111"/>
    </row>
    <row r="904" ht="21.0" customHeight="1">
      <c r="A904" s="216"/>
      <c r="B904" s="111"/>
      <c r="C904" s="111"/>
      <c r="D904" s="111"/>
      <c r="E904" s="217"/>
      <c r="F904" s="218"/>
      <c r="G904" s="219"/>
      <c r="H904" s="219"/>
      <c r="I904" s="220"/>
      <c r="J904" s="220"/>
      <c r="K904" s="221"/>
      <c r="L904" s="222"/>
      <c r="M904" s="221"/>
      <c r="N904" s="218"/>
      <c r="O904" s="219"/>
      <c r="P904" s="111"/>
      <c r="Q904" s="223"/>
      <c r="R904" s="218"/>
      <c r="S904" s="111"/>
    </row>
    <row r="905" ht="21.0" customHeight="1">
      <c r="A905" s="216"/>
      <c r="B905" s="111"/>
      <c r="C905" s="111"/>
      <c r="D905" s="111"/>
      <c r="E905" s="217"/>
      <c r="F905" s="218"/>
      <c r="G905" s="219"/>
      <c r="H905" s="219"/>
      <c r="I905" s="220"/>
      <c r="J905" s="220"/>
      <c r="K905" s="221"/>
      <c r="L905" s="222"/>
      <c r="M905" s="221"/>
      <c r="N905" s="218"/>
      <c r="O905" s="219"/>
      <c r="P905" s="111"/>
      <c r="Q905" s="223"/>
      <c r="R905" s="218"/>
      <c r="S905" s="111"/>
    </row>
    <row r="906" ht="21.0" customHeight="1">
      <c r="A906" s="216"/>
      <c r="B906" s="111"/>
      <c r="C906" s="111"/>
      <c r="D906" s="111"/>
      <c r="E906" s="217"/>
      <c r="F906" s="218"/>
      <c r="G906" s="219"/>
      <c r="H906" s="219"/>
      <c r="I906" s="220"/>
      <c r="J906" s="220"/>
      <c r="K906" s="221"/>
      <c r="L906" s="222"/>
      <c r="M906" s="221"/>
      <c r="N906" s="218"/>
      <c r="O906" s="219"/>
      <c r="P906" s="111"/>
      <c r="Q906" s="223"/>
      <c r="R906" s="218"/>
      <c r="S906" s="111"/>
    </row>
    <row r="907" ht="21.0" customHeight="1">
      <c r="A907" s="216"/>
      <c r="B907" s="111"/>
      <c r="C907" s="111"/>
      <c r="D907" s="111"/>
      <c r="E907" s="217"/>
      <c r="F907" s="218"/>
      <c r="G907" s="219"/>
      <c r="H907" s="219"/>
      <c r="I907" s="220"/>
      <c r="J907" s="220"/>
      <c r="K907" s="221"/>
      <c r="L907" s="222"/>
      <c r="M907" s="221"/>
      <c r="N907" s="218"/>
      <c r="O907" s="219"/>
      <c r="P907" s="111"/>
      <c r="Q907" s="223"/>
      <c r="R907" s="218"/>
      <c r="S907" s="111"/>
    </row>
    <row r="908" ht="21.0" customHeight="1">
      <c r="A908" s="216"/>
      <c r="B908" s="111"/>
      <c r="C908" s="111"/>
      <c r="D908" s="111"/>
      <c r="E908" s="217"/>
      <c r="F908" s="218"/>
      <c r="G908" s="219"/>
      <c r="H908" s="219"/>
      <c r="I908" s="220"/>
      <c r="J908" s="220"/>
      <c r="K908" s="221"/>
      <c r="L908" s="222"/>
      <c r="M908" s="221"/>
      <c r="N908" s="218"/>
      <c r="O908" s="219"/>
      <c r="P908" s="111"/>
      <c r="Q908" s="223"/>
      <c r="R908" s="218"/>
      <c r="S908" s="111"/>
    </row>
    <row r="909" ht="21.0" customHeight="1">
      <c r="A909" s="216"/>
      <c r="B909" s="111"/>
      <c r="C909" s="111"/>
      <c r="D909" s="111"/>
      <c r="E909" s="217"/>
      <c r="F909" s="218"/>
      <c r="G909" s="219"/>
      <c r="H909" s="219"/>
      <c r="I909" s="220"/>
      <c r="J909" s="220"/>
      <c r="K909" s="221"/>
      <c r="L909" s="222"/>
      <c r="M909" s="221"/>
      <c r="N909" s="218"/>
      <c r="O909" s="219"/>
      <c r="P909" s="111"/>
      <c r="Q909" s="223"/>
      <c r="R909" s="218"/>
      <c r="S909" s="111"/>
    </row>
    <row r="910" ht="21.0" customHeight="1">
      <c r="A910" s="216"/>
      <c r="B910" s="111"/>
      <c r="C910" s="111"/>
      <c r="D910" s="111"/>
      <c r="E910" s="217"/>
      <c r="F910" s="218"/>
      <c r="G910" s="219"/>
      <c r="H910" s="219"/>
      <c r="I910" s="220"/>
      <c r="J910" s="220"/>
      <c r="K910" s="221"/>
      <c r="L910" s="222"/>
      <c r="M910" s="221"/>
      <c r="N910" s="218"/>
      <c r="O910" s="219"/>
      <c r="P910" s="111"/>
      <c r="Q910" s="223"/>
      <c r="R910" s="218"/>
      <c r="S910" s="111"/>
    </row>
    <row r="911" ht="21.0" customHeight="1">
      <c r="A911" s="216"/>
      <c r="B911" s="111"/>
      <c r="C911" s="111"/>
      <c r="D911" s="111"/>
      <c r="E911" s="217"/>
      <c r="F911" s="218"/>
      <c r="G911" s="219"/>
      <c r="H911" s="219"/>
      <c r="I911" s="220"/>
      <c r="J911" s="220"/>
      <c r="K911" s="221"/>
      <c r="L911" s="222"/>
      <c r="M911" s="221"/>
      <c r="N911" s="218"/>
      <c r="O911" s="219"/>
      <c r="P911" s="111"/>
      <c r="Q911" s="223"/>
      <c r="R911" s="218"/>
      <c r="S911" s="111"/>
    </row>
    <row r="912" ht="21.0" customHeight="1">
      <c r="A912" s="216"/>
      <c r="B912" s="111"/>
      <c r="C912" s="111"/>
      <c r="D912" s="111"/>
      <c r="E912" s="217"/>
      <c r="F912" s="218"/>
      <c r="G912" s="219"/>
      <c r="H912" s="219"/>
      <c r="I912" s="220"/>
      <c r="J912" s="220"/>
      <c r="K912" s="221"/>
      <c r="L912" s="222"/>
      <c r="M912" s="221"/>
      <c r="N912" s="218"/>
      <c r="O912" s="219"/>
      <c r="P912" s="111"/>
      <c r="Q912" s="223"/>
      <c r="R912" s="218"/>
      <c r="S912" s="111"/>
    </row>
    <row r="913" ht="21.0" customHeight="1">
      <c r="A913" s="216"/>
      <c r="B913" s="111"/>
      <c r="C913" s="111"/>
      <c r="D913" s="111"/>
      <c r="E913" s="217"/>
      <c r="F913" s="218"/>
      <c r="G913" s="219"/>
      <c r="H913" s="219"/>
      <c r="I913" s="220"/>
      <c r="J913" s="220"/>
      <c r="K913" s="221"/>
      <c r="L913" s="222"/>
      <c r="M913" s="221"/>
      <c r="N913" s="218"/>
      <c r="O913" s="219"/>
      <c r="P913" s="111"/>
      <c r="Q913" s="223"/>
      <c r="R913" s="218"/>
      <c r="S913" s="111"/>
    </row>
    <row r="914" ht="21.0" customHeight="1">
      <c r="A914" s="216"/>
      <c r="B914" s="111"/>
      <c r="C914" s="111"/>
      <c r="D914" s="111"/>
      <c r="E914" s="217"/>
      <c r="F914" s="218"/>
      <c r="G914" s="219"/>
      <c r="H914" s="219"/>
      <c r="I914" s="220"/>
      <c r="J914" s="220"/>
      <c r="K914" s="221"/>
      <c r="L914" s="222"/>
      <c r="M914" s="221"/>
      <c r="N914" s="218"/>
      <c r="O914" s="219"/>
      <c r="P914" s="111"/>
      <c r="Q914" s="223"/>
      <c r="R914" s="218"/>
      <c r="S914" s="111"/>
    </row>
    <row r="915" ht="21.0" customHeight="1">
      <c r="A915" s="216"/>
      <c r="B915" s="111"/>
      <c r="C915" s="111"/>
      <c r="D915" s="111"/>
      <c r="E915" s="217"/>
      <c r="F915" s="218"/>
      <c r="G915" s="219"/>
      <c r="H915" s="219"/>
      <c r="I915" s="220"/>
      <c r="J915" s="220"/>
      <c r="K915" s="221"/>
      <c r="L915" s="222"/>
      <c r="M915" s="221"/>
      <c r="N915" s="218"/>
      <c r="O915" s="219"/>
      <c r="P915" s="111"/>
      <c r="Q915" s="223"/>
      <c r="R915" s="218"/>
      <c r="S915" s="111"/>
    </row>
    <row r="916" ht="21.0" customHeight="1">
      <c r="A916" s="216"/>
      <c r="B916" s="111"/>
      <c r="C916" s="111"/>
      <c r="D916" s="111"/>
      <c r="E916" s="217"/>
      <c r="F916" s="218"/>
      <c r="G916" s="219"/>
      <c r="H916" s="219"/>
      <c r="I916" s="220"/>
      <c r="J916" s="220"/>
      <c r="K916" s="221"/>
      <c r="L916" s="222"/>
      <c r="M916" s="221"/>
      <c r="N916" s="218"/>
      <c r="O916" s="219"/>
      <c r="P916" s="111"/>
      <c r="Q916" s="223"/>
      <c r="R916" s="218"/>
      <c r="S916" s="111"/>
    </row>
    <row r="917" ht="21.0" customHeight="1">
      <c r="A917" s="216"/>
      <c r="B917" s="111"/>
      <c r="C917" s="111"/>
      <c r="D917" s="111"/>
      <c r="E917" s="217"/>
      <c r="F917" s="218"/>
      <c r="G917" s="219"/>
      <c r="H917" s="219"/>
      <c r="I917" s="220"/>
      <c r="J917" s="220"/>
      <c r="K917" s="221"/>
      <c r="L917" s="222"/>
      <c r="M917" s="221"/>
      <c r="N917" s="218"/>
      <c r="O917" s="219"/>
      <c r="P917" s="111"/>
      <c r="Q917" s="223"/>
      <c r="R917" s="218"/>
      <c r="S917" s="111"/>
    </row>
    <row r="918" ht="21.0" customHeight="1">
      <c r="A918" s="216"/>
      <c r="B918" s="111"/>
      <c r="C918" s="111"/>
      <c r="D918" s="111"/>
      <c r="E918" s="217"/>
      <c r="F918" s="218"/>
      <c r="G918" s="219"/>
      <c r="H918" s="219"/>
      <c r="I918" s="220"/>
      <c r="J918" s="220"/>
      <c r="K918" s="221"/>
      <c r="L918" s="222"/>
      <c r="M918" s="221"/>
      <c r="N918" s="218"/>
      <c r="O918" s="219"/>
      <c r="P918" s="111"/>
      <c r="Q918" s="223"/>
      <c r="R918" s="218"/>
      <c r="S918" s="111"/>
    </row>
    <row r="919" ht="21.0" customHeight="1">
      <c r="A919" s="216"/>
      <c r="B919" s="111"/>
      <c r="C919" s="111"/>
      <c r="D919" s="111"/>
      <c r="E919" s="217"/>
      <c r="F919" s="218"/>
      <c r="G919" s="219"/>
      <c r="H919" s="219"/>
      <c r="I919" s="220"/>
      <c r="J919" s="220"/>
      <c r="K919" s="221"/>
      <c r="L919" s="222"/>
      <c r="M919" s="221"/>
      <c r="N919" s="218"/>
      <c r="O919" s="219"/>
      <c r="P919" s="111"/>
      <c r="Q919" s="223"/>
      <c r="R919" s="218"/>
      <c r="S919" s="111"/>
    </row>
    <row r="920" ht="21.0" customHeight="1">
      <c r="A920" s="216"/>
      <c r="B920" s="111"/>
      <c r="C920" s="111"/>
      <c r="D920" s="111"/>
      <c r="E920" s="217"/>
      <c r="F920" s="218"/>
      <c r="G920" s="219"/>
      <c r="H920" s="219"/>
      <c r="I920" s="220"/>
      <c r="J920" s="220"/>
      <c r="K920" s="221"/>
      <c r="L920" s="222"/>
      <c r="M920" s="221"/>
      <c r="N920" s="218"/>
      <c r="O920" s="219"/>
      <c r="P920" s="111"/>
      <c r="Q920" s="223"/>
      <c r="R920" s="218"/>
      <c r="S920" s="111"/>
    </row>
    <row r="921" ht="21.0" customHeight="1">
      <c r="A921" s="216"/>
      <c r="B921" s="111"/>
      <c r="C921" s="111"/>
      <c r="D921" s="111"/>
      <c r="E921" s="217"/>
      <c r="F921" s="218"/>
      <c r="G921" s="219"/>
      <c r="H921" s="219"/>
      <c r="I921" s="220"/>
      <c r="J921" s="220"/>
      <c r="K921" s="221"/>
      <c r="L921" s="222"/>
      <c r="M921" s="221"/>
      <c r="N921" s="218"/>
      <c r="O921" s="219"/>
      <c r="P921" s="111"/>
      <c r="Q921" s="223"/>
      <c r="R921" s="218"/>
      <c r="S921" s="111"/>
    </row>
    <row r="922" ht="21.0" customHeight="1">
      <c r="A922" s="216"/>
      <c r="B922" s="111"/>
      <c r="C922" s="111"/>
      <c r="D922" s="111"/>
      <c r="E922" s="217"/>
      <c r="F922" s="218"/>
      <c r="G922" s="219"/>
      <c r="H922" s="219"/>
      <c r="I922" s="220"/>
      <c r="J922" s="220"/>
      <c r="K922" s="221"/>
      <c r="L922" s="222"/>
      <c r="M922" s="221"/>
      <c r="N922" s="218"/>
      <c r="O922" s="219"/>
      <c r="P922" s="111"/>
      <c r="Q922" s="223"/>
      <c r="R922" s="218"/>
      <c r="S922" s="111"/>
    </row>
    <row r="923" ht="21.0" customHeight="1">
      <c r="A923" s="216"/>
      <c r="B923" s="111"/>
      <c r="C923" s="111"/>
      <c r="D923" s="111"/>
      <c r="E923" s="217"/>
      <c r="F923" s="218"/>
      <c r="G923" s="219"/>
      <c r="H923" s="219"/>
      <c r="I923" s="220"/>
      <c r="J923" s="220"/>
      <c r="K923" s="221"/>
      <c r="L923" s="222"/>
      <c r="M923" s="221"/>
      <c r="N923" s="218"/>
      <c r="O923" s="219"/>
      <c r="P923" s="111"/>
      <c r="Q923" s="223"/>
      <c r="R923" s="218"/>
      <c r="S923" s="111"/>
    </row>
    <row r="924" ht="21.0" customHeight="1">
      <c r="A924" s="216"/>
      <c r="B924" s="111"/>
      <c r="C924" s="111"/>
      <c r="D924" s="111"/>
      <c r="E924" s="217"/>
      <c r="F924" s="218"/>
      <c r="G924" s="219"/>
      <c r="H924" s="219"/>
      <c r="I924" s="220"/>
      <c r="J924" s="220"/>
      <c r="K924" s="221"/>
      <c r="L924" s="222"/>
      <c r="M924" s="221"/>
      <c r="N924" s="218"/>
      <c r="O924" s="219"/>
      <c r="P924" s="111"/>
      <c r="Q924" s="223"/>
      <c r="R924" s="218"/>
      <c r="S924" s="111"/>
    </row>
    <row r="925" ht="21.0" customHeight="1">
      <c r="A925" s="216"/>
      <c r="B925" s="111"/>
      <c r="C925" s="111"/>
      <c r="D925" s="111"/>
      <c r="E925" s="217"/>
      <c r="F925" s="218"/>
      <c r="G925" s="219"/>
      <c r="H925" s="219"/>
      <c r="I925" s="220"/>
      <c r="J925" s="220"/>
      <c r="K925" s="221"/>
      <c r="L925" s="222"/>
      <c r="M925" s="221"/>
      <c r="N925" s="218"/>
      <c r="O925" s="219"/>
      <c r="P925" s="111"/>
      <c r="Q925" s="223"/>
      <c r="R925" s="218"/>
      <c r="S925" s="111"/>
    </row>
    <row r="926" ht="21.0" customHeight="1">
      <c r="A926" s="216"/>
      <c r="B926" s="111"/>
      <c r="C926" s="111"/>
      <c r="D926" s="111"/>
      <c r="E926" s="217"/>
      <c r="F926" s="218"/>
      <c r="G926" s="219"/>
      <c r="H926" s="219"/>
      <c r="I926" s="220"/>
      <c r="J926" s="220"/>
      <c r="K926" s="221"/>
      <c r="L926" s="222"/>
      <c r="M926" s="221"/>
      <c r="N926" s="218"/>
      <c r="O926" s="219"/>
      <c r="P926" s="111"/>
      <c r="Q926" s="223"/>
      <c r="R926" s="218"/>
      <c r="S926" s="111"/>
    </row>
    <row r="927" ht="21.0" customHeight="1">
      <c r="A927" s="216"/>
      <c r="B927" s="111"/>
      <c r="C927" s="111"/>
      <c r="D927" s="111"/>
      <c r="E927" s="217"/>
      <c r="F927" s="218"/>
      <c r="G927" s="219"/>
      <c r="H927" s="219"/>
      <c r="I927" s="220"/>
      <c r="J927" s="220"/>
      <c r="K927" s="221"/>
      <c r="L927" s="222"/>
      <c r="M927" s="221"/>
      <c r="N927" s="218"/>
      <c r="O927" s="219"/>
      <c r="P927" s="111"/>
      <c r="Q927" s="223"/>
      <c r="R927" s="218"/>
      <c r="S927" s="111"/>
    </row>
    <row r="928" ht="21.0" customHeight="1">
      <c r="A928" s="216"/>
      <c r="B928" s="111"/>
      <c r="C928" s="111"/>
      <c r="D928" s="111"/>
      <c r="E928" s="217"/>
      <c r="F928" s="218"/>
      <c r="G928" s="219"/>
      <c r="H928" s="219"/>
      <c r="I928" s="220"/>
      <c r="J928" s="220"/>
      <c r="K928" s="221"/>
      <c r="L928" s="222"/>
      <c r="M928" s="221"/>
      <c r="N928" s="218"/>
      <c r="O928" s="219"/>
      <c r="P928" s="111"/>
      <c r="Q928" s="223"/>
      <c r="R928" s="218"/>
      <c r="S928" s="111"/>
    </row>
    <row r="929" ht="21.0" customHeight="1">
      <c r="A929" s="216"/>
      <c r="B929" s="111"/>
      <c r="C929" s="111"/>
      <c r="D929" s="111"/>
      <c r="E929" s="217"/>
      <c r="F929" s="218"/>
      <c r="G929" s="219"/>
      <c r="H929" s="219"/>
      <c r="I929" s="220"/>
      <c r="J929" s="220"/>
      <c r="K929" s="221"/>
      <c r="L929" s="222"/>
      <c r="M929" s="221"/>
      <c r="N929" s="218"/>
      <c r="O929" s="219"/>
      <c r="P929" s="111"/>
      <c r="Q929" s="223"/>
      <c r="R929" s="218"/>
      <c r="S929" s="111"/>
    </row>
    <row r="930" ht="21.0" customHeight="1">
      <c r="A930" s="216"/>
      <c r="B930" s="111"/>
      <c r="C930" s="111"/>
      <c r="D930" s="111"/>
      <c r="E930" s="217"/>
      <c r="F930" s="218"/>
      <c r="G930" s="219"/>
      <c r="H930" s="219"/>
      <c r="I930" s="220"/>
      <c r="J930" s="220"/>
      <c r="K930" s="221"/>
      <c r="L930" s="222"/>
      <c r="M930" s="221"/>
      <c r="N930" s="218"/>
      <c r="O930" s="219"/>
      <c r="P930" s="111"/>
      <c r="Q930" s="223"/>
      <c r="R930" s="218"/>
      <c r="S930" s="111"/>
    </row>
    <row r="931" ht="21.0" customHeight="1">
      <c r="A931" s="216"/>
      <c r="B931" s="111"/>
      <c r="C931" s="111"/>
      <c r="D931" s="111"/>
      <c r="E931" s="217"/>
      <c r="F931" s="218"/>
      <c r="G931" s="219"/>
      <c r="H931" s="219"/>
      <c r="I931" s="220"/>
      <c r="J931" s="220"/>
      <c r="K931" s="221"/>
      <c r="L931" s="222"/>
      <c r="M931" s="221"/>
      <c r="N931" s="218"/>
      <c r="O931" s="219"/>
      <c r="P931" s="111"/>
      <c r="Q931" s="223"/>
      <c r="R931" s="218"/>
      <c r="S931" s="111"/>
    </row>
    <row r="932" ht="21.0" customHeight="1">
      <c r="A932" s="216"/>
      <c r="B932" s="111"/>
      <c r="C932" s="111"/>
      <c r="D932" s="111"/>
      <c r="E932" s="217"/>
      <c r="F932" s="218"/>
      <c r="G932" s="219"/>
      <c r="H932" s="219"/>
      <c r="I932" s="220"/>
      <c r="J932" s="220"/>
      <c r="K932" s="221"/>
      <c r="L932" s="222"/>
      <c r="M932" s="221"/>
      <c r="N932" s="218"/>
      <c r="O932" s="219"/>
      <c r="P932" s="111"/>
      <c r="Q932" s="223"/>
      <c r="R932" s="218"/>
      <c r="S932" s="111"/>
    </row>
    <row r="933" ht="21.0" customHeight="1">
      <c r="A933" s="216"/>
      <c r="B933" s="111"/>
      <c r="C933" s="111"/>
      <c r="D933" s="111"/>
      <c r="E933" s="217"/>
      <c r="F933" s="218"/>
      <c r="G933" s="219"/>
      <c r="H933" s="219"/>
      <c r="I933" s="220"/>
      <c r="J933" s="220"/>
      <c r="K933" s="221"/>
      <c r="L933" s="222"/>
      <c r="M933" s="221"/>
      <c r="N933" s="218"/>
      <c r="O933" s="219"/>
      <c r="P933" s="111"/>
      <c r="Q933" s="223"/>
      <c r="R933" s="218"/>
      <c r="S933" s="111"/>
    </row>
    <row r="934" ht="21.0" customHeight="1">
      <c r="A934" s="216"/>
      <c r="B934" s="111"/>
      <c r="C934" s="111"/>
      <c r="D934" s="111"/>
      <c r="E934" s="217"/>
      <c r="F934" s="218"/>
      <c r="G934" s="219"/>
      <c r="H934" s="219"/>
      <c r="I934" s="220"/>
      <c r="J934" s="220"/>
      <c r="K934" s="221"/>
      <c r="L934" s="222"/>
      <c r="M934" s="221"/>
      <c r="N934" s="218"/>
      <c r="O934" s="219"/>
      <c r="P934" s="111"/>
      <c r="Q934" s="223"/>
      <c r="R934" s="218"/>
      <c r="S934" s="111"/>
    </row>
    <row r="935" ht="21.0" customHeight="1">
      <c r="A935" s="216"/>
      <c r="B935" s="111"/>
      <c r="C935" s="111"/>
      <c r="D935" s="111"/>
      <c r="E935" s="217"/>
      <c r="F935" s="218"/>
      <c r="G935" s="219"/>
      <c r="H935" s="219"/>
      <c r="I935" s="220"/>
      <c r="J935" s="220"/>
      <c r="K935" s="221"/>
      <c r="L935" s="222"/>
      <c r="M935" s="221"/>
      <c r="N935" s="218"/>
      <c r="O935" s="219"/>
      <c r="P935" s="111"/>
      <c r="Q935" s="223"/>
      <c r="R935" s="218"/>
      <c r="S935" s="111"/>
    </row>
    <row r="936" ht="21.0" customHeight="1">
      <c r="A936" s="216"/>
      <c r="B936" s="111"/>
      <c r="C936" s="111"/>
      <c r="D936" s="111"/>
      <c r="E936" s="217"/>
      <c r="F936" s="218"/>
      <c r="G936" s="219"/>
      <c r="H936" s="219"/>
      <c r="I936" s="220"/>
      <c r="J936" s="220"/>
      <c r="K936" s="221"/>
      <c r="L936" s="222"/>
      <c r="M936" s="221"/>
      <c r="N936" s="218"/>
      <c r="O936" s="219"/>
      <c r="P936" s="111"/>
      <c r="Q936" s="223"/>
      <c r="R936" s="218"/>
      <c r="S936" s="111"/>
    </row>
    <row r="937" ht="21.0" customHeight="1">
      <c r="A937" s="216"/>
      <c r="B937" s="111"/>
      <c r="C937" s="111"/>
      <c r="D937" s="111"/>
      <c r="E937" s="217"/>
      <c r="F937" s="218"/>
      <c r="G937" s="219"/>
      <c r="H937" s="219"/>
      <c r="I937" s="220"/>
      <c r="J937" s="220"/>
      <c r="K937" s="221"/>
      <c r="L937" s="222"/>
      <c r="M937" s="221"/>
      <c r="N937" s="218"/>
      <c r="O937" s="219"/>
      <c r="P937" s="111"/>
      <c r="Q937" s="223"/>
      <c r="R937" s="218"/>
      <c r="S937" s="111"/>
    </row>
    <row r="938" ht="21.0" customHeight="1">
      <c r="A938" s="216"/>
      <c r="B938" s="111"/>
      <c r="C938" s="111"/>
      <c r="D938" s="111"/>
      <c r="E938" s="217"/>
      <c r="F938" s="218"/>
      <c r="G938" s="219"/>
      <c r="H938" s="219"/>
      <c r="I938" s="220"/>
      <c r="J938" s="220"/>
      <c r="K938" s="221"/>
      <c r="L938" s="222"/>
      <c r="M938" s="221"/>
      <c r="N938" s="218"/>
      <c r="O938" s="219"/>
      <c r="P938" s="111"/>
      <c r="Q938" s="223"/>
      <c r="R938" s="218"/>
      <c r="S938" s="111"/>
    </row>
    <row r="939" ht="21.0" customHeight="1">
      <c r="A939" s="216"/>
      <c r="B939" s="111"/>
      <c r="C939" s="111"/>
      <c r="D939" s="111"/>
      <c r="E939" s="217"/>
      <c r="F939" s="218"/>
      <c r="G939" s="219"/>
      <c r="H939" s="219"/>
      <c r="I939" s="220"/>
      <c r="J939" s="220"/>
      <c r="K939" s="221"/>
      <c r="L939" s="222"/>
      <c r="M939" s="221"/>
      <c r="N939" s="218"/>
      <c r="O939" s="219"/>
      <c r="P939" s="111"/>
      <c r="Q939" s="223"/>
      <c r="R939" s="218"/>
      <c r="S939" s="111"/>
    </row>
    <row r="940" ht="21.0" customHeight="1">
      <c r="A940" s="216"/>
      <c r="B940" s="111"/>
      <c r="C940" s="111"/>
      <c r="D940" s="111"/>
      <c r="E940" s="217"/>
      <c r="F940" s="218"/>
      <c r="G940" s="219"/>
      <c r="H940" s="219"/>
      <c r="I940" s="220"/>
      <c r="J940" s="220"/>
      <c r="K940" s="221"/>
      <c r="L940" s="222"/>
      <c r="M940" s="221"/>
      <c r="N940" s="218"/>
      <c r="O940" s="219"/>
      <c r="P940" s="111"/>
      <c r="Q940" s="223"/>
      <c r="R940" s="218"/>
      <c r="S940" s="111"/>
    </row>
    <row r="941" ht="21.0" customHeight="1">
      <c r="A941" s="216"/>
      <c r="B941" s="111"/>
      <c r="C941" s="111"/>
      <c r="D941" s="111"/>
      <c r="E941" s="217"/>
      <c r="F941" s="218"/>
      <c r="G941" s="219"/>
      <c r="H941" s="219"/>
      <c r="I941" s="220"/>
      <c r="J941" s="220"/>
      <c r="K941" s="221"/>
      <c r="L941" s="222"/>
      <c r="M941" s="221"/>
      <c r="N941" s="218"/>
      <c r="O941" s="219"/>
      <c r="P941" s="111"/>
      <c r="Q941" s="223"/>
      <c r="R941" s="218"/>
      <c r="S941" s="111"/>
    </row>
    <row r="942" ht="21.0" customHeight="1">
      <c r="A942" s="216"/>
      <c r="B942" s="111"/>
      <c r="C942" s="111"/>
      <c r="D942" s="111"/>
      <c r="E942" s="217"/>
      <c r="F942" s="218"/>
      <c r="G942" s="219"/>
      <c r="H942" s="219"/>
      <c r="I942" s="220"/>
      <c r="J942" s="220"/>
      <c r="K942" s="221"/>
      <c r="L942" s="222"/>
      <c r="M942" s="221"/>
      <c r="N942" s="218"/>
      <c r="O942" s="219"/>
      <c r="P942" s="111"/>
      <c r="Q942" s="223"/>
      <c r="R942" s="218"/>
      <c r="S942" s="111"/>
    </row>
    <row r="943" ht="21.0" customHeight="1">
      <c r="A943" s="216"/>
      <c r="B943" s="111"/>
      <c r="C943" s="111"/>
      <c r="D943" s="111"/>
      <c r="E943" s="217"/>
      <c r="F943" s="218"/>
      <c r="G943" s="219"/>
      <c r="H943" s="219"/>
      <c r="I943" s="220"/>
      <c r="J943" s="220"/>
      <c r="K943" s="221"/>
      <c r="L943" s="222"/>
      <c r="M943" s="221"/>
      <c r="N943" s="218"/>
      <c r="O943" s="219"/>
      <c r="P943" s="111"/>
      <c r="Q943" s="223"/>
      <c r="R943" s="218"/>
      <c r="S943" s="111"/>
    </row>
    <row r="944" ht="21.0" customHeight="1">
      <c r="A944" s="216"/>
      <c r="B944" s="111"/>
      <c r="C944" s="111"/>
      <c r="D944" s="111"/>
      <c r="E944" s="217"/>
      <c r="F944" s="218"/>
      <c r="G944" s="219"/>
      <c r="H944" s="219"/>
      <c r="I944" s="220"/>
      <c r="J944" s="220"/>
      <c r="K944" s="221"/>
      <c r="L944" s="222"/>
      <c r="M944" s="221"/>
      <c r="N944" s="218"/>
      <c r="O944" s="219"/>
      <c r="P944" s="111"/>
      <c r="Q944" s="223"/>
      <c r="R944" s="218"/>
      <c r="S944" s="111"/>
    </row>
    <row r="945" ht="21.0" customHeight="1">
      <c r="A945" s="216"/>
      <c r="B945" s="111"/>
      <c r="C945" s="111"/>
      <c r="D945" s="111"/>
      <c r="E945" s="217"/>
      <c r="F945" s="218"/>
      <c r="G945" s="219"/>
      <c r="H945" s="219"/>
      <c r="I945" s="220"/>
      <c r="J945" s="220"/>
      <c r="K945" s="221"/>
      <c r="L945" s="222"/>
      <c r="M945" s="221"/>
      <c r="N945" s="218"/>
      <c r="O945" s="219"/>
      <c r="P945" s="111"/>
      <c r="Q945" s="223"/>
      <c r="R945" s="218"/>
      <c r="S945" s="111"/>
    </row>
    <row r="946" ht="21.0" customHeight="1">
      <c r="A946" s="216"/>
      <c r="B946" s="111"/>
      <c r="C946" s="111"/>
      <c r="D946" s="111"/>
      <c r="E946" s="217"/>
      <c r="F946" s="218"/>
      <c r="G946" s="219"/>
      <c r="H946" s="219"/>
      <c r="I946" s="220"/>
      <c r="J946" s="220"/>
      <c r="K946" s="221"/>
      <c r="L946" s="222"/>
      <c r="M946" s="221"/>
      <c r="N946" s="218"/>
      <c r="O946" s="219"/>
      <c r="P946" s="111"/>
      <c r="Q946" s="223"/>
      <c r="R946" s="218"/>
      <c r="S946" s="111"/>
    </row>
    <row r="947" ht="21.0" customHeight="1">
      <c r="A947" s="216"/>
      <c r="B947" s="111"/>
      <c r="C947" s="111"/>
      <c r="D947" s="111"/>
      <c r="E947" s="217"/>
      <c r="F947" s="218"/>
      <c r="G947" s="219"/>
      <c r="H947" s="219"/>
      <c r="I947" s="220"/>
      <c r="J947" s="220"/>
      <c r="K947" s="221"/>
      <c r="L947" s="222"/>
      <c r="M947" s="221"/>
      <c r="N947" s="218"/>
      <c r="O947" s="219"/>
      <c r="P947" s="111"/>
      <c r="Q947" s="223"/>
      <c r="R947" s="218"/>
      <c r="S947" s="111"/>
    </row>
    <row r="948" ht="21.0" customHeight="1">
      <c r="A948" s="216"/>
      <c r="B948" s="111"/>
      <c r="C948" s="111"/>
      <c r="D948" s="111"/>
      <c r="E948" s="217"/>
      <c r="F948" s="218"/>
      <c r="G948" s="219"/>
      <c r="H948" s="219"/>
      <c r="I948" s="220"/>
      <c r="J948" s="220"/>
      <c r="K948" s="221"/>
      <c r="L948" s="222"/>
      <c r="M948" s="221"/>
      <c r="N948" s="218"/>
      <c r="O948" s="219"/>
      <c r="P948" s="111"/>
      <c r="Q948" s="223"/>
      <c r="R948" s="218"/>
      <c r="S948" s="111"/>
    </row>
    <row r="949" ht="21.0" customHeight="1">
      <c r="A949" s="216"/>
      <c r="B949" s="111"/>
      <c r="C949" s="111"/>
      <c r="D949" s="111"/>
      <c r="E949" s="217"/>
      <c r="F949" s="218"/>
      <c r="G949" s="219"/>
      <c r="H949" s="219"/>
      <c r="I949" s="220"/>
      <c r="J949" s="220"/>
      <c r="K949" s="221"/>
      <c r="L949" s="222"/>
      <c r="M949" s="221"/>
      <c r="N949" s="218"/>
      <c r="O949" s="219"/>
      <c r="P949" s="111"/>
      <c r="Q949" s="223"/>
      <c r="R949" s="218"/>
      <c r="S949" s="111"/>
    </row>
    <row r="950" ht="21.0" customHeight="1">
      <c r="A950" s="216"/>
      <c r="B950" s="111"/>
      <c r="C950" s="111"/>
      <c r="D950" s="111"/>
      <c r="E950" s="217"/>
      <c r="F950" s="218"/>
      <c r="G950" s="219"/>
      <c r="H950" s="219"/>
      <c r="I950" s="220"/>
      <c r="J950" s="220"/>
      <c r="K950" s="221"/>
      <c r="L950" s="222"/>
      <c r="M950" s="221"/>
      <c r="N950" s="218"/>
      <c r="O950" s="219"/>
      <c r="P950" s="111"/>
      <c r="Q950" s="223"/>
      <c r="R950" s="218"/>
      <c r="S950" s="111"/>
    </row>
    <row r="951" ht="21.0" customHeight="1">
      <c r="A951" s="216"/>
      <c r="B951" s="111"/>
      <c r="C951" s="111"/>
      <c r="D951" s="111"/>
      <c r="E951" s="217"/>
      <c r="F951" s="218"/>
      <c r="G951" s="219"/>
      <c r="H951" s="219"/>
      <c r="I951" s="220"/>
      <c r="J951" s="220"/>
      <c r="K951" s="221"/>
      <c r="L951" s="222"/>
      <c r="M951" s="221"/>
      <c r="N951" s="218"/>
      <c r="O951" s="219"/>
      <c r="P951" s="111"/>
      <c r="Q951" s="223"/>
      <c r="R951" s="218"/>
      <c r="S951" s="111"/>
    </row>
    <row r="952" ht="21.0" customHeight="1">
      <c r="A952" s="216"/>
      <c r="B952" s="111"/>
      <c r="C952" s="111"/>
      <c r="D952" s="111"/>
      <c r="E952" s="217"/>
      <c r="F952" s="218"/>
      <c r="G952" s="219"/>
      <c r="H952" s="219"/>
      <c r="I952" s="220"/>
      <c r="J952" s="220"/>
      <c r="K952" s="221"/>
      <c r="L952" s="222"/>
      <c r="M952" s="221"/>
      <c r="N952" s="218"/>
      <c r="O952" s="219"/>
      <c r="P952" s="111"/>
      <c r="Q952" s="223"/>
      <c r="R952" s="218"/>
      <c r="S952" s="111"/>
    </row>
    <row r="953" ht="21.0" customHeight="1">
      <c r="A953" s="216"/>
      <c r="B953" s="111"/>
      <c r="C953" s="111"/>
      <c r="D953" s="111"/>
      <c r="E953" s="217"/>
      <c r="F953" s="218"/>
      <c r="G953" s="219"/>
      <c r="H953" s="219"/>
      <c r="I953" s="220"/>
      <c r="J953" s="220"/>
      <c r="K953" s="221"/>
      <c r="L953" s="222"/>
      <c r="M953" s="221"/>
      <c r="N953" s="218"/>
      <c r="O953" s="219"/>
      <c r="P953" s="111"/>
      <c r="Q953" s="223"/>
      <c r="R953" s="218"/>
      <c r="S953" s="111"/>
    </row>
    <row r="954" ht="21.0" customHeight="1">
      <c r="A954" s="216"/>
      <c r="B954" s="111"/>
      <c r="C954" s="111"/>
      <c r="D954" s="111"/>
      <c r="E954" s="217"/>
      <c r="F954" s="218"/>
      <c r="G954" s="219"/>
      <c r="H954" s="219"/>
      <c r="I954" s="220"/>
      <c r="J954" s="220"/>
      <c r="K954" s="221"/>
      <c r="L954" s="222"/>
      <c r="M954" s="221"/>
      <c r="N954" s="218"/>
      <c r="O954" s="219"/>
      <c r="P954" s="111"/>
      <c r="Q954" s="223"/>
      <c r="R954" s="218"/>
      <c r="S954" s="111"/>
    </row>
    <row r="955" ht="21.0" customHeight="1">
      <c r="A955" s="216"/>
      <c r="B955" s="111"/>
      <c r="C955" s="111"/>
      <c r="D955" s="111"/>
      <c r="E955" s="217"/>
      <c r="F955" s="218"/>
      <c r="G955" s="219"/>
      <c r="H955" s="219"/>
      <c r="I955" s="220"/>
      <c r="J955" s="220"/>
      <c r="K955" s="221"/>
      <c r="L955" s="222"/>
      <c r="M955" s="221"/>
      <c r="N955" s="218"/>
      <c r="O955" s="219"/>
      <c r="P955" s="111"/>
      <c r="Q955" s="223"/>
      <c r="R955" s="218"/>
      <c r="S955" s="111"/>
    </row>
    <row r="956" ht="21.0" customHeight="1">
      <c r="A956" s="216"/>
      <c r="B956" s="111"/>
      <c r="C956" s="111"/>
      <c r="D956" s="111"/>
      <c r="E956" s="217"/>
      <c r="F956" s="218"/>
      <c r="G956" s="219"/>
      <c r="H956" s="219"/>
      <c r="I956" s="220"/>
      <c r="J956" s="220"/>
      <c r="K956" s="221"/>
      <c r="L956" s="222"/>
      <c r="M956" s="221"/>
      <c r="N956" s="218"/>
      <c r="O956" s="219"/>
      <c r="P956" s="111"/>
      <c r="Q956" s="223"/>
      <c r="R956" s="218"/>
      <c r="S956" s="111"/>
    </row>
    <row r="957" ht="21.0" customHeight="1">
      <c r="A957" s="216"/>
      <c r="B957" s="111"/>
      <c r="C957" s="111"/>
      <c r="D957" s="111"/>
      <c r="E957" s="217"/>
      <c r="F957" s="218"/>
      <c r="G957" s="219"/>
      <c r="H957" s="219"/>
      <c r="I957" s="220"/>
      <c r="J957" s="220"/>
      <c r="K957" s="221"/>
      <c r="L957" s="222"/>
      <c r="M957" s="221"/>
      <c r="N957" s="218"/>
      <c r="O957" s="219"/>
      <c r="P957" s="111"/>
      <c r="Q957" s="223"/>
      <c r="R957" s="218"/>
      <c r="S957" s="111"/>
    </row>
    <row r="958" ht="21.0" customHeight="1">
      <c r="A958" s="216"/>
      <c r="B958" s="111"/>
      <c r="C958" s="111"/>
      <c r="D958" s="111"/>
      <c r="E958" s="217"/>
      <c r="F958" s="218"/>
      <c r="G958" s="219"/>
      <c r="H958" s="219"/>
      <c r="I958" s="220"/>
      <c r="J958" s="220"/>
      <c r="K958" s="221"/>
      <c r="L958" s="222"/>
      <c r="M958" s="221"/>
      <c r="N958" s="218"/>
      <c r="O958" s="219"/>
      <c r="P958" s="111"/>
      <c r="Q958" s="223"/>
      <c r="R958" s="218"/>
      <c r="S958" s="111"/>
    </row>
    <row r="959" ht="21.0" customHeight="1">
      <c r="A959" s="216"/>
      <c r="B959" s="111"/>
      <c r="C959" s="111"/>
      <c r="D959" s="111"/>
      <c r="E959" s="217"/>
      <c r="F959" s="218"/>
      <c r="G959" s="219"/>
      <c r="H959" s="219"/>
      <c r="I959" s="220"/>
      <c r="J959" s="220"/>
      <c r="K959" s="221"/>
      <c r="L959" s="222"/>
      <c r="M959" s="221"/>
      <c r="N959" s="218"/>
      <c r="O959" s="219"/>
      <c r="P959" s="111"/>
      <c r="Q959" s="223"/>
      <c r="R959" s="218"/>
      <c r="S959" s="111"/>
    </row>
    <row r="960" ht="21.0" customHeight="1">
      <c r="A960" s="216"/>
      <c r="B960" s="111"/>
      <c r="C960" s="111"/>
      <c r="D960" s="111"/>
      <c r="E960" s="217"/>
      <c r="F960" s="218"/>
      <c r="G960" s="219"/>
      <c r="H960" s="219"/>
      <c r="I960" s="220"/>
      <c r="J960" s="220"/>
      <c r="K960" s="221"/>
      <c r="L960" s="222"/>
      <c r="M960" s="221"/>
      <c r="N960" s="218"/>
      <c r="O960" s="219"/>
      <c r="P960" s="111"/>
      <c r="Q960" s="223"/>
      <c r="R960" s="218"/>
      <c r="S960" s="111"/>
    </row>
    <row r="961" ht="21.0" customHeight="1">
      <c r="A961" s="216"/>
      <c r="B961" s="111"/>
      <c r="C961" s="111"/>
      <c r="D961" s="111"/>
      <c r="E961" s="217"/>
      <c r="F961" s="218"/>
      <c r="G961" s="219"/>
      <c r="H961" s="219"/>
      <c r="I961" s="220"/>
      <c r="J961" s="220"/>
      <c r="K961" s="221"/>
      <c r="L961" s="222"/>
      <c r="M961" s="221"/>
      <c r="N961" s="218"/>
      <c r="O961" s="219"/>
      <c r="P961" s="111"/>
      <c r="Q961" s="223"/>
      <c r="R961" s="218"/>
      <c r="S961" s="111"/>
    </row>
    <row r="962" ht="21.0" customHeight="1">
      <c r="A962" s="216"/>
      <c r="B962" s="111"/>
      <c r="C962" s="111"/>
      <c r="D962" s="111"/>
      <c r="E962" s="217"/>
      <c r="F962" s="218"/>
      <c r="G962" s="219"/>
      <c r="H962" s="219"/>
      <c r="I962" s="220"/>
      <c r="J962" s="220"/>
      <c r="K962" s="221"/>
      <c r="L962" s="222"/>
      <c r="M962" s="221"/>
      <c r="N962" s="218"/>
      <c r="O962" s="219"/>
      <c r="P962" s="111"/>
      <c r="Q962" s="223"/>
      <c r="R962" s="218"/>
      <c r="S962" s="111"/>
    </row>
    <row r="963" ht="21.0" customHeight="1">
      <c r="A963" s="216"/>
      <c r="B963" s="111"/>
      <c r="C963" s="111"/>
      <c r="D963" s="111"/>
      <c r="E963" s="217"/>
      <c r="F963" s="218"/>
      <c r="G963" s="219"/>
      <c r="H963" s="219"/>
      <c r="I963" s="220"/>
      <c r="J963" s="220"/>
      <c r="K963" s="221"/>
      <c r="L963" s="222"/>
      <c r="M963" s="221"/>
      <c r="N963" s="218"/>
      <c r="O963" s="219"/>
      <c r="P963" s="111"/>
      <c r="Q963" s="223"/>
      <c r="R963" s="218"/>
      <c r="S963" s="111"/>
    </row>
    <row r="964" ht="21.0" customHeight="1">
      <c r="A964" s="216"/>
      <c r="B964" s="111"/>
      <c r="C964" s="111"/>
      <c r="D964" s="111"/>
      <c r="E964" s="217"/>
      <c r="F964" s="218"/>
      <c r="G964" s="219"/>
      <c r="H964" s="219"/>
      <c r="I964" s="220"/>
      <c r="J964" s="220"/>
      <c r="K964" s="221"/>
      <c r="L964" s="222"/>
      <c r="M964" s="221"/>
      <c r="N964" s="218"/>
      <c r="O964" s="219"/>
      <c r="P964" s="111"/>
      <c r="Q964" s="223"/>
      <c r="R964" s="218"/>
      <c r="S964" s="111"/>
    </row>
    <row r="965" ht="21.0" customHeight="1">
      <c r="A965" s="216"/>
      <c r="B965" s="111"/>
      <c r="C965" s="111"/>
      <c r="D965" s="111"/>
      <c r="E965" s="217"/>
      <c r="F965" s="218"/>
      <c r="G965" s="219"/>
      <c r="H965" s="219"/>
      <c r="I965" s="220"/>
      <c r="J965" s="220"/>
      <c r="K965" s="221"/>
      <c r="L965" s="222"/>
      <c r="M965" s="221"/>
      <c r="N965" s="218"/>
      <c r="O965" s="219"/>
      <c r="P965" s="111"/>
      <c r="Q965" s="223"/>
      <c r="R965" s="218"/>
      <c r="S965" s="111"/>
    </row>
    <row r="966" ht="21.0" customHeight="1">
      <c r="A966" s="216"/>
      <c r="B966" s="111"/>
      <c r="C966" s="111"/>
      <c r="D966" s="111"/>
      <c r="E966" s="217"/>
      <c r="F966" s="218"/>
      <c r="G966" s="219"/>
      <c r="H966" s="219"/>
      <c r="I966" s="220"/>
      <c r="J966" s="220"/>
      <c r="K966" s="221"/>
      <c r="L966" s="222"/>
      <c r="M966" s="221"/>
      <c r="N966" s="218"/>
      <c r="O966" s="219"/>
      <c r="P966" s="111"/>
      <c r="Q966" s="223"/>
      <c r="R966" s="218"/>
      <c r="S966" s="111"/>
    </row>
    <row r="967" ht="21.0" customHeight="1">
      <c r="A967" s="216"/>
      <c r="B967" s="111"/>
      <c r="C967" s="111"/>
      <c r="D967" s="111"/>
      <c r="E967" s="217"/>
      <c r="F967" s="218"/>
      <c r="G967" s="219"/>
      <c r="H967" s="219"/>
      <c r="I967" s="220"/>
      <c r="J967" s="220"/>
      <c r="K967" s="221"/>
      <c r="L967" s="222"/>
      <c r="M967" s="221"/>
      <c r="N967" s="218"/>
      <c r="O967" s="219"/>
      <c r="P967" s="111"/>
      <c r="Q967" s="223"/>
      <c r="R967" s="218"/>
      <c r="S967" s="111"/>
    </row>
    <row r="968" ht="21.0" customHeight="1">
      <c r="A968" s="216"/>
      <c r="B968" s="111"/>
      <c r="C968" s="111"/>
      <c r="D968" s="111"/>
      <c r="E968" s="217"/>
      <c r="F968" s="218"/>
      <c r="G968" s="219"/>
      <c r="H968" s="219"/>
      <c r="I968" s="220"/>
      <c r="J968" s="220"/>
      <c r="K968" s="221"/>
      <c r="L968" s="222"/>
      <c r="M968" s="221"/>
      <c r="N968" s="218"/>
      <c r="O968" s="219"/>
      <c r="P968" s="111"/>
      <c r="Q968" s="223"/>
      <c r="R968" s="218"/>
      <c r="S968" s="111"/>
    </row>
    <row r="969" ht="21.0" customHeight="1">
      <c r="A969" s="216"/>
      <c r="B969" s="111"/>
      <c r="C969" s="111"/>
      <c r="D969" s="111"/>
      <c r="E969" s="217"/>
      <c r="F969" s="218"/>
      <c r="G969" s="219"/>
      <c r="H969" s="219"/>
      <c r="I969" s="220"/>
      <c r="J969" s="220"/>
      <c r="K969" s="221"/>
      <c r="L969" s="222"/>
      <c r="M969" s="221"/>
      <c r="N969" s="218"/>
      <c r="O969" s="219"/>
      <c r="P969" s="111"/>
      <c r="Q969" s="223"/>
      <c r="R969" s="218"/>
      <c r="S969" s="111"/>
    </row>
    <row r="970" ht="21.0" customHeight="1">
      <c r="A970" s="216"/>
      <c r="B970" s="111"/>
      <c r="C970" s="111"/>
      <c r="D970" s="111"/>
      <c r="E970" s="217"/>
      <c r="F970" s="218"/>
      <c r="G970" s="219"/>
      <c r="H970" s="219"/>
      <c r="I970" s="220"/>
      <c r="J970" s="220"/>
      <c r="K970" s="221"/>
      <c r="L970" s="222"/>
      <c r="M970" s="221"/>
      <c r="N970" s="218"/>
      <c r="O970" s="219"/>
      <c r="P970" s="111"/>
      <c r="Q970" s="223"/>
      <c r="R970" s="218"/>
      <c r="S970" s="111"/>
    </row>
    <row r="971" ht="21.0" customHeight="1">
      <c r="A971" s="216"/>
      <c r="B971" s="111"/>
      <c r="C971" s="111"/>
      <c r="D971" s="111"/>
      <c r="E971" s="217"/>
      <c r="F971" s="218"/>
      <c r="G971" s="219"/>
      <c r="H971" s="219"/>
      <c r="I971" s="220"/>
      <c r="J971" s="220"/>
      <c r="K971" s="221"/>
      <c r="L971" s="222"/>
      <c r="M971" s="221"/>
      <c r="N971" s="218"/>
      <c r="O971" s="219"/>
      <c r="P971" s="111"/>
      <c r="Q971" s="223"/>
      <c r="R971" s="218"/>
      <c r="S971" s="111"/>
    </row>
  </sheetData>
  <conditionalFormatting sqref="A2:B971">
    <cfRule type="expression" dxfId="9" priority="1" stopIfTrue="1">
      <formula>$N2="Готов"</formula>
    </cfRule>
  </conditionalFormatting>
  <conditionalFormatting sqref="M2:M971">
    <cfRule type="expression" dxfId="10" priority="2" stopIfTrue="1">
      <formula>AND(ISNUMBER($M2),$M2&gt;0)</formula>
    </cfRule>
  </conditionalFormatting>
  <conditionalFormatting sqref="K2:K971">
    <cfRule type="expression" dxfId="9" priority="3" stopIfTrue="1">
      <formula>AND(ISNUMBER($K2),$K2&gt;0)</formula>
    </cfRule>
  </conditionalFormatting>
  <dataValidations>
    <dataValidation type="list" allowBlank="1" showErrorMessage="1" sqref="F2:F44">
      <formula1>"jarayonda,yangi,yakun,kutish"</formula1>
    </dataValidation>
    <dataValidation type="custom" allowBlank="1" showDropDown="1" sqref="G2:H44 O2:O44">
      <formula1>OR(NOT(ISERROR(DATEVALUE(G2))), AND(ISNUMBER(G2), LEFT(CELL("format", G2))="D"))</formula1>
    </dataValidation>
    <dataValidation type="custom" allowBlank="1" showDropDown="1" sqref="E2:E44 I2:J44 Q2:Q44">
      <formula1>AND(ISNUMBER(E2),(NOT(OR(NOT(ISERROR(DATEVALUE(E2))), AND(ISNUMBER(E2), LEFT(CELL("format", E2))="D")))))</formula1>
    </dataValidation>
    <dataValidation allowBlank="1" showDropDown="1" sqref="A2:A44"/>
    <dataValidation type="list" allowBlank="1" showErrorMessage="1" sqref="N2:N44">
      <formula1>"Заказ на сырье,Установка,Деталировка,Готов,Ожидание"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22.63"/>
    <col customWidth="1" min="3" max="3" width="25.13"/>
  </cols>
  <sheetData>
    <row r="1" ht="24.0" customHeight="1">
      <c r="A1" s="110" t="s">
        <v>103</v>
      </c>
      <c r="B1" s="110" t="s">
        <v>102</v>
      </c>
      <c r="C1" s="110" t="s">
        <v>104</v>
      </c>
    </row>
    <row r="2">
      <c r="A2" s="114" t="s">
        <v>105</v>
      </c>
      <c r="B2" s="114" t="s">
        <v>10</v>
      </c>
      <c r="C2" s="114" t="s">
        <v>106</v>
      </c>
    </row>
    <row r="3">
      <c r="A3" s="114" t="s">
        <v>105</v>
      </c>
      <c r="B3" s="114" t="s">
        <v>107</v>
      </c>
      <c r="C3" s="114" t="s">
        <v>108</v>
      </c>
    </row>
    <row r="4">
      <c r="A4" s="114" t="s">
        <v>105</v>
      </c>
      <c r="B4" s="114" t="s">
        <v>109</v>
      </c>
      <c r="C4" s="114" t="s">
        <v>108</v>
      </c>
    </row>
    <row r="5">
      <c r="A5" s="114" t="s">
        <v>105</v>
      </c>
      <c r="B5" s="114" t="s">
        <v>110</v>
      </c>
      <c r="C5" s="114" t="s">
        <v>108</v>
      </c>
    </row>
    <row r="6">
      <c r="A6" s="114" t="s">
        <v>105</v>
      </c>
      <c r="B6" s="114" t="s">
        <v>309</v>
      </c>
      <c r="C6" s="114" t="s">
        <v>310</v>
      </c>
    </row>
    <row r="7">
      <c r="A7" s="114" t="s">
        <v>105</v>
      </c>
      <c r="B7" s="114"/>
      <c r="C7" s="114" t="s">
        <v>310</v>
      </c>
    </row>
    <row r="8">
      <c r="A8" s="114" t="s">
        <v>113</v>
      </c>
      <c r="B8" s="114" t="s">
        <v>112</v>
      </c>
      <c r="C8" s="114" t="s">
        <v>106</v>
      </c>
    </row>
    <row r="9">
      <c r="A9" s="114" t="s">
        <v>113</v>
      </c>
      <c r="B9" s="114" t="s">
        <v>114</v>
      </c>
      <c r="C9" s="114" t="s">
        <v>108</v>
      </c>
    </row>
    <row r="10">
      <c r="A10" s="114" t="s">
        <v>113</v>
      </c>
      <c r="B10" s="114"/>
      <c r="C10" s="114" t="s">
        <v>108</v>
      </c>
    </row>
    <row r="11">
      <c r="A11" s="114" t="s">
        <v>117</v>
      </c>
      <c r="B11" s="114" t="s">
        <v>116</v>
      </c>
      <c r="C11" s="114" t="s">
        <v>311</v>
      </c>
    </row>
    <row r="12">
      <c r="A12" s="114" t="s">
        <v>117</v>
      </c>
      <c r="B12" s="114" t="s">
        <v>118</v>
      </c>
      <c r="C12" s="114" t="s">
        <v>119</v>
      </c>
    </row>
    <row r="13">
      <c r="A13" s="114" t="s">
        <v>117</v>
      </c>
      <c r="B13" s="114" t="s">
        <v>312</v>
      </c>
      <c r="C13" s="114" t="s">
        <v>313</v>
      </c>
    </row>
    <row r="14">
      <c r="A14" s="114" t="s">
        <v>117</v>
      </c>
      <c r="B14" s="114" t="s">
        <v>121</v>
      </c>
      <c r="C14" s="114" t="s">
        <v>122</v>
      </c>
    </row>
    <row r="15">
      <c r="A15" s="114" t="s">
        <v>117</v>
      </c>
      <c r="B15" s="114" t="s">
        <v>314</v>
      </c>
      <c r="C15" s="114" t="s">
        <v>122</v>
      </c>
    </row>
    <row r="16">
      <c r="A16" s="114" t="s">
        <v>117</v>
      </c>
      <c r="B16" s="114" t="s">
        <v>315</v>
      </c>
      <c r="C16" s="114" t="s">
        <v>122</v>
      </c>
    </row>
    <row r="17">
      <c r="A17" s="114" t="s">
        <v>117</v>
      </c>
      <c r="B17" s="114">
        <v>3.0</v>
      </c>
      <c r="C17" s="114" t="s">
        <v>122</v>
      </c>
    </row>
    <row r="18">
      <c r="A18" s="114" t="s">
        <v>124</v>
      </c>
      <c r="B18" s="114" t="s">
        <v>123</v>
      </c>
      <c r="C18" s="114" t="s">
        <v>122</v>
      </c>
    </row>
    <row r="19">
      <c r="A19" s="114" t="s">
        <v>124</v>
      </c>
      <c r="B19" s="114" t="s">
        <v>125</v>
      </c>
      <c r="C19" s="114" t="s">
        <v>122</v>
      </c>
    </row>
    <row r="20">
      <c r="A20" s="114" t="s">
        <v>127</v>
      </c>
      <c r="B20" s="114" t="s">
        <v>126</v>
      </c>
      <c r="C20" s="114" t="s">
        <v>128</v>
      </c>
    </row>
    <row r="21">
      <c r="A21" s="114" t="s">
        <v>127</v>
      </c>
      <c r="B21" s="114" t="s">
        <v>129</v>
      </c>
      <c r="C21" s="114" t="s">
        <v>130</v>
      </c>
    </row>
    <row r="22">
      <c r="A22" s="114" t="s">
        <v>127</v>
      </c>
      <c r="B22" s="114" t="s">
        <v>131</v>
      </c>
      <c r="C22" s="114" t="s">
        <v>137</v>
      </c>
    </row>
    <row r="23">
      <c r="A23" s="114" t="s">
        <v>127</v>
      </c>
      <c r="B23" s="114" t="s">
        <v>139</v>
      </c>
      <c r="C23" s="114" t="s">
        <v>144</v>
      </c>
    </row>
    <row r="24">
      <c r="A24" s="114" t="s">
        <v>127</v>
      </c>
      <c r="B24" s="114" t="s">
        <v>145</v>
      </c>
      <c r="C24" s="114" t="s">
        <v>152</v>
      </c>
    </row>
    <row r="25">
      <c r="A25" s="114" t="s">
        <v>127</v>
      </c>
      <c r="B25" s="114" t="s">
        <v>155</v>
      </c>
      <c r="C25" s="114" t="s">
        <v>170</v>
      </c>
    </row>
    <row r="26">
      <c r="A26" s="114" t="s">
        <v>127</v>
      </c>
      <c r="B26" s="114" t="s">
        <v>175</v>
      </c>
      <c r="C26" s="114" t="s">
        <v>188</v>
      </c>
    </row>
    <row r="27">
      <c r="A27" s="114" t="s">
        <v>127</v>
      </c>
      <c r="B27" s="114" t="s">
        <v>318</v>
      </c>
      <c r="C27" s="114" t="s">
        <v>319</v>
      </c>
    </row>
    <row r="28">
      <c r="A28" s="114" t="s">
        <v>127</v>
      </c>
      <c r="B28" s="114" t="s">
        <v>120</v>
      </c>
      <c r="C28" s="114" t="s">
        <v>320</v>
      </c>
    </row>
    <row r="29">
      <c r="A29" s="114"/>
      <c r="B29" s="114"/>
      <c r="C29" s="114"/>
    </row>
    <row r="30">
      <c r="A30" s="114"/>
      <c r="B30" s="114"/>
      <c r="C30" s="114"/>
    </row>
    <row r="31">
      <c r="A31" s="114"/>
      <c r="B31" s="114"/>
      <c r="C31" s="114"/>
    </row>
    <row r="32">
      <c r="A32" s="117"/>
      <c r="B32" s="117"/>
      <c r="C32" s="117"/>
    </row>
    <row r="33">
      <c r="A33" s="117"/>
      <c r="B33" s="117"/>
      <c r="C33" s="117"/>
    </row>
    <row r="34">
      <c r="A34" s="117"/>
      <c r="B34" s="117"/>
      <c r="C34" s="117"/>
    </row>
    <row r="35">
      <c r="A35" s="117"/>
      <c r="B35" s="117"/>
      <c r="C35" s="117"/>
    </row>
    <row r="36">
      <c r="A36" s="117"/>
      <c r="B36" s="117"/>
      <c r="C36" s="117"/>
    </row>
    <row r="37">
      <c r="A37" s="117"/>
      <c r="B37" s="117"/>
      <c r="C37" s="117"/>
    </row>
    <row r="38">
      <c r="A38" s="117"/>
      <c r="B38" s="117"/>
      <c r="C38" s="117"/>
    </row>
    <row r="39">
      <c r="A39" s="117"/>
      <c r="B39" s="117"/>
      <c r="C39" s="117"/>
    </row>
    <row r="40">
      <c r="A40" s="117"/>
      <c r="B40" s="117"/>
      <c r="C40" s="117"/>
    </row>
    <row r="41">
      <c r="A41" s="117"/>
      <c r="B41" s="117"/>
      <c r="C41" s="117"/>
    </row>
    <row r="42">
      <c r="A42" s="117"/>
      <c r="B42" s="117"/>
      <c r="C42" s="117"/>
    </row>
    <row r="43">
      <c r="A43" s="117"/>
      <c r="B43" s="117"/>
      <c r="C43" s="117"/>
    </row>
    <row r="44">
      <c r="A44" s="117"/>
      <c r="B44" s="117"/>
      <c r="C44" s="117"/>
    </row>
    <row r="45">
      <c r="A45" s="117"/>
      <c r="B45" s="117"/>
      <c r="C45" s="117"/>
    </row>
    <row r="46">
      <c r="A46" s="117"/>
      <c r="B46" s="117"/>
      <c r="C46" s="117"/>
    </row>
    <row r="47">
      <c r="A47" s="117"/>
      <c r="B47" s="117"/>
      <c r="C47" s="117"/>
    </row>
    <row r="48">
      <c r="A48" s="117"/>
      <c r="B48" s="117"/>
      <c r="C48" s="117"/>
    </row>
    <row r="49">
      <c r="A49" s="117"/>
      <c r="B49" s="117"/>
      <c r="C49" s="117"/>
    </row>
    <row r="50">
      <c r="A50" s="117"/>
      <c r="B50" s="117"/>
      <c r="C50" s="117"/>
    </row>
    <row r="51">
      <c r="A51" s="117"/>
      <c r="B51" s="117"/>
      <c r="C51" s="117"/>
    </row>
    <row r="52">
      <c r="A52" s="117"/>
      <c r="B52" s="117"/>
      <c r="C52" s="117"/>
    </row>
    <row r="53">
      <c r="A53" s="117"/>
      <c r="B53" s="117"/>
      <c r="C53" s="117"/>
    </row>
    <row r="54">
      <c r="A54" s="117"/>
      <c r="B54" s="117"/>
      <c r="C54" s="117"/>
    </row>
    <row r="55">
      <c r="A55" s="117"/>
      <c r="B55" s="117"/>
      <c r="C55" s="117"/>
    </row>
    <row r="56">
      <c r="A56" s="117"/>
      <c r="B56" s="117"/>
      <c r="C56" s="117"/>
    </row>
    <row r="57">
      <c r="A57" s="117"/>
      <c r="B57" s="117"/>
      <c r="C57" s="117"/>
    </row>
    <row r="58">
      <c r="A58" s="117"/>
      <c r="B58" s="117"/>
      <c r="C58" s="117"/>
    </row>
    <row r="59">
      <c r="A59" s="117"/>
      <c r="B59" s="117"/>
      <c r="C59" s="117"/>
    </row>
    <row r="60">
      <c r="A60" s="117"/>
      <c r="B60" s="117"/>
      <c r="C60" s="117"/>
    </row>
    <row r="61">
      <c r="A61" s="117"/>
      <c r="B61" s="117"/>
      <c r="C61" s="117"/>
    </row>
    <row r="62">
      <c r="A62" s="117"/>
      <c r="B62" s="117"/>
      <c r="C62" s="117"/>
    </row>
    <row r="63">
      <c r="A63" s="117"/>
      <c r="B63" s="117"/>
      <c r="C63" s="117"/>
    </row>
    <row r="64">
      <c r="A64" s="117"/>
      <c r="B64" s="117"/>
      <c r="C64" s="117"/>
    </row>
    <row r="65">
      <c r="A65" s="117"/>
      <c r="B65" s="117"/>
      <c r="C65" s="117"/>
    </row>
    <row r="66">
      <c r="A66" s="117"/>
      <c r="B66" s="117"/>
      <c r="C66" s="117"/>
    </row>
    <row r="67">
      <c r="A67" s="117"/>
      <c r="B67" s="117"/>
      <c r="C67" s="117"/>
    </row>
    <row r="68">
      <c r="A68" s="117"/>
      <c r="B68" s="117"/>
      <c r="C68" s="117"/>
    </row>
    <row r="69">
      <c r="A69" s="117"/>
      <c r="B69" s="117"/>
      <c r="C69" s="117"/>
    </row>
    <row r="70">
      <c r="A70" s="117"/>
      <c r="B70" s="117"/>
      <c r="C70" s="117"/>
    </row>
    <row r="71">
      <c r="A71" s="117"/>
      <c r="B71" s="117"/>
      <c r="C71" s="117"/>
    </row>
    <row r="72">
      <c r="A72" s="117"/>
      <c r="B72" s="117"/>
      <c r="C72" s="117"/>
    </row>
    <row r="73">
      <c r="A73" s="117"/>
      <c r="B73" s="117"/>
      <c r="C73" s="117"/>
    </row>
    <row r="74">
      <c r="A74" s="117"/>
      <c r="B74" s="117"/>
      <c r="C74" s="117"/>
    </row>
    <row r="75">
      <c r="A75" s="117"/>
      <c r="B75" s="117"/>
      <c r="C75" s="117"/>
    </row>
    <row r="76">
      <c r="A76" s="117"/>
      <c r="B76" s="117"/>
      <c r="C76" s="117"/>
    </row>
    <row r="77">
      <c r="A77" s="117"/>
      <c r="B77" s="117"/>
      <c r="C77" s="117"/>
    </row>
    <row r="78">
      <c r="A78" s="117"/>
      <c r="B78" s="117"/>
      <c r="C78" s="117"/>
    </row>
    <row r="79">
      <c r="A79" s="117"/>
      <c r="B79" s="117"/>
      <c r="C79" s="117"/>
    </row>
    <row r="80">
      <c r="A80" s="117"/>
      <c r="B80" s="117"/>
      <c r="C80" s="117"/>
    </row>
    <row r="81">
      <c r="A81" s="117"/>
      <c r="B81" s="117"/>
      <c r="C81" s="117"/>
    </row>
    <row r="82">
      <c r="A82" s="117"/>
      <c r="B82" s="117"/>
      <c r="C82" s="117"/>
    </row>
    <row r="83">
      <c r="A83" s="117"/>
      <c r="B83" s="117"/>
      <c r="C83" s="117"/>
    </row>
    <row r="84">
      <c r="A84" s="117"/>
      <c r="B84" s="117"/>
      <c r="C84" s="117"/>
    </row>
    <row r="85">
      <c r="A85" s="117"/>
      <c r="B85" s="117"/>
      <c r="C85" s="117"/>
    </row>
    <row r="86">
      <c r="A86" s="117"/>
      <c r="B86" s="117"/>
      <c r="C86" s="117"/>
    </row>
    <row r="87">
      <c r="A87" s="117"/>
      <c r="B87" s="117"/>
      <c r="C87" s="117"/>
    </row>
    <row r="88">
      <c r="A88" s="117"/>
      <c r="B88" s="117"/>
      <c r="C88" s="117"/>
    </row>
    <row r="89">
      <c r="A89" s="117"/>
      <c r="B89" s="117"/>
      <c r="C89" s="117"/>
    </row>
    <row r="90">
      <c r="A90" s="117"/>
      <c r="B90" s="117"/>
      <c r="C90" s="117"/>
    </row>
    <row r="91">
      <c r="A91" s="117"/>
      <c r="B91" s="117"/>
      <c r="C91" s="117"/>
    </row>
    <row r="92">
      <c r="A92" s="117"/>
      <c r="B92" s="117"/>
      <c r="C92" s="117"/>
    </row>
    <row r="93">
      <c r="A93" s="117"/>
      <c r="B93" s="117"/>
      <c r="C93" s="117"/>
    </row>
    <row r="94">
      <c r="A94" s="117"/>
      <c r="B94" s="117"/>
      <c r="C94" s="117"/>
    </row>
    <row r="95">
      <c r="A95" s="117"/>
      <c r="B95" s="117"/>
      <c r="C95" s="117"/>
    </row>
    <row r="96">
      <c r="A96" s="117"/>
      <c r="B96" s="117"/>
      <c r="C96" s="117"/>
    </row>
    <row r="97">
      <c r="A97" s="117"/>
      <c r="B97" s="117"/>
      <c r="C97" s="117"/>
    </row>
    <row r="98">
      <c r="A98" s="117"/>
      <c r="B98" s="117"/>
      <c r="C98" s="117"/>
    </row>
    <row r="99">
      <c r="A99" s="117"/>
      <c r="B99" s="117"/>
      <c r="C99" s="117"/>
    </row>
    <row r="100">
      <c r="A100" s="117"/>
      <c r="B100" s="117"/>
      <c r="C100" s="117"/>
    </row>
    <row r="101">
      <c r="A101" s="117"/>
      <c r="B101" s="117"/>
      <c r="C101" s="117"/>
    </row>
    <row r="102">
      <c r="A102" s="117"/>
      <c r="B102" s="117"/>
      <c r="C102" s="117"/>
    </row>
    <row r="103">
      <c r="A103" s="117"/>
      <c r="B103" s="117"/>
      <c r="C103" s="117"/>
    </row>
    <row r="104">
      <c r="A104" s="117"/>
      <c r="B104" s="117"/>
      <c r="C104" s="117"/>
    </row>
    <row r="105">
      <c r="A105" s="117"/>
      <c r="B105" s="117"/>
      <c r="C105" s="117"/>
    </row>
    <row r="106">
      <c r="A106" s="117"/>
      <c r="B106" s="117"/>
      <c r="C106" s="117"/>
    </row>
    <row r="107">
      <c r="A107" s="117"/>
      <c r="B107" s="117"/>
      <c r="C107" s="117"/>
    </row>
    <row r="108">
      <c r="A108" s="117"/>
      <c r="B108" s="117"/>
      <c r="C108" s="117"/>
    </row>
    <row r="109">
      <c r="A109" s="117"/>
      <c r="B109" s="117"/>
      <c r="C109" s="117"/>
    </row>
    <row r="110">
      <c r="A110" s="117"/>
      <c r="B110" s="117"/>
      <c r="C110" s="117"/>
    </row>
    <row r="111">
      <c r="A111" s="117"/>
      <c r="B111" s="117"/>
      <c r="C111" s="117"/>
    </row>
    <row r="112">
      <c r="A112" s="117"/>
      <c r="B112" s="117"/>
      <c r="C112" s="117"/>
    </row>
    <row r="113">
      <c r="A113" s="117"/>
      <c r="B113" s="117"/>
      <c r="C113" s="117"/>
    </row>
    <row r="114">
      <c r="A114" s="117"/>
      <c r="B114" s="117"/>
      <c r="C114" s="117"/>
    </row>
    <row r="115">
      <c r="A115" s="117"/>
      <c r="B115" s="117"/>
      <c r="C115" s="117"/>
    </row>
    <row r="116">
      <c r="A116" s="117"/>
      <c r="B116" s="117"/>
      <c r="C116" s="117"/>
    </row>
    <row r="117">
      <c r="A117" s="117"/>
      <c r="B117" s="117"/>
      <c r="C117" s="117"/>
    </row>
    <row r="118">
      <c r="A118" s="117"/>
      <c r="B118" s="117"/>
      <c r="C118" s="117"/>
    </row>
    <row r="119">
      <c r="A119" s="117"/>
      <c r="B119" s="117"/>
      <c r="C119" s="117"/>
    </row>
    <row r="120">
      <c r="A120" s="117"/>
      <c r="B120" s="117"/>
      <c r="C120" s="117"/>
    </row>
    <row r="121">
      <c r="A121" s="117"/>
      <c r="B121" s="117"/>
      <c r="C121" s="117"/>
    </row>
    <row r="122">
      <c r="A122" s="117"/>
      <c r="B122" s="117"/>
      <c r="C122" s="117"/>
    </row>
    <row r="123">
      <c r="A123" s="117"/>
      <c r="B123" s="117"/>
      <c r="C123" s="117"/>
    </row>
    <row r="124">
      <c r="A124" s="117"/>
      <c r="B124" s="117"/>
      <c r="C124" s="117"/>
    </row>
    <row r="125">
      <c r="A125" s="117"/>
      <c r="B125" s="117"/>
      <c r="C125" s="117"/>
    </row>
    <row r="126">
      <c r="A126" s="117"/>
      <c r="B126" s="117"/>
      <c r="C126" s="117"/>
    </row>
    <row r="127">
      <c r="A127" s="117"/>
      <c r="B127" s="117"/>
      <c r="C127" s="117"/>
    </row>
    <row r="128">
      <c r="A128" s="117"/>
      <c r="B128" s="117"/>
      <c r="C128" s="117"/>
    </row>
    <row r="129">
      <c r="A129" s="117"/>
      <c r="B129" s="117"/>
      <c r="C129" s="117"/>
    </row>
    <row r="130">
      <c r="A130" s="117"/>
      <c r="B130" s="117"/>
      <c r="C130" s="117"/>
    </row>
    <row r="131">
      <c r="A131" s="117"/>
      <c r="B131" s="117"/>
      <c r="C131" s="117"/>
    </row>
    <row r="132">
      <c r="A132" s="117"/>
      <c r="B132" s="117"/>
      <c r="C132" s="117"/>
    </row>
    <row r="133">
      <c r="A133" s="117"/>
      <c r="B133" s="117"/>
      <c r="C133" s="117"/>
    </row>
    <row r="134">
      <c r="A134" s="117"/>
      <c r="B134" s="117"/>
      <c r="C134" s="117"/>
    </row>
    <row r="135">
      <c r="A135" s="117"/>
      <c r="B135" s="117"/>
      <c r="C135" s="117"/>
    </row>
    <row r="136">
      <c r="A136" s="117"/>
      <c r="B136" s="117"/>
      <c r="C136" s="117"/>
    </row>
    <row r="137">
      <c r="A137" s="117"/>
      <c r="B137" s="117"/>
      <c r="C137" s="117"/>
    </row>
    <row r="138">
      <c r="A138" s="117"/>
      <c r="B138" s="117"/>
      <c r="C138" s="117"/>
    </row>
    <row r="139">
      <c r="A139" s="117"/>
      <c r="B139" s="117"/>
      <c r="C139" s="117"/>
    </row>
    <row r="140">
      <c r="A140" s="117"/>
      <c r="B140" s="117"/>
      <c r="C140" s="117"/>
    </row>
    <row r="141">
      <c r="A141" s="117"/>
      <c r="B141" s="117"/>
      <c r="C141" s="117"/>
    </row>
    <row r="142">
      <c r="A142" s="117"/>
      <c r="B142" s="117"/>
      <c r="C142" s="117"/>
    </row>
    <row r="143">
      <c r="A143" s="117"/>
      <c r="B143" s="117"/>
      <c r="C143" s="117"/>
    </row>
    <row r="144">
      <c r="A144" s="117"/>
      <c r="B144" s="117"/>
      <c r="C144" s="117"/>
    </row>
    <row r="145">
      <c r="A145" s="117"/>
      <c r="B145" s="117"/>
      <c r="C145" s="117"/>
    </row>
    <row r="146">
      <c r="A146" s="117"/>
      <c r="B146" s="117"/>
      <c r="C146" s="117"/>
    </row>
    <row r="147">
      <c r="A147" s="117"/>
      <c r="B147" s="117"/>
      <c r="C147" s="117"/>
    </row>
    <row r="148">
      <c r="A148" s="117"/>
      <c r="B148" s="117"/>
      <c r="C148" s="117"/>
    </row>
    <row r="149">
      <c r="A149" s="117"/>
      <c r="B149" s="117"/>
      <c r="C149" s="117"/>
    </row>
    <row r="150">
      <c r="A150" s="117"/>
      <c r="B150" s="117"/>
      <c r="C150" s="117"/>
    </row>
    <row r="151">
      <c r="A151" s="117"/>
      <c r="B151" s="117"/>
      <c r="C151" s="117"/>
    </row>
    <row r="152">
      <c r="A152" s="117"/>
      <c r="B152" s="117"/>
      <c r="C152" s="117"/>
    </row>
    <row r="153">
      <c r="A153" s="117"/>
      <c r="B153" s="117"/>
      <c r="C153" s="117"/>
    </row>
    <row r="154">
      <c r="A154" s="117"/>
      <c r="B154" s="117"/>
      <c r="C154" s="117"/>
    </row>
    <row r="155">
      <c r="A155" s="117"/>
      <c r="B155" s="117"/>
      <c r="C155" s="117"/>
    </row>
    <row r="156">
      <c r="A156" s="117"/>
      <c r="B156" s="117"/>
      <c r="C156" s="117"/>
    </row>
    <row r="157">
      <c r="A157" s="117"/>
      <c r="B157" s="117"/>
      <c r="C157" s="117"/>
    </row>
    <row r="158">
      <c r="A158" s="117"/>
      <c r="B158" s="117"/>
      <c r="C158" s="117"/>
    </row>
    <row r="159">
      <c r="A159" s="117"/>
      <c r="B159" s="117"/>
      <c r="C159" s="117"/>
    </row>
    <row r="160">
      <c r="A160" s="117"/>
      <c r="B160" s="117"/>
      <c r="C160" s="117"/>
    </row>
    <row r="161">
      <c r="A161" s="117"/>
      <c r="B161" s="117"/>
      <c r="C161" s="117"/>
    </row>
    <row r="162">
      <c r="A162" s="117"/>
      <c r="B162" s="117"/>
      <c r="C162" s="117"/>
    </row>
    <row r="163">
      <c r="A163" s="117"/>
      <c r="B163" s="117"/>
      <c r="C163" s="117"/>
    </row>
    <row r="164">
      <c r="A164" s="117"/>
      <c r="B164" s="117"/>
      <c r="C164" s="117"/>
    </row>
    <row r="165">
      <c r="A165" s="117"/>
      <c r="B165" s="117"/>
      <c r="C165" s="117"/>
    </row>
    <row r="166">
      <c r="A166" s="117"/>
      <c r="B166" s="117"/>
      <c r="C166" s="117"/>
    </row>
    <row r="167">
      <c r="A167" s="117"/>
      <c r="B167" s="117"/>
      <c r="C167" s="117"/>
    </row>
    <row r="168">
      <c r="A168" s="117"/>
      <c r="B168" s="117"/>
      <c r="C168" s="117"/>
    </row>
    <row r="169">
      <c r="A169" s="117"/>
      <c r="B169" s="117"/>
      <c r="C169" s="117"/>
    </row>
    <row r="170">
      <c r="A170" s="117"/>
      <c r="B170" s="117"/>
      <c r="C170" s="117"/>
    </row>
    <row r="171">
      <c r="A171" s="117"/>
      <c r="B171" s="117"/>
      <c r="C171" s="117"/>
    </row>
    <row r="172">
      <c r="A172" s="117"/>
      <c r="B172" s="117"/>
      <c r="C172" s="117"/>
    </row>
    <row r="173">
      <c r="A173" s="117"/>
      <c r="B173" s="117"/>
      <c r="C173" s="117"/>
    </row>
    <row r="174">
      <c r="A174" s="117"/>
      <c r="B174" s="117"/>
      <c r="C174" s="117"/>
    </row>
    <row r="175">
      <c r="A175" s="117"/>
      <c r="B175" s="117"/>
      <c r="C175" s="117"/>
    </row>
    <row r="176">
      <c r="A176" s="117"/>
      <c r="B176" s="117"/>
      <c r="C176" s="117"/>
    </row>
    <row r="177">
      <c r="A177" s="117"/>
      <c r="B177" s="117"/>
      <c r="C177" s="117"/>
    </row>
    <row r="178">
      <c r="A178" s="117"/>
      <c r="B178" s="117"/>
      <c r="C178" s="117"/>
    </row>
    <row r="179">
      <c r="A179" s="117"/>
      <c r="B179" s="117"/>
      <c r="C179" s="117"/>
    </row>
    <row r="180">
      <c r="A180" s="117"/>
      <c r="B180" s="117"/>
      <c r="C180" s="117"/>
    </row>
    <row r="181">
      <c r="A181" s="117"/>
      <c r="B181" s="117"/>
      <c r="C181" s="117"/>
    </row>
    <row r="182">
      <c r="A182" s="117"/>
      <c r="B182" s="117"/>
      <c r="C182" s="117"/>
    </row>
    <row r="183">
      <c r="A183" s="117"/>
      <c r="B183" s="117"/>
      <c r="C183" s="117"/>
    </row>
    <row r="184">
      <c r="A184" s="117"/>
      <c r="B184" s="117"/>
      <c r="C184" s="117"/>
    </row>
    <row r="185">
      <c r="A185" s="117"/>
      <c r="B185" s="117"/>
      <c r="C185" s="117"/>
    </row>
    <row r="186">
      <c r="A186" s="117"/>
      <c r="B186" s="117"/>
      <c r="C186" s="117"/>
    </row>
    <row r="187">
      <c r="A187" s="117"/>
      <c r="B187" s="117"/>
      <c r="C187" s="117"/>
    </row>
    <row r="188">
      <c r="A188" s="117"/>
      <c r="B188" s="117"/>
      <c r="C188" s="117"/>
    </row>
    <row r="189">
      <c r="A189" s="117"/>
      <c r="B189" s="117"/>
      <c r="C189" s="117"/>
    </row>
    <row r="190">
      <c r="A190" s="117"/>
      <c r="B190" s="117"/>
      <c r="C190" s="117"/>
    </row>
    <row r="191">
      <c r="A191" s="117"/>
      <c r="B191" s="117"/>
      <c r="C191" s="117"/>
    </row>
    <row r="192">
      <c r="A192" s="117"/>
      <c r="B192" s="117"/>
      <c r="C192" s="117"/>
    </row>
    <row r="193">
      <c r="A193" s="117"/>
      <c r="B193" s="117"/>
      <c r="C193" s="117"/>
    </row>
    <row r="194">
      <c r="A194" s="117"/>
      <c r="B194" s="117"/>
      <c r="C194" s="117"/>
    </row>
    <row r="195">
      <c r="A195" s="117"/>
      <c r="B195" s="117"/>
      <c r="C195" s="117"/>
    </row>
    <row r="196">
      <c r="A196" s="117"/>
      <c r="B196" s="117"/>
      <c r="C196" s="117"/>
    </row>
    <row r="197">
      <c r="A197" s="117"/>
      <c r="B197" s="117"/>
      <c r="C197" s="117"/>
    </row>
    <row r="198">
      <c r="A198" s="117"/>
      <c r="B198" s="117"/>
      <c r="C198" s="117"/>
    </row>
    <row r="199">
      <c r="A199" s="117"/>
      <c r="B199" s="117"/>
      <c r="C199" s="117"/>
    </row>
    <row r="200">
      <c r="A200" s="117"/>
      <c r="B200" s="117"/>
      <c r="C200" s="117"/>
    </row>
    <row r="201">
      <c r="A201" s="117"/>
      <c r="B201" s="117"/>
      <c r="C201" s="117"/>
    </row>
    <row r="202">
      <c r="A202" s="117"/>
      <c r="B202" s="117"/>
      <c r="C202" s="117"/>
    </row>
    <row r="203">
      <c r="A203" s="117"/>
      <c r="B203" s="117"/>
      <c r="C203" s="117"/>
    </row>
    <row r="204">
      <c r="A204" s="117"/>
      <c r="B204" s="117"/>
      <c r="C204" s="117"/>
    </row>
    <row r="205">
      <c r="A205" s="117"/>
      <c r="B205" s="117"/>
      <c r="C205" s="117"/>
    </row>
    <row r="206">
      <c r="A206" s="117"/>
      <c r="B206" s="117"/>
      <c r="C206" s="117"/>
    </row>
    <row r="207">
      <c r="A207" s="117"/>
      <c r="B207" s="117"/>
      <c r="C207" s="117"/>
    </row>
    <row r="208">
      <c r="A208" s="117"/>
      <c r="B208" s="117"/>
      <c r="C208" s="117"/>
    </row>
    <row r="209">
      <c r="A209" s="117"/>
      <c r="B209" s="117"/>
      <c r="C209" s="117"/>
    </row>
    <row r="210">
      <c r="A210" s="117"/>
      <c r="B210" s="117"/>
      <c r="C210" s="117"/>
    </row>
    <row r="211">
      <c r="A211" s="117"/>
      <c r="B211" s="117"/>
      <c r="C211" s="117"/>
    </row>
    <row r="212">
      <c r="A212" s="117"/>
      <c r="B212" s="117"/>
      <c r="C212" s="117"/>
    </row>
    <row r="213">
      <c r="A213" s="117"/>
      <c r="B213" s="117"/>
      <c r="C213" s="117"/>
    </row>
    <row r="214">
      <c r="A214" s="117"/>
      <c r="B214" s="117"/>
      <c r="C214" s="117"/>
    </row>
    <row r="215">
      <c r="A215" s="117"/>
      <c r="B215" s="117"/>
      <c r="C215" s="117"/>
    </row>
    <row r="216">
      <c r="A216" s="117"/>
      <c r="B216" s="117"/>
      <c r="C216" s="117"/>
    </row>
    <row r="217">
      <c r="A217" s="117"/>
      <c r="B217" s="117"/>
      <c r="C217" s="117"/>
    </row>
    <row r="218">
      <c r="A218" s="117"/>
      <c r="B218" s="117"/>
      <c r="C218" s="117"/>
    </row>
    <row r="219">
      <c r="A219" s="117"/>
      <c r="B219" s="117"/>
      <c r="C219" s="117"/>
    </row>
    <row r="220">
      <c r="A220" s="117"/>
      <c r="B220" s="117"/>
      <c r="C220" s="117"/>
    </row>
    <row r="221">
      <c r="A221" s="117"/>
      <c r="B221" s="117"/>
      <c r="C221" s="117"/>
    </row>
    <row r="222">
      <c r="A222" s="117"/>
      <c r="B222" s="117"/>
      <c r="C222" s="117"/>
    </row>
    <row r="223">
      <c r="A223" s="117"/>
      <c r="B223" s="117"/>
      <c r="C223" s="117"/>
    </row>
    <row r="224">
      <c r="A224" s="117"/>
      <c r="B224" s="117"/>
      <c r="C224" s="117"/>
    </row>
    <row r="225">
      <c r="A225" s="117"/>
      <c r="B225" s="117"/>
      <c r="C225" s="117"/>
    </row>
    <row r="226">
      <c r="A226" s="117"/>
      <c r="B226" s="117"/>
      <c r="C226" s="117"/>
    </row>
    <row r="227">
      <c r="A227" s="117"/>
      <c r="B227" s="117"/>
      <c r="C227" s="117"/>
    </row>
    <row r="228">
      <c r="A228" s="117"/>
      <c r="B228" s="117"/>
      <c r="C228" s="117"/>
    </row>
    <row r="229">
      <c r="A229" s="117"/>
      <c r="B229" s="117"/>
      <c r="C229" s="117"/>
    </row>
    <row r="230">
      <c r="A230" s="117"/>
      <c r="B230" s="117"/>
      <c r="C230" s="117"/>
    </row>
    <row r="231">
      <c r="A231" s="117"/>
      <c r="B231" s="117"/>
      <c r="C231" s="117"/>
    </row>
    <row r="232">
      <c r="A232" s="117"/>
      <c r="B232" s="117"/>
      <c r="C232" s="117"/>
    </row>
    <row r="233">
      <c r="A233" s="117"/>
      <c r="B233" s="117"/>
      <c r="C233" s="117"/>
    </row>
    <row r="234">
      <c r="A234" s="117"/>
      <c r="B234" s="117"/>
      <c r="C234" s="117"/>
    </row>
    <row r="235">
      <c r="A235" s="117"/>
      <c r="B235" s="117"/>
      <c r="C235" s="117"/>
    </row>
    <row r="236">
      <c r="A236" s="117"/>
      <c r="B236" s="117"/>
      <c r="C236" s="117"/>
    </row>
    <row r="237">
      <c r="A237" s="117"/>
      <c r="B237" s="117"/>
      <c r="C237" s="117"/>
    </row>
    <row r="238">
      <c r="A238" s="117"/>
      <c r="B238" s="117"/>
      <c r="C238" s="117"/>
    </row>
    <row r="239">
      <c r="A239" s="117"/>
      <c r="B239" s="117"/>
      <c r="C239" s="117"/>
    </row>
    <row r="240">
      <c r="A240" s="117"/>
      <c r="B240" s="117"/>
      <c r="C240" s="117"/>
    </row>
    <row r="241">
      <c r="A241" s="117"/>
      <c r="B241" s="117"/>
      <c r="C241" s="117"/>
    </row>
    <row r="242">
      <c r="A242" s="117"/>
      <c r="B242" s="117"/>
      <c r="C242" s="117"/>
    </row>
    <row r="243">
      <c r="A243" s="117"/>
      <c r="B243" s="117"/>
      <c r="C243" s="117"/>
    </row>
    <row r="244">
      <c r="A244" s="117"/>
      <c r="B244" s="117"/>
      <c r="C244" s="117"/>
    </row>
    <row r="245">
      <c r="A245" s="117"/>
      <c r="B245" s="117"/>
      <c r="C245" s="117"/>
    </row>
    <row r="246">
      <c r="A246" s="117"/>
      <c r="B246" s="117"/>
      <c r="C246" s="117"/>
    </row>
    <row r="247">
      <c r="A247" s="117"/>
      <c r="B247" s="117"/>
      <c r="C247" s="117"/>
    </row>
    <row r="248">
      <c r="A248" s="117"/>
      <c r="B248" s="117"/>
      <c r="C248" s="117"/>
    </row>
    <row r="249">
      <c r="A249" s="117"/>
      <c r="B249" s="117"/>
      <c r="C249" s="117"/>
    </row>
    <row r="250">
      <c r="A250" s="117"/>
      <c r="B250" s="117"/>
      <c r="C250" s="117"/>
    </row>
    <row r="251">
      <c r="A251" s="117"/>
      <c r="B251" s="117"/>
      <c r="C251" s="117"/>
    </row>
    <row r="252">
      <c r="A252" s="117"/>
      <c r="B252" s="117"/>
      <c r="C252" s="117"/>
    </row>
    <row r="253">
      <c r="A253" s="117"/>
      <c r="B253" s="117"/>
      <c r="C253" s="117"/>
    </row>
    <row r="254">
      <c r="A254" s="117"/>
      <c r="B254" s="117"/>
      <c r="C254" s="117"/>
    </row>
    <row r="255">
      <c r="A255" s="117"/>
      <c r="B255" s="117"/>
      <c r="C255" s="117"/>
    </row>
    <row r="256">
      <c r="A256" s="117"/>
      <c r="B256" s="117"/>
      <c r="C256" s="117"/>
    </row>
    <row r="257">
      <c r="A257" s="117"/>
      <c r="B257" s="117"/>
      <c r="C257" s="117"/>
    </row>
    <row r="258">
      <c r="A258" s="117"/>
      <c r="B258" s="117"/>
      <c r="C258" s="117"/>
    </row>
    <row r="259">
      <c r="A259" s="117"/>
      <c r="B259" s="117"/>
      <c r="C259" s="117"/>
    </row>
    <row r="260">
      <c r="A260" s="117"/>
      <c r="B260" s="117"/>
      <c r="C260" s="117"/>
    </row>
    <row r="261">
      <c r="A261" s="117"/>
      <c r="B261" s="117"/>
      <c r="C261" s="117"/>
    </row>
    <row r="262">
      <c r="A262" s="117"/>
      <c r="B262" s="117"/>
      <c r="C262" s="117"/>
    </row>
    <row r="263">
      <c r="A263" s="117"/>
      <c r="B263" s="117"/>
      <c r="C263" s="117"/>
    </row>
    <row r="264">
      <c r="A264" s="117"/>
      <c r="B264" s="117"/>
      <c r="C264" s="117"/>
    </row>
    <row r="265">
      <c r="A265" s="117"/>
      <c r="B265" s="117"/>
      <c r="C265" s="117"/>
    </row>
    <row r="266">
      <c r="A266" s="117"/>
      <c r="B266" s="117"/>
      <c r="C266" s="117"/>
    </row>
    <row r="267">
      <c r="A267" s="117"/>
      <c r="B267" s="117"/>
      <c r="C267" s="117"/>
    </row>
    <row r="268">
      <c r="A268" s="117"/>
      <c r="B268" s="117"/>
      <c r="C268" s="117"/>
    </row>
    <row r="269">
      <c r="A269" s="117"/>
      <c r="B269" s="117"/>
      <c r="C269" s="117"/>
    </row>
    <row r="270">
      <c r="A270" s="117"/>
      <c r="B270" s="117"/>
      <c r="C270" s="117"/>
    </row>
    <row r="271">
      <c r="A271" s="117"/>
      <c r="B271" s="117"/>
      <c r="C271" s="117"/>
    </row>
    <row r="272">
      <c r="A272" s="117"/>
      <c r="B272" s="117"/>
      <c r="C272" s="117"/>
    </row>
    <row r="273">
      <c r="A273" s="117"/>
      <c r="B273" s="117"/>
      <c r="C273" s="117"/>
    </row>
    <row r="274">
      <c r="A274" s="117"/>
      <c r="B274" s="117"/>
      <c r="C274" s="117"/>
    </row>
    <row r="275">
      <c r="A275" s="117"/>
      <c r="B275" s="117"/>
      <c r="C275" s="117"/>
    </row>
    <row r="276">
      <c r="A276" s="117"/>
      <c r="B276" s="117"/>
      <c r="C276" s="117"/>
    </row>
    <row r="277">
      <c r="A277" s="117"/>
      <c r="B277" s="117"/>
      <c r="C277" s="117"/>
    </row>
    <row r="278">
      <c r="A278" s="117"/>
      <c r="B278" s="117"/>
      <c r="C278" s="117"/>
    </row>
    <row r="279">
      <c r="A279" s="117"/>
      <c r="B279" s="117"/>
      <c r="C279" s="117"/>
    </row>
    <row r="280">
      <c r="A280" s="117"/>
      <c r="B280" s="117"/>
      <c r="C280" s="117"/>
    </row>
    <row r="281">
      <c r="A281" s="117"/>
      <c r="B281" s="117"/>
      <c r="C281" s="117"/>
    </row>
    <row r="282">
      <c r="A282" s="117"/>
      <c r="B282" s="117"/>
      <c r="C282" s="117"/>
    </row>
    <row r="283">
      <c r="A283" s="117"/>
      <c r="B283" s="117"/>
      <c r="C283" s="117"/>
    </row>
    <row r="284">
      <c r="A284" s="117"/>
      <c r="B284" s="117"/>
      <c r="C284" s="117"/>
    </row>
    <row r="285">
      <c r="A285" s="117"/>
      <c r="B285" s="117"/>
      <c r="C285" s="117"/>
    </row>
    <row r="286">
      <c r="A286" s="117"/>
      <c r="B286" s="117"/>
      <c r="C286" s="117"/>
    </row>
    <row r="287">
      <c r="A287" s="117"/>
      <c r="B287" s="117"/>
      <c r="C287" s="117"/>
    </row>
    <row r="288">
      <c r="A288" s="117"/>
      <c r="B288" s="117"/>
      <c r="C288" s="117"/>
    </row>
    <row r="289">
      <c r="A289" s="117"/>
      <c r="B289" s="117"/>
      <c r="C289" s="117"/>
    </row>
    <row r="290">
      <c r="A290" s="117"/>
      <c r="B290" s="117"/>
      <c r="C290" s="117"/>
    </row>
    <row r="291">
      <c r="A291" s="117"/>
      <c r="B291" s="117"/>
      <c r="C291" s="117"/>
    </row>
    <row r="292">
      <c r="A292" s="117"/>
      <c r="B292" s="117"/>
      <c r="C292" s="117"/>
    </row>
    <row r="293">
      <c r="A293" s="117"/>
      <c r="B293" s="117"/>
      <c r="C293" s="117"/>
    </row>
    <row r="294">
      <c r="A294" s="117"/>
      <c r="B294" s="117"/>
      <c r="C294" s="117"/>
    </row>
    <row r="295">
      <c r="A295" s="117"/>
      <c r="B295" s="117"/>
      <c r="C295" s="117"/>
    </row>
    <row r="296">
      <c r="A296" s="117"/>
      <c r="B296" s="117"/>
      <c r="C296" s="117"/>
    </row>
    <row r="297">
      <c r="A297" s="117"/>
      <c r="B297" s="117"/>
      <c r="C297" s="117"/>
    </row>
    <row r="298">
      <c r="A298" s="117"/>
      <c r="B298" s="117"/>
      <c r="C298" s="117"/>
    </row>
    <row r="299">
      <c r="A299" s="117"/>
      <c r="B299" s="117"/>
      <c r="C299" s="117"/>
    </row>
    <row r="300">
      <c r="A300" s="117"/>
      <c r="B300" s="117"/>
      <c r="C300" s="117"/>
    </row>
    <row r="301">
      <c r="A301" s="117"/>
      <c r="B301" s="117"/>
      <c r="C301" s="117"/>
    </row>
    <row r="302">
      <c r="A302" s="117"/>
      <c r="B302" s="117"/>
      <c r="C302" s="117"/>
    </row>
    <row r="303">
      <c r="A303" s="117"/>
      <c r="B303" s="117"/>
      <c r="C303" s="117"/>
    </row>
    <row r="304">
      <c r="A304" s="117"/>
      <c r="B304" s="117"/>
      <c r="C304" s="117"/>
    </row>
    <row r="305">
      <c r="A305" s="117"/>
      <c r="B305" s="117"/>
      <c r="C305" s="117"/>
    </row>
    <row r="306">
      <c r="A306" s="117"/>
      <c r="B306" s="117"/>
      <c r="C306" s="117"/>
    </row>
    <row r="307">
      <c r="A307" s="117"/>
      <c r="B307" s="117"/>
      <c r="C307" s="117"/>
    </row>
    <row r="308">
      <c r="A308" s="117"/>
      <c r="B308" s="117"/>
      <c r="C308" s="117"/>
    </row>
    <row r="309">
      <c r="A309" s="117"/>
      <c r="B309" s="117"/>
      <c r="C309" s="117"/>
    </row>
    <row r="310">
      <c r="A310" s="117"/>
      <c r="B310" s="117"/>
      <c r="C310" s="117"/>
    </row>
    <row r="311">
      <c r="A311" s="117"/>
      <c r="B311" s="117"/>
      <c r="C311" s="117"/>
    </row>
    <row r="312">
      <c r="A312" s="117"/>
      <c r="B312" s="117"/>
      <c r="C312" s="117"/>
    </row>
    <row r="313">
      <c r="A313" s="117"/>
      <c r="B313" s="117"/>
      <c r="C313" s="117"/>
    </row>
    <row r="314">
      <c r="A314" s="117"/>
      <c r="B314" s="117"/>
      <c r="C314" s="117"/>
    </row>
    <row r="315">
      <c r="A315" s="117"/>
      <c r="B315" s="117"/>
      <c r="C315" s="117"/>
    </row>
    <row r="316">
      <c r="A316" s="117"/>
      <c r="B316" s="117"/>
      <c r="C316" s="117"/>
    </row>
    <row r="317">
      <c r="A317" s="117"/>
      <c r="B317" s="117"/>
      <c r="C317" s="117"/>
    </row>
    <row r="318">
      <c r="A318" s="117"/>
      <c r="B318" s="117"/>
      <c r="C318" s="117"/>
    </row>
    <row r="319">
      <c r="A319" s="117"/>
      <c r="B319" s="117"/>
      <c r="C319" s="117"/>
    </row>
    <row r="320">
      <c r="A320" s="117"/>
      <c r="B320" s="117"/>
      <c r="C320" s="117"/>
    </row>
    <row r="321">
      <c r="A321" s="117"/>
      <c r="B321" s="117"/>
      <c r="C321" s="117"/>
    </row>
    <row r="322">
      <c r="A322" s="117"/>
      <c r="B322" s="117"/>
      <c r="C322" s="117"/>
    </row>
    <row r="323">
      <c r="A323" s="117"/>
      <c r="B323" s="117"/>
      <c r="C323" s="117"/>
    </row>
    <row r="324">
      <c r="A324" s="117"/>
      <c r="B324" s="117"/>
      <c r="C324" s="117"/>
    </row>
    <row r="325">
      <c r="A325" s="117"/>
      <c r="B325" s="117"/>
      <c r="C325" s="117"/>
    </row>
    <row r="326">
      <c r="A326" s="117"/>
      <c r="B326" s="117"/>
      <c r="C326" s="117"/>
    </row>
    <row r="327">
      <c r="A327" s="117"/>
      <c r="B327" s="117"/>
      <c r="C327" s="117"/>
    </row>
    <row r="328">
      <c r="A328" s="117"/>
      <c r="B328" s="117"/>
      <c r="C328" s="117"/>
    </row>
    <row r="329">
      <c r="A329" s="117"/>
      <c r="B329" s="117"/>
      <c r="C329" s="117"/>
    </row>
    <row r="330">
      <c r="A330" s="117"/>
      <c r="B330" s="117"/>
      <c r="C330" s="117"/>
    </row>
    <row r="331">
      <c r="A331" s="117"/>
      <c r="B331" s="117"/>
      <c r="C331" s="117"/>
    </row>
    <row r="332">
      <c r="A332" s="117"/>
      <c r="B332" s="117"/>
      <c r="C332" s="117"/>
    </row>
    <row r="333">
      <c r="A333" s="117"/>
      <c r="B333" s="117"/>
      <c r="C333" s="117"/>
    </row>
    <row r="334">
      <c r="A334" s="117"/>
      <c r="B334" s="117"/>
      <c r="C334" s="117"/>
    </row>
    <row r="335">
      <c r="A335" s="117"/>
      <c r="B335" s="117"/>
      <c r="C335" s="117"/>
    </row>
    <row r="336">
      <c r="A336" s="117"/>
      <c r="B336" s="117"/>
      <c r="C336" s="117"/>
    </row>
    <row r="337">
      <c r="A337" s="117"/>
      <c r="B337" s="117"/>
      <c r="C337" s="117"/>
    </row>
    <row r="338">
      <c r="A338" s="117"/>
      <c r="B338" s="117"/>
      <c r="C338" s="117"/>
    </row>
    <row r="339">
      <c r="A339" s="117"/>
      <c r="B339" s="117"/>
      <c r="C339" s="117"/>
    </row>
    <row r="340">
      <c r="A340" s="117"/>
      <c r="B340" s="117"/>
      <c r="C340" s="117"/>
    </row>
    <row r="341">
      <c r="A341" s="117"/>
      <c r="B341" s="117"/>
      <c r="C341" s="117"/>
    </row>
    <row r="342">
      <c r="A342" s="117"/>
      <c r="B342" s="117"/>
      <c r="C342" s="117"/>
    </row>
    <row r="343">
      <c r="A343" s="117"/>
      <c r="B343" s="117"/>
      <c r="C343" s="117"/>
    </row>
    <row r="344">
      <c r="A344" s="117"/>
      <c r="B344" s="117"/>
      <c r="C344" s="117"/>
    </row>
    <row r="345">
      <c r="A345" s="117"/>
      <c r="B345" s="117"/>
      <c r="C345" s="117"/>
    </row>
    <row r="346">
      <c r="A346" s="117"/>
      <c r="B346" s="117"/>
      <c r="C346" s="117"/>
    </row>
    <row r="347">
      <c r="A347" s="117"/>
      <c r="B347" s="117"/>
      <c r="C347" s="117"/>
    </row>
    <row r="348">
      <c r="A348" s="117"/>
      <c r="B348" s="117"/>
      <c r="C348" s="117"/>
    </row>
    <row r="349">
      <c r="A349" s="117"/>
      <c r="B349" s="117"/>
      <c r="C349" s="117"/>
    </row>
    <row r="350">
      <c r="A350" s="117"/>
      <c r="B350" s="117"/>
      <c r="C350" s="117"/>
    </row>
    <row r="351">
      <c r="A351" s="117"/>
      <c r="B351" s="117"/>
      <c r="C351" s="117"/>
    </row>
    <row r="352">
      <c r="A352" s="117"/>
      <c r="B352" s="117"/>
      <c r="C352" s="117"/>
    </row>
    <row r="353">
      <c r="A353" s="117"/>
      <c r="B353" s="117"/>
      <c r="C353" s="117"/>
    </row>
    <row r="354">
      <c r="A354" s="117"/>
      <c r="B354" s="117"/>
      <c r="C354" s="117"/>
    </row>
    <row r="355">
      <c r="A355" s="117"/>
      <c r="B355" s="117"/>
      <c r="C355" s="117"/>
    </row>
    <row r="356">
      <c r="A356" s="117"/>
      <c r="B356" s="117"/>
      <c r="C356" s="117"/>
    </row>
    <row r="357">
      <c r="A357" s="117"/>
      <c r="B357" s="117"/>
      <c r="C357" s="117"/>
    </row>
    <row r="358">
      <c r="A358" s="117"/>
      <c r="B358" s="117"/>
      <c r="C358" s="117"/>
    </row>
    <row r="359">
      <c r="A359" s="117"/>
      <c r="B359" s="117"/>
      <c r="C359" s="117"/>
    </row>
    <row r="360">
      <c r="A360" s="117"/>
      <c r="B360" s="117"/>
      <c r="C360" s="117"/>
    </row>
    <row r="361">
      <c r="A361" s="117"/>
      <c r="B361" s="117"/>
      <c r="C361" s="117"/>
    </row>
    <row r="362">
      <c r="A362" s="117"/>
      <c r="B362" s="117"/>
      <c r="C362" s="117"/>
    </row>
    <row r="363">
      <c r="A363" s="117"/>
      <c r="B363" s="117"/>
      <c r="C363" s="117"/>
    </row>
    <row r="364">
      <c r="A364" s="117"/>
      <c r="B364" s="117"/>
      <c r="C364" s="117"/>
    </row>
    <row r="365">
      <c r="A365" s="117"/>
      <c r="B365" s="117"/>
      <c r="C365" s="117"/>
    </row>
    <row r="366">
      <c r="A366" s="117"/>
      <c r="B366" s="117"/>
      <c r="C366" s="117"/>
    </row>
    <row r="367">
      <c r="A367" s="117"/>
      <c r="B367" s="117"/>
      <c r="C367" s="117"/>
    </row>
    <row r="368">
      <c r="A368" s="117"/>
      <c r="B368" s="117"/>
      <c r="C368" s="117"/>
    </row>
    <row r="369">
      <c r="A369" s="117"/>
      <c r="B369" s="117"/>
      <c r="C369" s="117"/>
    </row>
    <row r="370">
      <c r="A370" s="117"/>
      <c r="B370" s="117"/>
      <c r="C370" s="117"/>
    </row>
    <row r="371">
      <c r="A371" s="117"/>
      <c r="B371" s="117"/>
      <c r="C371" s="117"/>
    </row>
    <row r="372">
      <c r="A372" s="117"/>
      <c r="B372" s="117"/>
      <c r="C372" s="117"/>
    </row>
    <row r="373">
      <c r="A373" s="117"/>
      <c r="B373" s="117"/>
      <c r="C373" s="117"/>
    </row>
    <row r="374">
      <c r="A374" s="117"/>
      <c r="B374" s="117"/>
      <c r="C374" s="117"/>
    </row>
    <row r="375">
      <c r="A375" s="117"/>
      <c r="B375" s="117"/>
      <c r="C375" s="117"/>
    </row>
    <row r="376">
      <c r="A376" s="117"/>
      <c r="B376" s="117"/>
      <c r="C376" s="117"/>
    </row>
    <row r="377">
      <c r="A377" s="117"/>
      <c r="B377" s="117"/>
      <c r="C377" s="117"/>
    </row>
    <row r="378">
      <c r="A378" s="117"/>
      <c r="B378" s="117"/>
      <c r="C378" s="117"/>
    </row>
    <row r="379">
      <c r="A379" s="117"/>
      <c r="B379" s="117"/>
      <c r="C379" s="117"/>
    </row>
    <row r="380">
      <c r="A380" s="117"/>
      <c r="B380" s="117"/>
      <c r="C380" s="117"/>
    </row>
    <row r="381">
      <c r="A381" s="117"/>
      <c r="B381" s="117"/>
      <c r="C381" s="117"/>
    </row>
    <row r="382">
      <c r="A382" s="117"/>
      <c r="B382" s="117"/>
      <c r="C382" s="117"/>
    </row>
    <row r="383">
      <c r="A383" s="117"/>
      <c r="B383" s="117"/>
      <c r="C383" s="117"/>
    </row>
    <row r="384">
      <c r="A384" s="117"/>
      <c r="B384" s="117"/>
      <c r="C384" s="117"/>
    </row>
    <row r="385">
      <c r="A385" s="117"/>
      <c r="B385" s="117"/>
      <c r="C385" s="117"/>
    </row>
    <row r="386">
      <c r="A386" s="117"/>
      <c r="B386" s="117"/>
      <c r="C386" s="117"/>
    </row>
    <row r="387">
      <c r="A387" s="117"/>
      <c r="B387" s="117"/>
      <c r="C387" s="117"/>
    </row>
    <row r="388">
      <c r="A388" s="117"/>
      <c r="B388" s="117"/>
      <c r="C388" s="117"/>
    </row>
    <row r="389">
      <c r="A389" s="117"/>
      <c r="B389" s="117"/>
      <c r="C389" s="117"/>
    </row>
    <row r="390">
      <c r="A390" s="117"/>
      <c r="B390" s="117"/>
      <c r="C390" s="117"/>
    </row>
    <row r="391">
      <c r="A391" s="117"/>
      <c r="B391" s="117"/>
      <c r="C391" s="117"/>
    </row>
    <row r="392">
      <c r="A392" s="117"/>
      <c r="B392" s="117"/>
      <c r="C392" s="117"/>
    </row>
    <row r="393">
      <c r="A393" s="117"/>
      <c r="B393" s="117"/>
      <c r="C393" s="117"/>
    </row>
    <row r="394">
      <c r="A394" s="117"/>
      <c r="B394" s="117"/>
      <c r="C394" s="117"/>
    </row>
    <row r="395">
      <c r="A395" s="117"/>
      <c r="B395" s="117"/>
      <c r="C395" s="117"/>
    </row>
    <row r="396">
      <c r="A396" s="117"/>
      <c r="B396" s="117"/>
      <c r="C396" s="117"/>
    </row>
    <row r="397">
      <c r="A397" s="117"/>
      <c r="B397" s="117"/>
      <c r="C397" s="117"/>
    </row>
    <row r="398">
      <c r="A398" s="117"/>
      <c r="B398" s="117"/>
      <c r="C398" s="117"/>
    </row>
    <row r="399">
      <c r="A399" s="117"/>
      <c r="B399" s="117"/>
      <c r="C399" s="117"/>
    </row>
    <row r="400">
      <c r="A400" s="117"/>
      <c r="B400" s="117"/>
      <c r="C400" s="117"/>
    </row>
    <row r="401">
      <c r="A401" s="117"/>
      <c r="B401" s="117"/>
      <c r="C401" s="117"/>
    </row>
    <row r="402">
      <c r="A402" s="117"/>
      <c r="B402" s="117"/>
      <c r="C402" s="117"/>
    </row>
    <row r="403">
      <c r="A403" s="117"/>
      <c r="B403" s="117"/>
      <c r="C403" s="117"/>
    </row>
    <row r="404">
      <c r="A404" s="117"/>
      <c r="B404" s="117"/>
      <c r="C404" s="117"/>
    </row>
    <row r="405">
      <c r="A405" s="117"/>
      <c r="B405" s="117"/>
      <c r="C405" s="117"/>
    </row>
    <row r="406">
      <c r="A406" s="117"/>
      <c r="B406" s="117"/>
      <c r="C406" s="117"/>
    </row>
    <row r="407">
      <c r="A407" s="117"/>
      <c r="B407" s="117"/>
      <c r="C407" s="117"/>
    </row>
    <row r="408">
      <c r="A408" s="117"/>
      <c r="B408" s="117"/>
      <c r="C408" s="117"/>
    </row>
    <row r="409">
      <c r="A409" s="117"/>
      <c r="B409" s="117"/>
      <c r="C409" s="117"/>
    </row>
    <row r="410">
      <c r="A410" s="117"/>
      <c r="B410" s="117"/>
      <c r="C410" s="117"/>
    </row>
    <row r="411">
      <c r="A411" s="117"/>
      <c r="B411" s="117"/>
      <c r="C411" s="117"/>
    </row>
    <row r="412">
      <c r="A412" s="117"/>
      <c r="B412" s="117"/>
      <c r="C412" s="117"/>
    </row>
    <row r="413">
      <c r="A413" s="117"/>
      <c r="B413" s="117"/>
      <c r="C413" s="117"/>
    </row>
    <row r="414">
      <c r="A414" s="117"/>
      <c r="B414" s="117"/>
      <c r="C414" s="117"/>
    </row>
    <row r="415">
      <c r="A415" s="117"/>
      <c r="B415" s="117"/>
      <c r="C415" s="117"/>
    </row>
    <row r="416">
      <c r="A416" s="117"/>
      <c r="B416" s="117"/>
      <c r="C416" s="117"/>
    </row>
    <row r="417">
      <c r="A417" s="117"/>
      <c r="B417" s="117"/>
      <c r="C417" s="117"/>
    </row>
    <row r="418">
      <c r="A418" s="117"/>
      <c r="B418" s="117"/>
      <c r="C418" s="117"/>
    </row>
    <row r="419">
      <c r="A419" s="117"/>
      <c r="B419" s="117"/>
      <c r="C419" s="117"/>
    </row>
    <row r="420">
      <c r="A420" s="117"/>
      <c r="B420" s="117"/>
      <c r="C420" s="117"/>
    </row>
    <row r="421">
      <c r="A421" s="117"/>
      <c r="B421" s="117"/>
      <c r="C421" s="117"/>
    </row>
    <row r="422">
      <c r="A422" s="117"/>
      <c r="B422" s="117"/>
      <c r="C422" s="117"/>
    </row>
    <row r="423">
      <c r="A423" s="117"/>
      <c r="B423" s="117"/>
      <c r="C423" s="117"/>
    </row>
    <row r="424">
      <c r="A424" s="117"/>
      <c r="B424" s="117"/>
      <c r="C424" s="117"/>
    </row>
    <row r="425">
      <c r="A425" s="117"/>
      <c r="B425" s="117"/>
      <c r="C425" s="117"/>
    </row>
    <row r="426">
      <c r="A426" s="117"/>
      <c r="B426" s="117"/>
      <c r="C426" s="117"/>
    </row>
    <row r="427">
      <c r="A427" s="117"/>
      <c r="B427" s="117"/>
      <c r="C427" s="117"/>
    </row>
    <row r="428">
      <c r="A428" s="117"/>
      <c r="B428" s="117"/>
      <c r="C428" s="117"/>
    </row>
    <row r="429">
      <c r="A429" s="117"/>
      <c r="B429" s="117"/>
      <c r="C429" s="117"/>
    </row>
    <row r="430">
      <c r="A430" s="117"/>
      <c r="B430" s="117"/>
      <c r="C430" s="117"/>
    </row>
    <row r="431">
      <c r="A431" s="117"/>
      <c r="B431" s="117"/>
      <c r="C431" s="117"/>
    </row>
    <row r="432">
      <c r="A432" s="117"/>
      <c r="B432" s="117"/>
      <c r="C432" s="117"/>
    </row>
    <row r="433">
      <c r="A433" s="117"/>
      <c r="B433" s="117"/>
      <c r="C433" s="117"/>
    </row>
    <row r="434">
      <c r="A434" s="117"/>
      <c r="B434" s="117"/>
      <c r="C434" s="117"/>
    </row>
    <row r="435">
      <c r="A435" s="117"/>
      <c r="B435" s="117"/>
      <c r="C435" s="117"/>
    </row>
    <row r="436">
      <c r="A436" s="117"/>
      <c r="B436" s="117"/>
      <c r="C436" s="117"/>
    </row>
    <row r="437">
      <c r="A437" s="117"/>
      <c r="B437" s="117"/>
      <c r="C437" s="117"/>
    </row>
    <row r="438">
      <c r="A438" s="117"/>
      <c r="B438" s="117"/>
      <c r="C438" s="117"/>
    </row>
    <row r="439">
      <c r="A439" s="117"/>
      <c r="B439" s="117"/>
      <c r="C439" s="117"/>
    </row>
    <row r="440">
      <c r="A440" s="117"/>
      <c r="B440" s="117"/>
      <c r="C440" s="117"/>
    </row>
    <row r="441">
      <c r="A441" s="117"/>
      <c r="B441" s="117"/>
      <c r="C441" s="117"/>
    </row>
    <row r="442">
      <c r="A442" s="117"/>
      <c r="B442" s="117"/>
      <c r="C442" s="117"/>
    </row>
    <row r="443">
      <c r="A443" s="117"/>
      <c r="B443" s="117"/>
      <c r="C443" s="117"/>
    </row>
    <row r="444">
      <c r="A444" s="117"/>
      <c r="B444" s="117"/>
      <c r="C444" s="117"/>
    </row>
    <row r="445">
      <c r="A445" s="117"/>
      <c r="B445" s="117"/>
      <c r="C445" s="117"/>
    </row>
    <row r="446">
      <c r="A446" s="117"/>
      <c r="B446" s="117"/>
      <c r="C446" s="117"/>
    </row>
    <row r="447">
      <c r="A447" s="117"/>
      <c r="B447" s="117"/>
      <c r="C447" s="117"/>
    </row>
    <row r="448">
      <c r="A448" s="117"/>
      <c r="B448" s="117"/>
      <c r="C448" s="117"/>
    </row>
    <row r="449">
      <c r="A449" s="117"/>
      <c r="B449" s="117"/>
      <c r="C449" s="117"/>
    </row>
    <row r="450">
      <c r="A450" s="117"/>
      <c r="B450" s="117"/>
      <c r="C450" s="117"/>
    </row>
    <row r="451">
      <c r="A451" s="117"/>
      <c r="B451" s="117"/>
      <c r="C451" s="117"/>
    </row>
    <row r="452">
      <c r="A452" s="117"/>
      <c r="B452" s="117"/>
      <c r="C452" s="117"/>
    </row>
    <row r="453">
      <c r="A453" s="117"/>
      <c r="B453" s="117"/>
      <c r="C453" s="117"/>
    </row>
    <row r="454">
      <c r="A454" s="117"/>
      <c r="B454" s="117"/>
      <c r="C454" s="117"/>
    </row>
    <row r="455">
      <c r="A455" s="117"/>
      <c r="B455" s="117"/>
      <c r="C455" s="117"/>
    </row>
    <row r="456">
      <c r="A456" s="117"/>
      <c r="B456" s="117"/>
      <c r="C456" s="117"/>
    </row>
    <row r="457">
      <c r="A457" s="117"/>
      <c r="B457" s="117"/>
      <c r="C457" s="117"/>
    </row>
    <row r="458">
      <c r="A458" s="117"/>
      <c r="B458" s="117"/>
      <c r="C458" s="117"/>
    </row>
    <row r="459">
      <c r="A459" s="117"/>
      <c r="B459" s="117"/>
      <c r="C459" s="117"/>
    </row>
    <row r="460">
      <c r="A460" s="117"/>
      <c r="B460" s="117"/>
      <c r="C460" s="117"/>
    </row>
    <row r="461">
      <c r="A461" s="117"/>
      <c r="B461" s="117"/>
      <c r="C461" s="117"/>
    </row>
    <row r="462">
      <c r="A462" s="117"/>
      <c r="B462" s="117"/>
      <c r="C462" s="117"/>
    </row>
    <row r="463">
      <c r="A463" s="117"/>
      <c r="B463" s="117"/>
      <c r="C463" s="117"/>
    </row>
    <row r="464">
      <c r="A464" s="117"/>
      <c r="B464" s="117"/>
      <c r="C464" s="117"/>
    </row>
    <row r="465">
      <c r="A465" s="117"/>
      <c r="B465" s="117"/>
      <c r="C465" s="117"/>
    </row>
    <row r="466">
      <c r="A466" s="117"/>
      <c r="B466" s="117"/>
      <c r="C466" s="117"/>
    </row>
    <row r="467">
      <c r="A467" s="117"/>
      <c r="B467" s="117"/>
      <c r="C467" s="117"/>
    </row>
    <row r="468">
      <c r="A468" s="117"/>
      <c r="B468" s="117"/>
      <c r="C468" s="117"/>
    </row>
    <row r="469">
      <c r="A469" s="117"/>
      <c r="B469" s="117"/>
      <c r="C469" s="117"/>
    </row>
    <row r="470">
      <c r="A470" s="117"/>
      <c r="B470" s="117"/>
      <c r="C470" s="117"/>
    </row>
    <row r="471">
      <c r="A471" s="117"/>
      <c r="B471" s="117"/>
      <c r="C471" s="117"/>
    </row>
    <row r="472">
      <c r="A472" s="117"/>
      <c r="B472" s="117"/>
      <c r="C472" s="117"/>
    </row>
    <row r="473">
      <c r="A473" s="117"/>
      <c r="B473" s="117"/>
      <c r="C473" s="117"/>
    </row>
    <row r="474">
      <c r="A474" s="117"/>
      <c r="B474" s="117"/>
      <c r="C474" s="117"/>
    </row>
    <row r="475">
      <c r="A475" s="117"/>
      <c r="B475" s="117"/>
      <c r="C475" s="117"/>
    </row>
    <row r="476">
      <c r="A476" s="117"/>
      <c r="B476" s="117"/>
      <c r="C476" s="117"/>
    </row>
    <row r="477">
      <c r="A477" s="117"/>
      <c r="B477" s="117"/>
      <c r="C477" s="117"/>
    </row>
    <row r="478">
      <c r="A478" s="117"/>
      <c r="B478" s="117"/>
      <c r="C478" s="117"/>
    </row>
    <row r="479">
      <c r="A479" s="117"/>
      <c r="B479" s="117"/>
      <c r="C479" s="117"/>
    </row>
    <row r="480">
      <c r="A480" s="117"/>
      <c r="B480" s="117"/>
      <c r="C480" s="117"/>
    </row>
    <row r="481">
      <c r="A481" s="117"/>
      <c r="B481" s="117"/>
      <c r="C481" s="117"/>
    </row>
    <row r="482">
      <c r="A482" s="117"/>
      <c r="B482" s="117"/>
      <c r="C482" s="117"/>
    </row>
    <row r="483">
      <c r="A483" s="117"/>
      <c r="B483" s="117"/>
      <c r="C483" s="117"/>
    </row>
    <row r="484">
      <c r="A484" s="117"/>
      <c r="B484" s="117"/>
      <c r="C484" s="117"/>
    </row>
    <row r="485">
      <c r="A485" s="117"/>
      <c r="B485" s="117"/>
      <c r="C485" s="117"/>
    </row>
    <row r="486">
      <c r="A486" s="117"/>
      <c r="B486" s="117"/>
      <c r="C486" s="117"/>
    </row>
    <row r="487">
      <c r="A487" s="117"/>
      <c r="B487" s="117"/>
      <c r="C487" s="117"/>
    </row>
    <row r="488">
      <c r="A488" s="117"/>
      <c r="B488" s="117"/>
      <c r="C488" s="117"/>
    </row>
    <row r="489">
      <c r="A489" s="117"/>
      <c r="B489" s="117"/>
      <c r="C489" s="117"/>
    </row>
    <row r="490">
      <c r="A490" s="117"/>
      <c r="B490" s="117"/>
      <c r="C490" s="117"/>
    </row>
    <row r="491">
      <c r="A491" s="117"/>
      <c r="B491" s="117"/>
      <c r="C491" s="117"/>
    </row>
    <row r="492">
      <c r="A492" s="117"/>
      <c r="B492" s="117"/>
      <c r="C492" s="117"/>
    </row>
    <row r="493">
      <c r="A493" s="117"/>
      <c r="B493" s="117"/>
      <c r="C493" s="117"/>
    </row>
    <row r="494">
      <c r="A494" s="117"/>
      <c r="B494" s="117"/>
      <c r="C494" s="117"/>
    </row>
    <row r="495">
      <c r="A495" s="117"/>
      <c r="B495" s="117"/>
      <c r="C495" s="117"/>
    </row>
    <row r="496">
      <c r="A496" s="117"/>
      <c r="B496" s="117"/>
      <c r="C496" s="117"/>
    </row>
    <row r="497">
      <c r="A497" s="117"/>
      <c r="B497" s="117"/>
      <c r="C497" s="117"/>
    </row>
    <row r="498">
      <c r="A498" s="117"/>
      <c r="B498" s="117"/>
      <c r="C498" s="117"/>
    </row>
    <row r="499">
      <c r="A499" s="117"/>
      <c r="B499" s="117"/>
      <c r="C499" s="117"/>
    </row>
    <row r="500">
      <c r="A500" s="117"/>
      <c r="B500" s="117"/>
      <c r="C500" s="117"/>
    </row>
    <row r="501">
      <c r="A501" s="117"/>
      <c r="B501" s="117"/>
      <c r="C501" s="117"/>
    </row>
    <row r="502">
      <c r="A502" s="117"/>
      <c r="B502" s="117"/>
      <c r="C502" s="117"/>
    </row>
    <row r="503">
      <c r="A503" s="117"/>
      <c r="B503" s="117"/>
      <c r="C503" s="117"/>
    </row>
    <row r="504">
      <c r="A504" s="117"/>
      <c r="B504" s="117"/>
      <c r="C504" s="117"/>
    </row>
    <row r="505">
      <c r="A505" s="117"/>
      <c r="B505" s="117"/>
      <c r="C505" s="117"/>
    </row>
    <row r="506">
      <c r="A506" s="117"/>
      <c r="B506" s="117"/>
      <c r="C506" s="117"/>
    </row>
    <row r="507">
      <c r="A507" s="117"/>
      <c r="B507" s="117"/>
      <c r="C507" s="117"/>
    </row>
    <row r="508">
      <c r="A508" s="117"/>
      <c r="B508" s="117"/>
      <c r="C508" s="117"/>
    </row>
    <row r="509">
      <c r="A509" s="117"/>
      <c r="B509" s="117"/>
      <c r="C509" s="117"/>
    </row>
    <row r="510">
      <c r="A510" s="117"/>
      <c r="B510" s="117"/>
      <c r="C510" s="117"/>
    </row>
    <row r="511">
      <c r="A511" s="117"/>
      <c r="B511" s="117"/>
      <c r="C511" s="117"/>
    </row>
    <row r="512">
      <c r="A512" s="117"/>
      <c r="B512" s="117"/>
      <c r="C512" s="117"/>
    </row>
    <row r="513">
      <c r="A513" s="117"/>
      <c r="B513" s="117"/>
      <c r="C513" s="117"/>
    </row>
    <row r="514">
      <c r="A514" s="117"/>
      <c r="B514" s="117"/>
      <c r="C514" s="117"/>
    </row>
    <row r="515">
      <c r="A515" s="117"/>
      <c r="B515" s="117"/>
      <c r="C515" s="117"/>
    </row>
    <row r="516">
      <c r="A516" s="117"/>
      <c r="B516" s="117"/>
      <c r="C516" s="117"/>
    </row>
    <row r="517">
      <c r="A517" s="117"/>
      <c r="B517" s="117"/>
      <c r="C517" s="117"/>
    </row>
    <row r="518">
      <c r="A518" s="117"/>
      <c r="B518" s="117"/>
      <c r="C518" s="117"/>
    </row>
    <row r="519">
      <c r="A519" s="117"/>
      <c r="B519" s="117"/>
      <c r="C519" s="117"/>
    </row>
    <row r="520">
      <c r="A520" s="117"/>
      <c r="B520" s="117"/>
      <c r="C520" s="117"/>
    </row>
    <row r="521">
      <c r="A521" s="117"/>
      <c r="B521" s="117"/>
      <c r="C521" s="117"/>
    </row>
    <row r="522">
      <c r="A522" s="117"/>
      <c r="B522" s="117"/>
      <c r="C522" s="117"/>
    </row>
    <row r="523">
      <c r="A523" s="117"/>
      <c r="B523" s="117"/>
      <c r="C523" s="117"/>
    </row>
    <row r="524">
      <c r="A524" s="117"/>
      <c r="B524" s="117"/>
      <c r="C524" s="117"/>
    </row>
    <row r="525">
      <c r="A525" s="117"/>
      <c r="B525" s="117"/>
      <c r="C525" s="117"/>
    </row>
    <row r="526">
      <c r="A526" s="117"/>
      <c r="B526" s="117"/>
      <c r="C526" s="117"/>
    </row>
    <row r="527">
      <c r="A527" s="117"/>
      <c r="B527" s="117"/>
      <c r="C527" s="117"/>
    </row>
    <row r="528">
      <c r="A528" s="117"/>
      <c r="B528" s="117"/>
      <c r="C528" s="117"/>
    </row>
    <row r="529">
      <c r="A529" s="117"/>
      <c r="B529" s="117"/>
      <c r="C529" s="117"/>
    </row>
    <row r="530">
      <c r="A530" s="117"/>
      <c r="B530" s="117"/>
      <c r="C530" s="117"/>
    </row>
    <row r="531">
      <c r="A531" s="117"/>
      <c r="B531" s="117"/>
      <c r="C531" s="117"/>
    </row>
    <row r="532">
      <c r="A532" s="117"/>
      <c r="B532" s="117"/>
      <c r="C532" s="117"/>
    </row>
    <row r="533">
      <c r="A533" s="117"/>
      <c r="B533" s="117"/>
      <c r="C533" s="117"/>
    </row>
    <row r="534">
      <c r="A534" s="117"/>
      <c r="B534" s="117"/>
      <c r="C534" s="117"/>
    </row>
    <row r="535">
      <c r="A535" s="117"/>
      <c r="B535" s="117"/>
      <c r="C535" s="117"/>
    </row>
    <row r="536">
      <c r="A536" s="117"/>
      <c r="B536" s="117"/>
      <c r="C536" s="117"/>
    </row>
    <row r="537">
      <c r="A537" s="117"/>
      <c r="B537" s="117"/>
      <c r="C537" s="117"/>
    </row>
    <row r="538">
      <c r="A538" s="117"/>
      <c r="B538" s="117"/>
      <c r="C538" s="117"/>
    </row>
    <row r="539">
      <c r="A539" s="117"/>
      <c r="B539" s="117"/>
      <c r="C539" s="117"/>
    </row>
    <row r="540">
      <c r="A540" s="117"/>
      <c r="B540" s="117"/>
      <c r="C540" s="117"/>
    </row>
    <row r="541">
      <c r="A541" s="117"/>
      <c r="B541" s="117"/>
      <c r="C541" s="117"/>
    </row>
    <row r="542">
      <c r="A542" s="117"/>
      <c r="B542" s="117"/>
      <c r="C542" s="117"/>
    </row>
    <row r="543">
      <c r="A543" s="117"/>
      <c r="B543" s="117"/>
      <c r="C543" s="117"/>
    </row>
    <row r="544">
      <c r="A544" s="117"/>
      <c r="B544" s="117"/>
      <c r="C544" s="117"/>
    </row>
    <row r="545">
      <c r="A545" s="117"/>
      <c r="B545" s="117"/>
      <c r="C545" s="117"/>
    </row>
    <row r="546">
      <c r="A546" s="117"/>
      <c r="B546" s="117"/>
      <c r="C546" s="117"/>
    </row>
    <row r="547">
      <c r="A547" s="117"/>
      <c r="B547" s="117"/>
      <c r="C547" s="117"/>
    </row>
    <row r="548">
      <c r="A548" s="117"/>
      <c r="B548" s="117"/>
      <c r="C548" s="117"/>
    </row>
    <row r="549">
      <c r="A549" s="117"/>
      <c r="B549" s="117"/>
      <c r="C549" s="117"/>
    </row>
    <row r="550">
      <c r="A550" s="117"/>
      <c r="B550" s="117"/>
      <c r="C550" s="117"/>
    </row>
    <row r="551">
      <c r="A551" s="117"/>
      <c r="B551" s="117"/>
      <c r="C551" s="117"/>
    </row>
    <row r="552">
      <c r="A552" s="117"/>
      <c r="B552" s="117"/>
      <c r="C552" s="117"/>
    </row>
    <row r="553">
      <c r="A553" s="117"/>
      <c r="B553" s="117"/>
      <c r="C553" s="117"/>
    </row>
    <row r="554">
      <c r="A554" s="117"/>
      <c r="B554" s="117"/>
      <c r="C554" s="117"/>
    </row>
    <row r="555">
      <c r="A555" s="117"/>
      <c r="B555" s="117"/>
      <c r="C555" s="117"/>
    </row>
    <row r="556">
      <c r="A556" s="117"/>
      <c r="B556" s="117"/>
      <c r="C556" s="117"/>
    </row>
    <row r="557">
      <c r="A557" s="117"/>
      <c r="B557" s="117"/>
      <c r="C557" s="117"/>
    </row>
    <row r="558">
      <c r="A558" s="117"/>
      <c r="B558" s="117"/>
      <c r="C558" s="117"/>
    </row>
    <row r="559">
      <c r="A559" s="117"/>
      <c r="B559" s="117"/>
      <c r="C559" s="117"/>
    </row>
    <row r="560">
      <c r="A560" s="117"/>
      <c r="B560" s="117"/>
      <c r="C560" s="117"/>
    </row>
    <row r="561">
      <c r="A561" s="117"/>
      <c r="B561" s="117"/>
      <c r="C561" s="117"/>
    </row>
    <row r="562">
      <c r="A562" s="117"/>
      <c r="B562" s="117"/>
      <c r="C562" s="117"/>
    </row>
    <row r="563">
      <c r="A563" s="117"/>
      <c r="B563" s="117"/>
      <c r="C563" s="117"/>
    </row>
    <row r="564">
      <c r="A564" s="117"/>
      <c r="B564" s="117"/>
      <c r="C564" s="117"/>
    </row>
    <row r="565">
      <c r="A565" s="117"/>
      <c r="B565" s="117"/>
      <c r="C565" s="117"/>
    </row>
    <row r="566">
      <c r="A566" s="117"/>
      <c r="B566" s="117"/>
      <c r="C566" s="117"/>
    </row>
    <row r="567">
      <c r="A567" s="117"/>
      <c r="B567" s="117"/>
      <c r="C567" s="117"/>
    </row>
    <row r="568">
      <c r="A568" s="117"/>
      <c r="B568" s="117"/>
      <c r="C568" s="117"/>
    </row>
    <row r="569">
      <c r="A569" s="117"/>
      <c r="B569" s="117"/>
      <c r="C569" s="117"/>
    </row>
    <row r="570">
      <c r="A570" s="117"/>
      <c r="B570" s="117"/>
      <c r="C570" s="117"/>
    </row>
    <row r="571">
      <c r="A571" s="117"/>
      <c r="B571" s="117"/>
      <c r="C571" s="117"/>
    </row>
    <row r="572">
      <c r="A572" s="117"/>
      <c r="B572" s="117"/>
      <c r="C572" s="117"/>
    </row>
    <row r="573">
      <c r="A573" s="117"/>
      <c r="B573" s="117"/>
      <c r="C573" s="117"/>
    </row>
    <row r="574">
      <c r="A574" s="117"/>
      <c r="B574" s="117"/>
      <c r="C574" s="117"/>
    </row>
    <row r="575">
      <c r="A575" s="117"/>
      <c r="B575" s="117"/>
      <c r="C575" s="117"/>
    </row>
    <row r="576">
      <c r="A576" s="117"/>
      <c r="B576" s="117"/>
      <c r="C576" s="117"/>
    </row>
    <row r="577">
      <c r="A577" s="117"/>
      <c r="B577" s="117"/>
      <c r="C577" s="117"/>
    </row>
    <row r="578">
      <c r="A578" s="117"/>
      <c r="B578" s="117"/>
      <c r="C578" s="117"/>
    </row>
    <row r="579">
      <c r="A579" s="117"/>
      <c r="B579" s="117"/>
      <c r="C579" s="117"/>
    </row>
    <row r="580">
      <c r="A580" s="117"/>
      <c r="B580" s="117"/>
      <c r="C580" s="117"/>
    </row>
    <row r="581">
      <c r="A581" s="117"/>
      <c r="B581" s="117"/>
      <c r="C581" s="117"/>
    </row>
    <row r="582">
      <c r="A582" s="117"/>
      <c r="B582" s="117"/>
      <c r="C582" s="117"/>
    </row>
    <row r="583">
      <c r="A583" s="117"/>
      <c r="B583" s="117"/>
      <c r="C583" s="117"/>
    </row>
    <row r="584">
      <c r="A584" s="117"/>
      <c r="B584" s="117"/>
      <c r="C584" s="117"/>
    </row>
    <row r="585">
      <c r="A585" s="117"/>
      <c r="B585" s="117"/>
      <c r="C585" s="117"/>
    </row>
    <row r="586">
      <c r="A586" s="117"/>
      <c r="B586" s="117"/>
      <c r="C586" s="117"/>
    </row>
    <row r="587">
      <c r="A587" s="117"/>
      <c r="B587" s="117"/>
      <c r="C587" s="117"/>
    </row>
    <row r="588">
      <c r="A588" s="117"/>
      <c r="B588" s="117"/>
      <c r="C588" s="117"/>
    </row>
    <row r="589">
      <c r="A589" s="117"/>
      <c r="B589" s="117"/>
      <c r="C589" s="117"/>
    </row>
    <row r="590">
      <c r="A590" s="117"/>
      <c r="B590" s="117"/>
      <c r="C590" s="117"/>
    </row>
    <row r="591">
      <c r="A591" s="117"/>
      <c r="B591" s="117"/>
      <c r="C591" s="117"/>
    </row>
    <row r="592">
      <c r="A592" s="117"/>
      <c r="B592" s="117"/>
      <c r="C592" s="117"/>
    </row>
    <row r="593">
      <c r="A593" s="117"/>
      <c r="B593" s="117"/>
      <c r="C593" s="117"/>
    </row>
    <row r="594">
      <c r="A594" s="117"/>
      <c r="B594" s="117"/>
      <c r="C594" s="117"/>
    </row>
    <row r="595">
      <c r="A595" s="117"/>
      <c r="B595" s="117"/>
      <c r="C595" s="117"/>
    </row>
    <row r="596">
      <c r="A596" s="117"/>
      <c r="B596" s="117"/>
      <c r="C596" s="117"/>
    </row>
    <row r="597">
      <c r="A597" s="117"/>
      <c r="B597" s="117"/>
      <c r="C597" s="117"/>
    </row>
    <row r="598">
      <c r="A598" s="117"/>
      <c r="B598" s="117"/>
      <c r="C598" s="117"/>
    </row>
    <row r="599">
      <c r="A599" s="117"/>
      <c r="B599" s="117"/>
      <c r="C599" s="117"/>
    </row>
    <row r="600">
      <c r="A600" s="117"/>
      <c r="B600" s="117"/>
      <c r="C600" s="117"/>
    </row>
    <row r="601">
      <c r="A601" s="117"/>
      <c r="B601" s="117"/>
      <c r="C601" s="117"/>
    </row>
    <row r="602">
      <c r="A602" s="117"/>
      <c r="B602" s="117"/>
      <c r="C602" s="117"/>
    </row>
    <row r="603">
      <c r="A603" s="117"/>
      <c r="B603" s="117"/>
      <c r="C603" s="117"/>
    </row>
    <row r="604">
      <c r="A604" s="117"/>
      <c r="B604" s="117"/>
      <c r="C604" s="117"/>
    </row>
    <row r="605">
      <c r="A605" s="117"/>
      <c r="B605" s="117"/>
      <c r="C605" s="117"/>
    </row>
    <row r="606">
      <c r="A606" s="117"/>
      <c r="B606" s="117"/>
      <c r="C606" s="117"/>
    </row>
    <row r="607">
      <c r="A607" s="117"/>
      <c r="B607" s="117"/>
      <c r="C607" s="117"/>
    </row>
    <row r="608">
      <c r="A608" s="117"/>
      <c r="B608" s="117"/>
      <c r="C608" s="117"/>
    </row>
    <row r="609">
      <c r="A609" s="117"/>
      <c r="B609" s="117"/>
      <c r="C609" s="117"/>
    </row>
    <row r="610">
      <c r="A610" s="117"/>
      <c r="B610" s="117"/>
      <c r="C610" s="117"/>
    </row>
    <row r="611">
      <c r="A611" s="117"/>
      <c r="B611" s="117"/>
      <c r="C611" s="117"/>
    </row>
    <row r="612">
      <c r="A612" s="117"/>
      <c r="B612" s="117"/>
      <c r="C612" s="117"/>
    </row>
    <row r="613">
      <c r="A613" s="117"/>
      <c r="B613" s="117"/>
      <c r="C613" s="117"/>
    </row>
    <row r="614">
      <c r="A614" s="117"/>
      <c r="B614" s="117"/>
      <c r="C614" s="117"/>
    </row>
    <row r="615">
      <c r="A615" s="117"/>
      <c r="B615" s="117"/>
      <c r="C615" s="117"/>
    </row>
    <row r="616">
      <c r="A616" s="117"/>
      <c r="B616" s="117"/>
      <c r="C616" s="117"/>
    </row>
    <row r="617">
      <c r="A617" s="117"/>
      <c r="B617" s="117"/>
      <c r="C617" s="117"/>
    </row>
    <row r="618">
      <c r="A618" s="117"/>
      <c r="B618" s="117"/>
      <c r="C618" s="117"/>
    </row>
    <row r="619">
      <c r="A619" s="117"/>
      <c r="B619" s="117"/>
      <c r="C619" s="117"/>
    </row>
    <row r="620">
      <c r="A620" s="117"/>
      <c r="B620" s="117"/>
      <c r="C620" s="117"/>
    </row>
    <row r="621">
      <c r="A621" s="117"/>
      <c r="B621" s="117"/>
      <c r="C621" s="117"/>
    </row>
    <row r="622">
      <c r="A622" s="117"/>
      <c r="B622" s="117"/>
      <c r="C622" s="117"/>
    </row>
    <row r="623">
      <c r="A623" s="117"/>
      <c r="B623" s="117"/>
      <c r="C623" s="117"/>
    </row>
    <row r="624">
      <c r="A624" s="117"/>
      <c r="B624" s="117"/>
      <c r="C624" s="117"/>
    </row>
    <row r="625">
      <c r="A625" s="117"/>
      <c r="B625" s="117"/>
      <c r="C625" s="117"/>
    </row>
    <row r="626">
      <c r="A626" s="117"/>
      <c r="B626" s="117"/>
      <c r="C626" s="117"/>
    </row>
    <row r="627">
      <c r="A627" s="117"/>
      <c r="B627" s="117"/>
      <c r="C627" s="117"/>
    </row>
    <row r="628">
      <c r="A628" s="117"/>
      <c r="B628" s="117"/>
      <c r="C628" s="117"/>
    </row>
    <row r="629">
      <c r="A629" s="117"/>
      <c r="B629" s="117"/>
      <c r="C629" s="117"/>
    </row>
    <row r="630">
      <c r="A630" s="117"/>
      <c r="B630" s="117"/>
      <c r="C630" s="117"/>
    </row>
    <row r="631">
      <c r="A631" s="117"/>
      <c r="B631" s="117"/>
      <c r="C631" s="117"/>
    </row>
    <row r="632">
      <c r="A632" s="117"/>
      <c r="B632" s="117"/>
      <c r="C632" s="117"/>
    </row>
    <row r="633">
      <c r="A633" s="117"/>
      <c r="B633" s="117"/>
      <c r="C633" s="117"/>
    </row>
    <row r="634">
      <c r="A634" s="117"/>
      <c r="B634" s="117"/>
      <c r="C634" s="117"/>
    </row>
    <row r="635">
      <c r="A635" s="117"/>
      <c r="B635" s="117"/>
      <c r="C635" s="117"/>
    </row>
    <row r="636">
      <c r="A636" s="117"/>
      <c r="B636" s="117"/>
      <c r="C636" s="117"/>
    </row>
    <row r="637">
      <c r="A637" s="117"/>
      <c r="B637" s="117"/>
      <c r="C637" s="117"/>
    </row>
    <row r="638">
      <c r="A638" s="117"/>
      <c r="B638" s="117"/>
      <c r="C638" s="117"/>
    </row>
    <row r="639">
      <c r="A639" s="117"/>
      <c r="B639" s="117"/>
      <c r="C639" s="117"/>
    </row>
    <row r="640">
      <c r="A640" s="117"/>
      <c r="B640" s="117"/>
      <c r="C640" s="117"/>
    </row>
    <row r="641">
      <c r="A641" s="117"/>
      <c r="B641" s="117"/>
      <c r="C641" s="117"/>
    </row>
    <row r="642">
      <c r="A642" s="117"/>
      <c r="B642" s="117"/>
      <c r="C642" s="117"/>
    </row>
    <row r="643">
      <c r="A643" s="117"/>
      <c r="B643" s="117"/>
      <c r="C643" s="117"/>
    </row>
    <row r="644">
      <c r="A644" s="117"/>
      <c r="B644" s="117"/>
      <c r="C644" s="117"/>
    </row>
    <row r="645">
      <c r="A645" s="117"/>
      <c r="B645" s="117"/>
      <c r="C645" s="117"/>
    </row>
    <row r="646">
      <c r="A646" s="117"/>
      <c r="B646" s="117"/>
      <c r="C646" s="117"/>
    </row>
    <row r="647">
      <c r="A647" s="117"/>
      <c r="B647" s="117"/>
      <c r="C647" s="117"/>
    </row>
    <row r="648">
      <c r="A648" s="117"/>
      <c r="B648" s="117"/>
      <c r="C648" s="117"/>
    </row>
    <row r="649">
      <c r="A649" s="117"/>
      <c r="B649" s="117"/>
      <c r="C649" s="117"/>
    </row>
    <row r="650">
      <c r="A650" s="117"/>
      <c r="B650" s="117"/>
      <c r="C650" s="117"/>
    </row>
    <row r="651">
      <c r="A651" s="117"/>
      <c r="B651" s="117"/>
      <c r="C651" s="117"/>
    </row>
    <row r="652">
      <c r="A652" s="117"/>
      <c r="B652" s="117"/>
      <c r="C652" s="117"/>
    </row>
    <row r="653">
      <c r="A653" s="117"/>
      <c r="B653" s="117"/>
      <c r="C653" s="117"/>
    </row>
    <row r="654">
      <c r="A654" s="117"/>
      <c r="B654" s="117"/>
      <c r="C654" s="117"/>
    </row>
    <row r="655">
      <c r="A655" s="117"/>
      <c r="B655" s="117"/>
      <c r="C655" s="117"/>
    </row>
    <row r="656">
      <c r="A656" s="117"/>
      <c r="B656" s="117"/>
      <c r="C656" s="117"/>
    </row>
    <row r="657">
      <c r="A657" s="117"/>
      <c r="B657" s="117"/>
      <c r="C657" s="117"/>
    </row>
    <row r="658">
      <c r="A658" s="117"/>
      <c r="B658" s="117"/>
      <c r="C658" s="117"/>
    </row>
    <row r="659">
      <c r="A659" s="117"/>
      <c r="B659" s="117"/>
      <c r="C659" s="117"/>
    </row>
    <row r="660">
      <c r="A660" s="117"/>
      <c r="B660" s="117"/>
      <c r="C660" s="117"/>
    </row>
    <row r="661">
      <c r="A661" s="117"/>
      <c r="B661" s="117"/>
      <c r="C661" s="117"/>
    </row>
    <row r="662">
      <c r="A662" s="117"/>
      <c r="B662" s="117"/>
      <c r="C662" s="117"/>
    </row>
    <row r="663">
      <c r="A663" s="117"/>
      <c r="B663" s="117"/>
      <c r="C663" s="117"/>
    </row>
    <row r="664">
      <c r="A664" s="117"/>
      <c r="B664" s="117"/>
      <c r="C664" s="117"/>
    </row>
    <row r="665">
      <c r="A665" s="117"/>
      <c r="B665" s="117"/>
      <c r="C665" s="117"/>
    </row>
    <row r="666">
      <c r="A666" s="117"/>
      <c r="B666" s="117"/>
      <c r="C666" s="117"/>
    </row>
    <row r="667">
      <c r="A667" s="117"/>
      <c r="B667" s="117"/>
      <c r="C667" s="117"/>
    </row>
    <row r="668">
      <c r="A668" s="117"/>
      <c r="B668" s="117"/>
      <c r="C668" s="117"/>
    </row>
    <row r="669">
      <c r="A669" s="117"/>
      <c r="B669" s="117"/>
      <c r="C669" s="117"/>
    </row>
    <row r="670">
      <c r="A670" s="117"/>
      <c r="B670" s="117"/>
      <c r="C670" s="117"/>
    </row>
    <row r="671">
      <c r="A671" s="117"/>
      <c r="B671" s="117"/>
      <c r="C671" s="117"/>
    </row>
    <row r="672">
      <c r="A672" s="117"/>
      <c r="B672" s="117"/>
      <c r="C672" s="117"/>
    </row>
    <row r="673">
      <c r="A673" s="117"/>
      <c r="B673" s="117"/>
      <c r="C673" s="117"/>
    </row>
    <row r="674">
      <c r="A674" s="117"/>
      <c r="B674" s="117"/>
      <c r="C674" s="117"/>
    </row>
    <row r="675">
      <c r="A675" s="117"/>
      <c r="B675" s="117"/>
      <c r="C675" s="117"/>
    </row>
    <row r="676">
      <c r="A676" s="117"/>
      <c r="B676" s="117"/>
      <c r="C676" s="117"/>
    </row>
    <row r="677">
      <c r="A677" s="117"/>
      <c r="B677" s="117"/>
      <c r="C677" s="117"/>
    </row>
    <row r="678">
      <c r="A678" s="117"/>
      <c r="B678" s="117"/>
      <c r="C678" s="117"/>
    </row>
    <row r="679">
      <c r="A679" s="117"/>
      <c r="B679" s="117"/>
      <c r="C679" s="117"/>
    </row>
    <row r="680">
      <c r="A680" s="117"/>
      <c r="B680" s="117"/>
      <c r="C680" s="117"/>
    </row>
    <row r="681">
      <c r="A681" s="117"/>
      <c r="B681" s="117"/>
      <c r="C681" s="117"/>
    </row>
    <row r="682">
      <c r="A682" s="117"/>
      <c r="B682" s="117"/>
      <c r="C682" s="117"/>
    </row>
    <row r="683">
      <c r="A683" s="117"/>
      <c r="B683" s="117"/>
      <c r="C683" s="117"/>
    </row>
    <row r="684">
      <c r="A684" s="117"/>
      <c r="B684" s="117"/>
      <c r="C684" s="117"/>
    </row>
    <row r="685">
      <c r="A685" s="117"/>
      <c r="B685" s="117"/>
      <c r="C685" s="117"/>
    </row>
    <row r="686">
      <c r="A686" s="117"/>
      <c r="B686" s="117"/>
      <c r="C686" s="117"/>
    </row>
    <row r="687">
      <c r="A687" s="117"/>
      <c r="B687" s="117"/>
      <c r="C687" s="117"/>
    </row>
    <row r="688">
      <c r="A688" s="117"/>
      <c r="B688" s="117"/>
      <c r="C688" s="117"/>
    </row>
    <row r="689">
      <c r="A689" s="117"/>
      <c r="B689" s="117"/>
      <c r="C689" s="117"/>
    </row>
    <row r="690">
      <c r="A690" s="117"/>
      <c r="B690" s="117"/>
      <c r="C690" s="117"/>
    </row>
    <row r="691">
      <c r="A691" s="117"/>
      <c r="B691" s="117"/>
      <c r="C691" s="117"/>
    </row>
    <row r="692">
      <c r="A692" s="117"/>
      <c r="B692" s="117"/>
      <c r="C692" s="117"/>
    </row>
    <row r="693">
      <c r="A693" s="117"/>
      <c r="B693" s="117"/>
      <c r="C693" s="117"/>
    </row>
    <row r="694">
      <c r="A694" s="117"/>
      <c r="B694" s="117"/>
      <c r="C694" s="117"/>
    </row>
    <row r="695">
      <c r="A695" s="117"/>
      <c r="B695" s="117"/>
      <c r="C695" s="117"/>
    </row>
    <row r="696">
      <c r="A696" s="117"/>
      <c r="B696" s="117"/>
      <c r="C696" s="117"/>
    </row>
    <row r="697">
      <c r="A697" s="117"/>
      <c r="B697" s="117"/>
      <c r="C697" s="117"/>
    </row>
    <row r="698">
      <c r="A698" s="117"/>
      <c r="B698" s="117"/>
      <c r="C698" s="117"/>
    </row>
    <row r="699">
      <c r="A699" s="117"/>
      <c r="B699" s="117"/>
      <c r="C699" s="117"/>
    </row>
    <row r="700">
      <c r="A700" s="117"/>
      <c r="B700" s="117"/>
      <c r="C700" s="117"/>
    </row>
    <row r="701">
      <c r="A701" s="117"/>
      <c r="B701" s="117"/>
      <c r="C701" s="117"/>
    </row>
    <row r="702">
      <c r="A702" s="117"/>
      <c r="B702" s="117"/>
      <c r="C702" s="117"/>
    </row>
    <row r="703">
      <c r="A703" s="117"/>
      <c r="B703" s="117"/>
      <c r="C703" s="117"/>
    </row>
    <row r="704">
      <c r="A704" s="117"/>
      <c r="B704" s="117"/>
      <c r="C704" s="117"/>
    </row>
    <row r="705">
      <c r="A705" s="117"/>
      <c r="B705" s="117"/>
      <c r="C705" s="117"/>
    </row>
    <row r="706">
      <c r="A706" s="117"/>
      <c r="B706" s="117"/>
      <c r="C706" s="117"/>
    </row>
    <row r="707">
      <c r="A707" s="117"/>
      <c r="B707" s="117"/>
      <c r="C707" s="117"/>
    </row>
    <row r="708">
      <c r="A708" s="117"/>
      <c r="B708" s="117"/>
      <c r="C708" s="117"/>
    </row>
    <row r="709">
      <c r="A709" s="117"/>
      <c r="B709" s="117"/>
      <c r="C709" s="117"/>
    </row>
    <row r="710">
      <c r="A710" s="117"/>
      <c r="B710" s="117"/>
      <c r="C710" s="117"/>
    </row>
    <row r="711">
      <c r="A711" s="117"/>
      <c r="B711" s="117"/>
      <c r="C711" s="117"/>
    </row>
    <row r="712">
      <c r="A712" s="117"/>
      <c r="B712" s="117"/>
      <c r="C712" s="117"/>
    </row>
    <row r="713">
      <c r="A713" s="117"/>
      <c r="B713" s="117"/>
      <c r="C713" s="117"/>
    </row>
    <row r="714">
      <c r="A714" s="117"/>
      <c r="B714" s="117"/>
      <c r="C714" s="117"/>
    </row>
    <row r="715">
      <c r="A715" s="117"/>
      <c r="B715" s="117"/>
      <c r="C715" s="117"/>
    </row>
    <row r="716">
      <c r="A716" s="117"/>
      <c r="B716" s="117"/>
      <c r="C716" s="117"/>
    </row>
    <row r="717">
      <c r="A717" s="117"/>
      <c r="B717" s="117"/>
      <c r="C717" s="117"/>
    </row>
    <row r="718">
      <c r="A718" s="117"/>
      <c r="B718" s="117"/>
      <c r="C718" s="117"/>
    </row>
    <row r="719">
      <c r="A719" s="117"/>
      <c r="B719" s="117"/>
      <c r="C719" s="117"/>
    </row>
    <row r="720">
      <c r="A720" s="117"/>
      <c r="B720" s="117"/>
      <c r="C720" s="117"/>
    </row>
    <row r="721">
      <c r="A721" s="117"/>
      <c r="B721" s="117"/>
      <c r="C721" s="117"/>
    </row>
    <row r="722">
      <c r="A722" s="117"/>
      <c r="B722" s="117"/>
      <c r="C722" s="117"/>
    </row>
    <row r="723">
      <c r="A723" s="117"/>
      <c r="B723" s="117"/>
      <c r="C723" s="117"/>
    </row>
    <row r="724">
      <c r="A724" s="117"/>
      <c r="B724" s="117"/>
      <c r="C724" s="117"/>
    </row>
    <row r="725">
      <c r="A725" s="117"/>
      <c r="B725" s="117"/>
      <c r="C725" s="117"/>
    </row>
    <row r="726">
      <c r="A726" s="117"/>
      <c r="B726" s="117"/>
      <c r="C726" s="117"/>
    </row>
    <row r="727">
      <c r="A727" s="117"/>
      <c r="B727" s="117"/>
      <c r="C727" s="117"/>
    </row>
    <row r="728">
      <c r="A728" s="117"/>
      <c r="B728" s="117"/>
      <c r="C728" s="117"/>
    </row>
    <row r="729">
      <c r="A729" s="117"/>
      <c r="B729" s="117"/>
      <c r="C729" s="117"/>
    </row>
    <row r="730">
      <c r="A730" s="117"/>
      <c r="B730" s="117"/>
      <c r="C730" s="117"/>
    </row>
    <row r="731">
      <c r="A731" s="117"/>
      <c r="B731" s="117"/>
      <c r="C731" s="117"/>
    </row>
    <row r="732">
      <c r="A732" s="117"/>
      <c r="B732" s="117"/>
      <c r="C732" s="117"/>
    </row>
    <row r="733">
      <c r="A733" s="117"/>
      <c r="B733" s="117"/>
      <c r="C733" s="117"/>
    </row>
    <row r="734">
      <c r="A734" s="117"/>
      <c r="B734" s="117"/>
      <c r="C734" s="117"/>
    </row>
    <row r="735">
      <c r="A735" s="117"/>
      <c r="B735" s="117"/>
      <c r="C735" s="117"/>
    </row>
    <row r="736">
      <c r="A736" s="117"/>
      <c r="B736" s="117"/>
      <c r="C736" s="117"/>
    </row>
    <row r="737">
      <c r="A737" s="117"/>
      <c r="B737" s="117"/>
      <c r="C737" s="117"/>
    </row>
    <row r="738">
      <c r="A738" s="117"/>
      <c r="B738" s="117"/>
      <c r="C738" s="117"/>
    </row>
    <row r="739">
      <c r="A739" s="117"/>
      <c r="B739" s="117"/>
      <c r="C739" s="117"/>
    </row>
    <row r="740">
      <c r="A740" s="117"/>
      <c r="B740" s="117"/>
      <c r="C740" s="117"/>
    </row>
    <row r="741">
      <c r="A741" s="117"/>
      <c r="B741" s="117"/>
      <c r="C741" s="117"/>
    </row>
    <row r="742">
      <c r="A742" s="117"/>
      <c r="B742" s="117"/>
      <c r="C742" s="117"/>
    </row>
    <row r="743">
      <c r="A743" s="117"/>
      <c r="B743" s="117"/>
      <c r="C743" s="117"/>
    </row>
    <row r="744">
      <c r="A744" s="117"/>
      <c r="B744" s="117"/>
      <c r="C744" s="117"/>
    </row>
    <row r="745">
      <c r="A745" s="117"/>
      <c r="B745" s="117"/>
      <c r="C745" s="117"/>
    </row>
    <row r="746">
      <c r="A746" s="117"/>
      <c r="B746" s="117"/>
      <c r="C746" s="117"/>
    </row>
    <row r="747">
      <c r="A747" s="117"/>
      <c r="B747" s="117"/>
      <c r="C747" s="117"/>
    </row>
    <row r="748">
      <c r="A748" s="117"/>
      <c r="B748" s="117"/>
      <c r="C748" s="117"/>
    </row>
    <row r="749">
      <c r="A749" s="117"/>
      <c r="B749" s="117"/>
      <c r="C749" s="117"/>
    </row>
    <row r="750">
      <c r="A750" s="117"/>
      <c r="B750" s="117"/>
      <c r="C750" s="117"/>
    </row>
    <row r="751">
      <c r="A751" s="117"/>
      <c r="B751" s="117"/>
      <c r="C751" s="117"/>
    </row>
    <row r="752">
      <c r="A752" s="117"/>
      <c r="B752" s="117"/>
      <c r="C752" s="117"/>
    </row>
    <row r="753">
      <c r="A753" s="117"/>
      <c r="B753" s="117"/>
      <c r="C753" s="117"/>
    </row>
    <row r="754">
      <c r="A754" s="117"/>
      <c r="B754" s="117"/>
      <c r="C754" s="117"/>
    </row>
    <row r="755">
      <c r="A755" s="117"/>
      <c r="B755" s="117"/>
      <c r="C755" s="117"/>
    </row>
    <row r="756">
      <c r="A756" s="117"/>
      <c r="B756" s="117"/>
      <c r="C756" s="117"/>
    </row>
    <row r="757">
      <c r="A757" s="117"/>
      <c r="B757" s="117"/>
      <c r="C757" s="117"/>
    </row>
    <row r="758">
      <c r="A758" s="117"/>
      <c r="B758" s="117"/>
      <c r="C758" s="117"/>
    </row>
    <row r="759">
      <c r="A759" s="117"/>
      <c r="B759" s="117"/>
      <c r="C759" s="117"/>
    </row>
    <row r="760">
      <c r="A760" s="117"/>
      <c r="B760" s="117"/>
      <c r="C760" s="117"/>
    </row>
    <row r="761">
      <c r="A761" s="117"/>
      <c r="B761" s="117"/>
      <c r="C761" s="117"/>
    </row>
    <row r="762">
      <c r="A762" s="117"/>
      <c r="B762" s="117"/>
      <c r="C762" s="117"/>
    </row>
    <row r="763">
      <c r="A763" s="117"/>
      <c r="B763" s="117"/>
      <c r="C763" s="117"/>
    </row>
    <row r="764">
      <c r="A764" s="117"/>
      <c r="B764" s="117"/>
      <c r="C764" s="117"/>
    </row>
    <row r="765">
      <c r="A765" s="117"/>
      <c r="B765" s="117"/>
      <c r="C765" s="117"/>
    </row>
    <row r="766">
      <c r="A766" s="117"/>
      <c r="B766" s="117"/>
      <c r="C766" s="117"/>
    </row>
    <row r="767">
      <c r="A767" s="117"/>
      <c r="B767" s="117"/>
      <c r="C767" s="117"/>
    </row>
    <row r="768">
      <c r="A768" s="117"/>
      <c r="B768" s="117"/>
      <c r="C768" s="117"/>
    </row>
    <row r="769">
      <c r="A769" s="117"/>
      <c r="B769" s="117"/>
      <c r="C769" s="117"/>
    </row>
    <row r="770">
      <c r="A770" s="117"/>
      <c r="B770" s="117"/>
      <c r="C770" s="117"/>
    </row>
    <row r="771">
      <c r="A771" s="117"/>
      <c r="B771" s="117"/>
      <c r="C771" s="117"/>
    </row>
    <row r="772">
      <c r="A772" s="117"/>
      <c r="B772" s="117"/>
      <c r="C772" s="117"/>
    </row>
    <row r="773">
      <c r="A773" s="117"/>
      <c r="B773" s="117"/>
      <c r="C773" s="117"/>
    </row>
    <row r="774">
      <c r="A774" s="117"/>
      <c r="B774" s="117"/>
      <c r="C774" s="117"/>
    </row>
    <row r="775">
      <c r="A775" s="117"/>
      <c r="B775" s="117"/>
      <c r="C775" s="117"/>
    </row>
    <row r="776">
      <c r="A776" s="117"/>
      <c r="B776" s="117"/>
      <c r="C776" s="117"/>
    </row>
    <row r="777">
      <c r="A777" s="117"/>
      <c r="B777" s="117"/>
      <c r="C777" s="117"/>
    </row>
    <row r="778">
      <c r="A778" s="117"/>
      <c r="B778" s="117"/>
      <c r="C778" s="117"/>
    </row>
    <row r="779">
      <c r="A779" s="117"/>
      <c r="B779" s="117"/>
      <c r="C779" s="117"/>
    </row>
    <row r="780">
      <c r="A780" s="117"/>
      <c r="B780" s="117"/>
      <c r="C780" s="117"/>
    </row>
    <row r="781">
      <c r="A781" s="117"/>
      <c r="B781" s="117"/>
      <c r="C781" s="117"/>
    </row>
    <row r="782">
      <c r="A782" s="117"/>
      <c r="B782" s="117"/>
      <c r="C782" s="117"/>
    </row>
    <row r="783">
      <c r="A783" s="117"/>
      <c r="B783" s="117"/>
      <c r="C783" s="117"/>
    </row>
    <row r="784">
      <c r="A784" s="117"/>
      <c r="B784" s="117"/>
      <c r="C784" s="117"/>
    </row>
    <row r="785">
      <c r="A785" s="117"/>
      <c r="B785" s="117"/>
      <c r="C785" s="117"/>
    </row>
    <row r="786">
      <c r="A786" s="117"/>
      <c r="B786" s="117"/>
      <c r="C786" s="117"/>
    </row>
    <row r="787">
      <c r="A787" s="117"/>
      <c r="B787" s="117"/>
      <c r="C787" s="117"/>
    </row>
    <row r="788">
      <c r="A788" s="117"/>
      <c r="B788" s="117"/>
      <c r="C788" s="117"/>
    </row>
    <row r="789">
      <c r="A789" s="117"/>
      <c r="B789" s="117"/>
      <c r="C789" s="117"/>
    </row>
    <row r="790">
      <c r="A790" s="117"/>
      <c r="B790" s="117"/>
      <c r="C790" s="117"/>
    </row>
    <row r="791">
      <c r="A791" s="117"/>
      <c r="B791" s="117"/>
      <c r="C791" s="117"/>
    </row>
    <row r="792">
      <c r="A792" s="117"/>
      <c r="B792" s="117"/>
      <c r="C792" s="117"/>
    </row>
    <row r="793">
      <c r="A793" s="117"/>
      <c r="B793" s="117"/>
      <c r="C793" s="117"/>
    </row>
    <row r="794">
      <c r="A794" s="117"/>
      <c r="B794" s="117"/>
      <c r="C794" s="117"/>
    </row>
    <row r="795">
      <c r="A795" s="117"/>
      <c r="B795" s="117"/>
      <c r="C795" s="117"/>
    </row>
    <row r="796">
      <c r="A796" s="117"/>
      <c r="B796" s="117"/>
      <c r="C796" s="117"/>
    </row>
    <row r="797">
      <c r="A797" s="117"/>
      <c r="B797" s="117"/>
      <c r="C797" s="117"/>
    </row>
    <row r="798">
      <c r="A798" s="117"/>
      <c r="B798" s="117"/>
      <c r="C798" s="117"/>
    </row>
    <row r="799">
      <c r="A799" s="117"/>
      <c r="B799" s="117"/>
      <c r="C799" s="117"/>
    </row>
    <row r="800">
      <c r="A800" s="117"/>
      <c r="B800" s="117"/>
      <c r="C800" s="117"/>
    </row>
    <row r="801">
      <c r="A801" s="117"/>
      <c r="B801" s="117"/>
      <c r="C801" s="117"/>
    </row>
    <row r="802">
      <c r="A802" s="117"/>
      <c r="B802" s="117"/>
      <c r="C802" s="117"/>
    </row>
    <row r="803">
      <c r="A803" s="117"/>
      <c r="B803" s="117"/>
      <c r="C803" s="117"/>
    </row>
    <row r="804">
      <c r="A804" s="117"/>
      <c r="B804" s="117"/>
      <c r="C804" s="117"/>
    </row>
    <row r="805">
      <c r="A805" s="117"/>
      <c r="B805" s="117"/>
      <c r="C805" s="117"/>
    </row>
    <row r="806">
      <c r="A806" s="117"/>
      <c r="B806" s="117"/>
      <c r="C806" s="117"/>
    </row>
    <row r="807">
      <c r="A807" s="117"/>
      <c r="B807" s="117"/>
      <c r="C807" s="117"/>
    </row>
    <row r="808">
      <c r="A808" s="117"/>
      <c r="B808" s="117"/>
      <c r="C808" s="117"/>
    </row>
    <row r="809">
      <c r="A809" s="117"/>
      <c r="B809" s="117"/>
      <c r="C809" s="117"/>
    </row>
    <row r="810">
      <c r="A810" s="117"/>
      <c r="B810" s="117"/>
      <c r="C810" s="117"/>
    </row>
    <row r="811">
      <c r="A811" s="117"/>
      <c r="B811" s="117"/>
      <c r="C811" s="117"/>
    </row>
    <row r="812">
      <c r="A812" s="117"/>
      <c r="B812" s="117"/>
      <c r="C812" s="117"/>
    </row>
    <row r="813">
      <c r="A813" s="117"/>
      <c r="B813" s="117"/>
      <c r="C813" s="117"/>
    </row>
    <row r="814">
      <c r="A814" s="117"/>
      <c r="B814" s="117"/>
      <c r="C814" s="117"/>
    </row>
    <row r="815">
      <c r="A815" s="117"/>
      <c r="B815" s="117"/>
      <c r="C815" s="117"/>
    </row>
    <row r="816">
      <c r="A816" s="117"/>
      <c r="B816" s="117"/>
      <c r="C816" s="117"/>
    </row>
    <row r="817">
      <c r="A817" s="117"/>
      <c r="B817" s="117"/>
      <c r="C817" s="117"/>
    </row>
    <row r="818">
      <c r="A818" s="117"/>
      <c r="B818" s="117"/>
      <c r="C818" s="117"/>
    </row>
    <row r="819">
      <c r="A819" s="117"/>
      <c r="B819" s="117"/>
      <c r="C819" s="117"/>
    </row>
    <row r="820">
      <c r="A820" s="117"/>
      <c r="B820" s="117"/>
      <c r="C820" s="117"/>
    </row>
    <row r="821">
      <c r="A821" s="117"/>
      <c r="B821" s="117"/>
      <c r="C821" s="117"/>
    </row>
    <row r="822">
      <c r="A822" s="117"/>
      <c r="B822" s="117"/>
      <c r="C822" s="117"/>
    </row>
    <row r="823">
      <c r="A823" s="117"/>
      <c r="B823" s="117"/>
      <c r="C823" s="117"/>
    </row>
    <row r="824">
      <c r="A824" s="117"/>
      <c r="B824" s="117"/>
      <c r="C824" s="117"/>
    </row>
    <row r="825">
      <c r="A825" s="117"/>
      <c r="B825" s="117"/>
      <c r="C825" s="117"/>
    </row>
    <row r="826">
      <c r="A826" s="117"/>
      <c r="B826" s="117"/>
      <c r="C826" s="117"/>
    </row>
    <row r="827">
      <c r="A827" s="117"/>
      <c r="B827" s="117"/>
      <c r="C827" s="117"/>
    </row>
    <row r="828">
      <c r="A828" s="117"/>
      <c r="B828" s="117"/>
      <c r="C828" s="117"/>
    </row>
    <row r="829">
      <c r="A829" s="117"/>
      <c r="B829" s="117"/>
      <c r="C829" s="117"/>
    </row>
    <row r="830">
      <c r="A830" s="117"/>
      <c r="B830" s="117"/>
      <c r="C830" s="117"/>
    </row>
    <row r="831">
      <c r="A831" s="117"/>
      <c r="B831" s="117"/>
      <c r="C831" s="117"/>
    </row>
    <row r="832">
      <c r="A832" s="117"/>
      <c r="B832" s="117"/>
      <c r="C832" s="117"/>
    </row>
    <row r="833">
      <c r="A833" s="117"/>
      <c r="B833" s="117"/>
      <c r="C833" s="117"/>
    </row>
    <row r="834">
      <c r="A834" s="117"/>
      <c r="B834" s="117"/>
      <c r="C834" s="117"/>
    </row>
    <row r="835">
      <c r="A835" s="117"/>
      <c r="B835" s="117"/>
      <c r="C835" s="117"/>
    </row>
    <row r="836">
      <c r="A836" s="117"/>
      <c r="B836" s="117"/>
      <c r="C836" s="117"/>
    </row>
    <row r="837">
      <c r="A837" s="117"/>
      <c r="B837" s="117"/>
      <c r="C837" s="117"/>
    </row>
    <row r="838">
      <c r="A838" s="117"/>
      <c r="B838" s="117"/>
      <c r="C838" s="117"/>
    </row>
    <row r="839">
      <c r="A839" s="117"/>
      <c r="B839" s="117"/>
      <c r="C839" s="117"/>
    </row>
    <row r="840">
      <c r="A840" s="117"/>
      <c r="B840" s="117"/>
      <c r="C840" s="117"/>
    </row>
    <row r="841">
      <c r="A841" s="117"/>
      <c r="B841" s="117"/>
      <c r="C841" s="117"/>
    </row>
    <row r="842">
      <c r="A842" s="117"/>
      <c r="B842" s="117"/>
      <c r="C842" s="117"/>
    </row>
    <row r="843">
      <c r="A843" s="117"/>
      <c r="B843" s="117"/>
      <c r="C843" s="117"/>
    </row>
    <row r="844">
      <c r="A844" s="117"/>
      <c r="B844" s="117"/>
      <c r="C844" s="117"/>
    </row>
    <row r="845">
      <c r="A845" s="117"/>
      <c r="B845" s="117"/>
      <c r="C845" s="117"/>
    </row>
    <row r="846">
      <c r="A846" s="117"/>
      <c r="B846" s="117"/>
      <c r="C846" s="117"/>
    </row>
    <row r="847">
      <c r="A847" s="117"/>
      <c r="B847" s="117"/>
      <c r="C847" s="117"/>
    </row>
    <row r="848">
      <c r="A848" s="117"/>
      <c r="B848" s="117"/>
      <c r="C848" s="117"/>
    </row>
    <row r="849">
      <c r="A849" s="117"/>
      <c r="B849" s="117"/>
      <c r="C849" s="117"/>
    </row>
    <row r="850">
      <c r="A850" s="117"/>
      <c r="B850" s="117"/>
      <c r="C850" s="117"/>
    </row>
    <row r="851">
      <c r="A851" s="117"/>
      <c r="B851" s="117"/>
      <c r="C851" s="117"/>
    </row>
    <row r="852">
      <c r="A852" s="117"/>
      <c r="B852" s="117"/>
      <c r="C852" s="117"/>
    </row>
    <row r="853">
      <c r="A853" s="117"/>
      <c r="B853" s="117"/>
      <c r="C853" s="117"/>
    </row>
    <row r="854">
      <c r="A854" s="117"/>
      <c r="B854" s="117"/>
      <c r="C854" s="117"/>
    </row>
    <row r="855">
      <c r="A855" s="117"/>
      <c r="B855" s="117"/>
      <c r="C855" s="117"/>
    </row>
    <row r="856">
      <c r="A856" s="117"/>
      <c r="B856" s="117"/>
      <c r="C856" s="117"/>
    </row>
    <row r="857">
      <c r="A857" s="117"/>
      <c r="B857" s="117"/>
      <c r="C857" s="117"/>
    </row>
    <row r="858">
      <c r="A858" s="117"/>
      <c r="B858" s="117"/>
      <c r="C858" s="117"/>
    </row>
    <row r="859">
      <c r="A859" s="117"/>
      <c r="B859" s="117"/>
      <c r="C859" s="117"/>
    </row>
    <row r="860">
      <c r="A860" s="117"/>
      <c r="B860" s="117"/>
      <c r="C860" s="117"/>
    </row>
    <row r="861">
      <c r="A861" s="117"/>
      <c r="B861" s="117"/>
      <c r="C861" s="117"/>
    </row>
    <row r="862">
      <c r="A862" s="117"/>
      <c r="B862" s="117"/>
      <c r="C862" s="117"/>
    </row>
    <row r="863">
      <c r="A863" s="117"/>
      <c r="B863" s="117"/>
      <c r="C863" s="117"/>
    </row>
    <row r="864">
      <c r="A864" s="117"/>
      <c r="B864" s="117"/>
      <c r="C864" s="117"/>
    </row>
    <row r="865">
      <c r="A865" s="117"/>
      <c r="B865" s="117"/>
      <c r="C865" s="117"/>
    </row>
    <row r="866">
      <c r="A866" s="117"/>
      <c r="B866" s="117"/>
      <c r="C866" s="117"/>
    </row>
    <row r="867">
      <c r="A867" s="117"/>
      <c r="B867" s="117"/>
      <c r="C867" s="117"/>
    </row>
    <row r="868">
      <c r="A868" s="117"/>
      <c r="B868" s="117"/>
      <c r="C868" s="117"/>
    </row>
    <row r="869">
      <c r="A869" s="117"/>
      <c r="B869" s="117"/>
      <c r="C869" s="117"/>
    </row>
    <row r="870">
      <c r="A870" s="117"/>
      <c r="B870" s="117"/>
      <c r="C870" s="117"/>
    </row>
    <row r="871">
      <c r="A871" s="117"/>
      <c r="B871" s="117"/>
      <c r="C871" s="117"/>
    </row>
    <row r="872">
      <c r="A872" s="117"/>
      <c r="B872" s="117"/>
      <c r="C872" s="117"/>
    </row>
    <row r="873">
      <c r="A873" s="117"/>
      <c r="B873" s="117"/>
      <c r="C873" s="117"/>
    </row>
    <row r="874">
      <c r="A874" s="117"/>
      <c r="B874" s="117"/>
      <c r="C874" s="117"/>
    </row>
    <row r="875">
      <c r="A875" s="117"/>
      <c r="B875" s="117"/>
      <c r="C875" s="117"/>
    </row>
    <row r="876">
      <c r="A876" s="117"/>
      <c r="B876" s="117"/>
      <c r="C876" s="117"/>
    </row>
    <row r="877">
      <c r="A877" s="117"/>
      <c r="B877" s="117"/>
      <c r="C877" s="117"/>
    </row>
    <row r="878">
      <c r="A878" s="117"/>
      <c r="B878" s="117"/>
      <c r="C878" s="117"/>
    </row>
    <row r="879">
      <c r="A879" s="117"/>
      <c r="B879" s="117"/>
      <c r="C879" s="117"/>
    </row>
    <row r="880">
      <c r="A880" s="117"/>
      <c r="B880" s="117"/>
      <c r="C880" s="117"/>
    </row>
    <row r="881">
      <c r="A881" s="117"/>
      <c r="B881" s="117"/>
      <c r="C881" s="117"/>
    </row>
    <row r="882">
      <c r="A882" s="117"/>
      <c r="B882" s="117"/>
      <c r="C882" s="117"/>
    </row>
    <row r="883">
      <c r="A883" s="117"/>
      <c r="B883" s="117"/>
      <c r="C883" s="117"/>
    </row>
    <row r="884">
      <c r="A884" s="117"/>
      <c r="B884" s="117"/>
      <c r="C884" s="117"/>
    </row>
    <row r="885">
      <c r="A885" s="117"/>
      <c r="B885" s="117"/>
      <c r="C885" s="117"/>
    </row>
    <row r="886">
      <c r="A886" s="117"/>
      <c r="B886" s="117"/>
      <c r="C886" s="117"/>
    </row>
    <row r="887">
      <c r="A887" s="117"/>
      <c r="B887" s="117"/>
      <c r="C887" s="117"/>
    </row>
    <row r="888">
      <c r="A888" s="117"/>
      <c r="B888" s="117"/>
      <c r="C888" s="117"/>
    </row>
    <row r="889">
      <c r="A889" s="117"/>
      <c r="B889" s="117"/>
      <c r="C889" s="117"/>
    </row>
    <row r="890">
      <c r="A890" s="117"/>
      <c r="B890" s="117"/>
      <c r="C890" s="117"/>
    </row>
    <row r="891">
      <c r="A891" s="117"/>
      <c r="B891" s="117"/>
      <c r="C891" s="117"/>
    </row>
    <row r="892">
      <c r="A892" s="117"/>
      <c r="B892" s="117"/>
      <c r="C892" s="117"/>
    </row>
    <row r="893">
      <c r="A893" s="117"/>
      <c r="B893" s="117"/>
      <c r="C893" s="117"/>
    </row>
    <row r="894">
      <c r="A894" s="117"/>
      <c r="B894" s="117"/>
      <c r="C894" s="117"/>
    </row>
    <row r="895">
      <c r="A895" s="117"/>
      <c r="B895" s="117"/>
      <c r="C895" s="117"/>
    </row>
    <row r="896">
      <c r="A896" s="117"/>
      <c r="B896" s="117"/>
      <c r="C896" s="117"/>
    </row>
    <row r="897">
      <c r="A897" s="117"/>
      <c r="B897" s="117"/>
      <c r="C897" s="117"/>
    </row>
    <row r="898">
      <c r="A898" s="117"/>
      <c r="B898" s="117"/>
      <c r="C898" s="117"/>
    </row>
    <row r="899">
      <c r="A899" s="117"/>
      <c r="B899" s="117"/>
      <c r="C899" s="117"/>
    </row>
    <row r="900">
      <c r="A900" s="117"/>
      <c r="B900" s="117"/>
      <c r="C900" s="117"/>
    </row>
    <row r="901">
      <c r="A901" s="117"/>
      <c r="B901" s="117"/>
      <c r="C901" s="117"/>
    </row>
    <row r="902">
      <c r="A902" s="117"/>
      <c r="B902" s="117"/>
      <c r="C902" s="117"/>
    </row>
    <row r="903">
      <c r="A903" s="117"/>
      <c r="B903" s="117"/>
      <c r="C903" s="117"/>
    </row>
    <row r="904">
      <c r="A904" s="117"/>
      <c r="B904" s="117"/>
      <c r="C904" s="117"/>
    </row>
    <row r="905">
      <c r="A905" s="117"/>
      <c r="B905" s="117"/>
      <c r="C905" s="117"/>
    </row>
    <row r="906">
      <c r="A906" s="117"/>
      <c r="B906" s="117"/>
      <c r="C906" s="117"/>
    </row>
    <row r="907">
      <c r="A907" s="117"/>
      <c r="B907" s="117"/>
      <c r="C907" s="117"/>
    </row>
    <row r="908">
      <c r="A908" s="117"/>
      <c r="B908" s="117"/>
      <c r="C908" s="117"/>
    </row>
    <row r="909">
      <c r="A909" s="117"/>
      <c r="B909" s="117"/>
      <c r="C909" s="117"/>
    </row>
    <row r="910">
      <c r="A910" s="117"/>
      <c r="B910" s="117"/>
      <c r="C910" s="117"/>
    </row>
    <row r="911">
      <c r="A911" s="117"/>
      <c r="B911" s="117"/>
      <c r="C911" s="117"/>
    </row>
    <row r="912">
      <c r="A912" s="117"/>
      <c r="B912" s="117"/>
      <c r="C912" s="117"/>
    </row>
    <row r="913">
      <c r="A913" s="117"/>
      <c r="B913" s="117"/>
      <c r="C913" s="117"/>
    </row>
    <row r="914">
      <c r="A914" s="117"/>
      <c r="B914" s="117"/>
      <c r="C914" s="117"/>
    </row>
    <row r="915">
      <c r="A915" s="117"/>
      <c r="B915" s="117"/>
      <c r="C915" s="117"/>
    </row>
    <row r="916">
      <c r="A916" s="117"/>
      <c r="B916" s="117"/>
      <c r="C916" s="117"/>
    </row>
    <row r="917">
      <c r="A917" s="117"/>
      <c r="B917" s="117"/>
      <c r="C917" s="117"/>
    </row>
    <row r="918">
      <c r="A918" s="117"/>
      <c r="B918" s="117"/>
      <c r="C918" s="117"/>
    </row>
    <row r="919">
      <c r="A919" s="117"/>
      <c r="B919" s="117"/>
      <c r="C919" s="117"/>
    </row>
    <row r="920">
      <c r="A920" s="117"/>
      <c r="B920" s="117"/>
      <c r="C920" s="117"/>
    </row>
    <row r="921">
      <c r="A921" s="117"/>
      <c r="B921" s="117"/>
      <c r="C921" s="117"/>
    </row>
    <row r="922">
      <c r="A922" s="117"/>
      <c r="B922" s="117"/>
      <c r="C922" s="117"/>
    </row>
    <row r="923">
      <c r="A923" s="117"/>
      <c r="B923" s="117"/>
      <c r="C923" s="117"/>
    </row>
    <row r="924">
      <c r="A924" s="117"/>
      <c r="B924" s="117"/>
      <c r="C924" s="117"/>
    </row>
    <row r="925">
      <c r="A925" s="117"/>
      <c r="B925" s="117"/>
      <c r="C925" s="117"/>
    </row>
    <row r="926">
      <c r="A926" s="117"/>
      <c r="B926" s="117"/>
      <c r="C926" s="117"/>
    </row>
    <row r="927">
      <c r="A927" s="117"/>
      <c r="B927" s="117"/>
      <c r="C927" s="117"/>
    </row>
    <row r="928">
      <c r="A928" s="117"/>
      <c r="B928" s="117"/>
      <c r="C928" s="117"/>
    </row>
    <row r="929">
      <c r="A929" s="117"/>
      <c r="B929" s="117"/>
      <c r="C929" s="117"/>
    </row>
    <row r="930">
      <c r="A930" s="117"/>
      <c r="B930" s="117"/>
      <c r="C930" s="117"/>
    </row>
    <row r="931">
      <c r="A931" s="117"/>
      <c r="B931" s="117"/>
      <c r="C931" s="117"/>
    </row>
    <row r="932">
      <c r="A932" s="117"/>
      <c r="B932" s="117"/>
      <c r="C932" s="117"/>
    </row>
    <row r="933">
      <c r="A933" s="117"/>
      <c r="B933" s="117"/>
      <c r="C933" s="117"/>
    </row>
    <row r="934">
      <c r="A934" s="117"/>
      <c r="B934" s="117"/>
      <c r="C934" s="117"/>
    </row>
    <row r="935">
      <c r="A935" s="117"/>
      <c r="B935" s="117"/>
      <c r="C935" s="117"/>
    </row>
    <row r="936">
      <c r="A936" s="117"/>
      <c r="B936" s="117"/>
      <c r="C936" s="117"/>
    </row>
    <row r="937">
      <c r="A937" s="117"/>
      <c r="B937" s="117"/>
      <c r="C937" s="117"/>
    </row>
    <row r="938">
      <c r="A938" s="117"/>
      <c r="B938" s="117"/>
      <c r="C938" s="117"/>
    </row>
    <row r="939">
      <c r="A939" s="117"/>
      <c r="B939" s="117"/>
      <c r="C939" s="117"/>
    </row>
    <row r="940">
      <c r="A940" s="117"/>
      <c r="B940" s="117"/>
      <c r="C940" s="117"/>
    </row>
    <row r="941">
      <c r="A941" s="117"/>
      <c r="B941" s="117"/>
      <c r="C941" s="117"/>
    </row>
    <row r="942">
      <c r="A942" s="117"/>
      <c r="B942" s="117"/>
      <c r="C942" s="117"/>
    </row>
    <row r="943">
      <c r="A943" s="117"/>
      <c r="B943" s="117"/>
      <c r="C943" s="117"/>
    </row>
    <row r="944">
      <c r="A944" s="117"/>
      <c r="B944" s="117"/>
      <c r="C944" s="117"/>
    </row>
    <row r="945">
      <c r="A945" s="117"/>
      <c r="B945" s="117"/>
      <c r="C945" s="117"/>
    </row>
    <row r="946">
      <c r="A946" s="117"/>
      <c r="B946" s="117"/>
      <c r="C946" s="117"/>
    </row>
    <row r="947">
      <c r="A947" s="117"/>
      <c r="B947" s="117"/>
      <c r="C947" s="117"/>
    </row>
    <row r="948">
      <c r="A948" s="117"/>
      <c r="B948" s="117"/>
      <c r="C948" s="117"/>
    </row>
    <row r="949">
      <c r="A949" s="117"/>
      <c r="B949" s="117"/>
      <c r="C949" s="117"/>
    </row>
    <row r="950">
      <c r="A950" s="117"/>
      <c r="B950" s="117"/>
      <c r="C950" s="117"/>
    </row>
    <row r="951">
      <c r="A951" s="117"/>
      <c r="B951" s="117"/>
      <c r="C951" s="117"/>
    </row>
    <row r="952">
      <c r="A952" s="117"/>
      <c r="B952" s="117"/>
      <c r="C952" s="117"/>
    </row>
    <row r="953">
      <c r="A953" s="117"/>
      <c r="B953" s="117"/>
      <c r="C953" s="117"/>
    </row>
    <row r="954">
      <c r="A954" s="117"/>
      <c r="B954" s="117"/>
      <c r="C954" s="117"/>
    </row>
    <row r="955">
      <c r="A955" s="117"/>
      <c r="B955" s="117"/>
      <c r="C955" s="117"/>
    </row>
    <row r="956">
      <c r="A956" s="117"/>
      <c r="B956" s="117"/>
      <c r="C956" s="117"/>
    </row>
    <row r="957">
      <c r="A957" s="117"/>
      <c r="B957" s="117"/>
      <c r="C957" s="117"/>
    </row>
    <row r="958">
      <c r="A958" s="117"/>
      <c r="B958" s="117"/>
      <c r="C958" s="117"/>
    </row>
    <row r="959">
      <c r="A959" s="117"/>
      <c r="B959" s="117"/>
      <c r="C959" s="117"/>
    </row>
    <row r="960">
      <c r="A960" s="117"/>
      <c r="B960" s="117"/>
      <c r="C960" s="117"/>
    </row>
    <row r="961">
      <c r="A961" s="117"/>
      <c r="B961" s="117"/>
      <c r="C961" s="117"/>
    </row>
    <row r="962">
      <c r="A962" s="117"/>
      <c r="B962" s="117"/>
      <c r="C962" s="117"/>
    </row>
    <row r="963">
      <c r="A963" s="117"/>
      <c r="B963" s="117"/>
      <c r="C963" s="117"/>
    </row>
    <row r="964">
      <c r="A964" s="117"/>
      <c r="B964" s="117"/>
      <c r="C964" s="117"/>
    </row>
    <row r="965">
      <c r="A965" s="117"/>
      <c r="B965" s="117"/>
      <c r="C965" s="117"/>
    </row>
    <row r="966">
      <c r="A966" s="117"/>
      <c r="B966" s="117"/>
      <c r="C966" s="117"/>
    </row>
    <row r="967">
      <c r="A967" s="117"/>
      <c r="B967" s="117"/>
      <c r="C967" s="117"/>
    </row>
    <row r="968">
      <c r="A968" s="117"/>
      <c r="B968" s="117"/>
      <c r="C968" s="117"/>
    </row>
    <row r="969">
      <c r="A969" s="117"/>
      <c r="B969" s="117"/>
      <c r="C969" s="117"/>
    </row>
    <row r="970">
      <c r="A970" s="117"/>
      <c r="B970" s="117"/>
      <c r="C970" s="117"/>
    </row>
    <row r="971">
      <c r="A971" s="117"/>
      <c r="B971" s="117"/>
      <c r="C971" s="117"/>
    </row>
    <row r="972">
      <c r="A972" s="117"/>
      <c r="B972" s="117"/>
      <c r="C972" s="117"/>
    </row>
    <row r="973">
      <c r="A973" s="117"/>
      <c r="B973" s="117"/>
      <c r="C973" s="117"/>
    </row>
    <row r="974">
      <c r="A974" s="117"/>
      <c r="B974" s="117"/>
      <c r="C974" s="117"/>
    </row>
    <row r="975">
      <c r="A975" s="117"/>
      <c r="B975" s="117"/>
      <c r="C975" s="117"/>
    </row>
    <row r="976">
      <c r="A976" s="117"/>
      <c r="B976" s="117"/>
      <c r="C976" s="117"/>
    </row>
    <row r="977">
      <c r="A977" s="117"/>
      <c r="B977" s="117"/>
      <c r="C977" s="117"/>
    </row>
    <row r="978">
      <c r="A978" s="117"/>
      <c r="B978" s="117"/>
      <c r="C978" s="117"/>
    </row>
    <row r="979">
      <c r="A979" s="117"/>
      <c r="B979" s="117"/>
      <c r="C979" s="117"/>
    </row>
    <row r="980">
      <c r="A980" s="117"/>
      <c r="B980" s="117"/>
      <c r="C980" s="117"/>
    </row>
    <row r="981">
      <c r="A981" s="117"/>
      <c r="B981" s="117"/>
      <c r="C981" s="117"/>
    </row>
    <row r="982">
      <c r="A982" s="117"/>
      <c r="B982" s="117"/>
      <c r="C982" s="117"/>
    </row>
    <row r="983">
      <c r="A983" s="117"/>
      <c r="B983" s="117"/>
      <c r="C983" s="117"/>
    </row>
    <row r="984">
      <c r="A984" s="117"/>
      <c r="B984" s="117"/>
      <c r="C984" s="117"/>
    </row>
    <row r="985">
      <c r="A985" s="117"/>
      <c r="B985" s="117"/>
      <c r="C985" s="117"/>
    </row>
    <row r="986">
      <c r="A986" s="117"/>
      <c r="B986" s="117"/>
      <c r="C986" s="117"/>
    </row>
    <row r="987">
      <c r="A987" s="117"/>
      <c r="B987" s="117"/>
      <c r="C987" s="117"/>
    </row>
    <row r="988">
      <c r="A988" s="117"/>
      <c r="B988" s="117"/>
      <c r="C988" s="117"/>
    </row>
    <row r="989">
      <c r="A989" s="117"/>
      <c r="B989" s="117"/>
      <c r="C989" s="117"/>
    </row>
    <row r="990">
      <c r="A990" s="117"/>
      <c r="B990" s="117"/>
      <c r="C990" s="117"/>
    </row>
    <row r="991">
      <c r="A991" s="117"/>
      <c r="B991" s="117"/>
      <c r="C991" s="117"/>
    </row>
    <row r="992">
      <c r="A992" s="117"/>
      <c r="B992" s="117"/>
      <c r="C992" s="117"/>
    </row>
    <row r="993">
      <c r="A993" s="117"/>
      <c r="B993" s="117"/>
      <c r="C993" s="117"/>
    </row>
    <row r="994">
      <c r="A994" s="117"/>
      <c r="B994" s="117"/>
      <c r="C994" s="117"/>
    </row>
    <row r="995">
      <c r="A995" s="117"/>
      <c r="B995" s="117"/>
      <c r="C995" s="117"/>
    </row>
    <row r="996">
      <c r="A996" s="117"/>
      <c r="B996" s="117"/>
      <c r="C996" s="117"/>
    </row>
    <row r="997">
      <c r="A997" s="117"/>
      <c r="B997" s="117"/>
      <c r="C997" s="117"/>
    </row>
    <row r="998">
      <c r="A998" s="117"/>
      <c r="B998" s="117"/>
      <c r="C998" s="117"/>
    </row>
    <row r="999">
      <c r="A999" s="117"/>
      <c r="B999" s="117"/>
      <c r="C999" s="117"/>
    </row>
    <row r="1000">
      <c r="A1000" s="117"/>
      <c r="B1000" s="117"/>
      <c r="C1000" s="117"/>
    </row>
    <row r="1001">
      <c r="A1001" s="117"/>
      <c r="B1001" s="117"/>
      <c r="C1001" s="117"/>
    </row>
    <row r="1002">
      <c r="A1002" s="117"/>
      <c r="B1002" s="117"/>
      <c r="C1002" s="117"/>
    </row>
    <row r="1003">
      <c r="A1003" s="117"/>
      <c r="B1003" s="117"/>
      <c r="C1003" s="117"/>
    </row>
    <row r="1004">
      <c r="A1004" s="117"/>
      <c r="B1004" s="117"/>
      <c r="C1004" s="117"/>
    </row>
    <row r="1005">
      <c r="A1005" s="117"/>
      <c r="B1005" s="117"/>
      <c r="C1005" s="117"/>
    </row>
    <row r="1006">
      <c r="A1006" s="117"/>
      <c r="B1006" s="117"/>
      <c r="C1006" s="117"/>
    </row>
    <row r="1007">
      <c r="A1007" s="117"/>
      <c r="B1007" s="117"/>
      <c r="C1007" s="11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B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88"/>
    <col customWidth="1" min="2" max="2" width="40.13"/>
    <col customWidth="1" min="3" max="3" width="42.63"/>
    <col customWidth="1" min="4" max="4" width="52.63"/>
  </cols>
  <sheetData>
    <row r="1" ht="34.5" customHeight="1">
      <c r="A1" s="57" t="s">
        <v>378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81" t="s">
        <v>382</v>
      </c>
      <c r="B3" s="81" t="s">
        <v>383</v>
      </c>
      <c r="C3" s="81" t="s">
        <v>384</v>
      </c>
      <c r="D3" s="81" t="s">
        <v>386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4" t="s">
        <v>387</v>
      </c>
      <c r="B4" s="205" t="s">
        <v>388</v>
      </c>
      <c r="C4" s="205" t="s">
        <v>389</v>
      </c>
      <c r="D4" s="205" t="s">
        <v>390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06" t="s">
        <v>387</v>
      </c>
      <c r="B5" s="207" t="s">
        <v>392</v>
      </c>
      <c r="C5" s="207" t="s">
        <v>393</v>
      </c>
      <c r="D5" s="207" t="s">
        <v>390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4" t="s">
        <v>387</v>
      </c>
      <c r="B6" s="205" t="s">
        <v>394</v>
      </c>
      <c r="C6" s="205" t="s">
        <v>395</v>
      </c>
      <c r="D6" s="205" t="s">
        <v>390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06" t="s">
        <v>387</v>
      </c>
      <c r="B7" s="207" t="s">
        <v>396</v>
      </c>
      <c r="C7" s="207" t="s">
        <v>397</v>
      </c>
      <c r="D7" s="207" t="s">
        <v>398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4" t="s">
        <v>387</v>
      </c>
      <c r="B8" s="205" t="s">
        <v>399</v>
      </c>
      <c r="C8" s="205" t="s">
        <v>400</v>
      </c>
      <c r="D8" s="205" t="s">
        <v>398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6" t="s">
        <v>387</v>
      </c>
      <c r="B9" s="207" t="s">
        <v>401</v>
      </c>
      <c r="C9" s="207" t="s">
        <v>402</v>
      </c>
      <c r="D9" s="207" t="s">
        <v>398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4" t="s">
        <v>387</v>
      </c>
      <c r="B10" s="205" t="s">
        <v>403</v>
      </c>
      <c r="C10" s="205" t="s">
        <v>404</v>
      </c>
      <c r="D10" s="205" t="s">
        <v>398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6" t="s">
        <v>387</v>
      </c>
      <c r="B11" s="207" t="s">
        <v>405</v>
      </c>
      <c r="C11" s="207" t="s">
        <v>406</v>
      </c>
      <c r="D11" s="207" t="s">
        <v>398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4" t="s">
        <v>387</v>
      </c>
      <c r="B12" s="205" t="s">
        <v>403</v>
      </c>
      <c r="C12" s="205" t="s">
        <v>407</v>
      </c>
      <c r="D12" s="205" t="s">
        <v>398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6" t="s">
        <v>387</v>
      </c>
      <c r="B13" s="207" t="s">
        <v>409</v>
      </c>
      <c r="C13" s="207" t="s">
        <v>410</v>
      </c>
      <c r="D13" s="207" t="s">
        <v>398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4" t="s">
        <v>387</v>
      </c>
      <c r="B14" s="205" t="s">
        <v>409</v>
      </c>
      <c r="C14" s="205" t="s">
        <v>411</v>
      </c>
      <c r="D14" s="205" t="s">
        <v>398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6" t="s">
        <v>387</v>
      </c>
      <c r="B15" s="207" t="s">
        <v>412</v>
      </c>
      <c r="C15" s="207" t="s">
        <v>413</v>
      </c>
      <c r="D15" s="207" t="s">
        <v>398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4" t="s">
        <v>387</v>
      </c>
      <c r="B16" s="205" t="s">
        <v>414</v>
      </c>
      <c r="C16" s="205" t="s">
        <v>415</v>
      </c>
      <c r="D16" s="205" t="s">
        <v>398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6" t="s">
        <v>387</v>
      </c>
      <c r="B17" s="207" t="s">
        <v>412</v>
      </c>
      <c r="C17" s="207" t="s">
        <v>416</v>
      </c>
      <c r="D17" s="207" t="s">
        <v>398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4" t="s">
        <v>387</v>
      </c>
      <c r="B18" s="205" t="s">
        <v>414</v>
      </c>
      <c r="C18" s="205" t="s">
        <v>417</v>
      </c>
      <c r="D18" s="205" t="s">
        <v>398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6" t="s">
        <v>387</v>
      </c>
      <c r="B19" s="207" t="s">
        <v>418</v>
      </c>
      <c r="C19" s="207" t="s">
        <v>419</v>
      </c>
      <c r="D19" s="207" t="s">
        <v>398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4" t="s">
        <v>387</v>
      </c>
      <c r="B20" s="205" t="s">
        <v>418</v>
      </c>
      <c r="C20" s="205" t="s">
        <v>421</v>
      </c>
      <c r="D20" s="205" t="s">
        <v>398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6" t="s">
        <v>387</v>
      </c>
      <c r="B21" s="207" t="s">
        <v>418</v>
      </c>
      <c r="C21" s="207" t="s">
        <v>422</v>
      </c>
      <c r="D21" s="207" t="s">
        <v>398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4" t="s">
        <v>387</v>
      </c>
      <c r="B22" s="205" t="s">
        <v>412</v>
      </c>
      <c r="C22" s="205" t="s">
        <v>423</v>
      </c>
      <c r="D22" s="205" t="s">
        <v>398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6" t="s">
        <v>387</v>
      </c>
      <c r="B23" s="207" t="s">
        <v>412</v>
      </c>
      <c r="C23" s="207" t="s">
        <v>424</v>
      </c>
      <c r="D23" s="207" t="s">
        <v>398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4" t="s">
        <v>387</v>
      </c>
      <c r="B24" s="205" t="s">
        <v>412</v>
      </c>
      <c r="C24" s="205" t="s">
        <v>425</v>
      </c>
      <c r="D24" s="205" t="s">
        <v>398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6" t="s">
        <v>387</v>
      </c>
      <c r="B25" s="207" t="s">
        <v>412</v>
      </c>
      <c r="C25" s="207" t="s">
        <v>426</v>
      </c>
      <c r="D25" s="207" t="s">
        <v>398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4" t="s">
        <v>387</v>
      </c>
      <c r="B26" s="205" t="s">
        <v>414</v>
      </c>
      <c r="C26" s="205" t="s">
        <v>428</v>
      </c>
      <c r="D26" s="205" t="s">
        <v>398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06" t="s">
        <v>387</v>
      </c>
      <c r="B27" s="207" t="s">
        <v>412</v>
      </c>
      <c r="C27" s="207" t="s">
        <v>430</v>
      </c>
      <c r="D27" s="207" t="s">
        <v>398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4" t="s">
        <v>387</v>
      </c>
      <c r="B28" s="205" t="s">
        <v>412</v>
      </c>
      <c r="C28" s="205" t="s">
        <v>431</v>
      </c>
      <c r="D28" s="205" t="s">
        <v>398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81" t="s">
        <v>43</v>
      </c>
      <c r="B1" s="81" t="s">
        <v>132</v>
      </c>
      <c r="C1" s="81" t="s">
        <v>225</v>
      </c>
      <c r="D1" s="208" t="s">
        <v>133</v>
      </c>
      <c r="E1" s="208" t="s">
        <v>439</v>
      </c>
      <c r="F1" s="81" t="s">
        <v>134</v>
      </c>
      <c r="G1" s="208" t="s">
        <v>440</v>
      </c>
      <c r="H1" s="81" t="s">
        <v>442</v>
      </c>
      <c r="I1" s="81" t="s">
        <v>443</v>
      </c>
      <c r="J1" s="81" t="s">
        <v>444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8">
        <v>383.0</v>
      </c>
      <c r="B2" s="88" t="s">
        <v>198</v>
      </c>
      <c r="C2" s="209" t="s">
        <v>445</v>
      </c>
      <c r="D2" s="210">
        <v>46315.0</v>
      </c>
      <c r="E2" s="210">
        <v>46318.0</v>
      </c>
      <c r="F2" s="88" t="s">
        <v>446</v>
      </c>
      <c r="G2" s="2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8">
        <v>395.0</v>
      </c>
      <c r="B3" s="88" t="s">
        <v>201</v>
      </c>
      <c r="C3" s="209" t="s">
        <v>447</v>
      </c>
      <c r="D3" s="210">
        <v>46317.0</v>
      </c>
      <c r="E3" s="210">
        <v>46320.0</v>
      </c>
      <c r="F3" s="88" t="s">
        <v>446</v>
      </c>
      <c r="G3" s="2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8">
        <v>403.0</v>
      </c>
      <c r="B4" s="88" t="s">
        <v>202</v>
      </c>
      <c r="C4" s="209" t="s">
        <v>448</v>
      </c>
      <c r="D4" s="210">
        <v>46318.0</v>
      </c>
      <c r="E4" s="210">
        <v>46321.0</v>
      </c>
      <c r="F4" s="88" t="s">
        <v>446</v>
      </c>
      <c r="G4" s="2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8">
        <v>397.0</v>
      </c>
      <c r="B5" s="88" t="s">
        <v>204</v>
      </c>
      <c r="C5" s="209" t="s">
        <v>449</v>
      </c>
      <c r="D5" s="210">
        <v>46319.0</v>
      </c>
      <c r="E5" s="210">
        <v>46322.0</v>
      </c>
      <c r="F5" s="88" t="s">
        <v>446</v>
      </c>
      <c r="G5" s="2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8">
        <v>404.0</v>
      </c>
      <c r="B6" s="88" t="s">
        <v>203</v>
      </c>
      <c r="C6" s="209" t="s">
        <v>450</v>
      </c>
      <c r="D6" s="210">
        <v>46319.0</v>
      </c>
      <c r="E6" s="210">
        <v>46322.0</v>
      </c>
      <c r="F6" s="88" t="s">
        <v>446</v>
      </c>
      <c r="G6" s="2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11"/>
      <c r="E7" s="211"/>
      <c r="F7" s="2"/>
      <c r="G7" s="2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11"/>
      <c r="E8" s="211"/>
      <c r="F8" s="2"/>
      <c r="G8" s="2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11"/>
      <c r="E9" s="211"/>
      <c r="F9" s="2"/>
      <c r="G9" s="2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11"/>
      <c r="E10" s="211"/>
      <c r="F10" s="2"/>
      <c r="G10" s="2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11"/>
      <c r="E11" s="211"/>
      <c r="F11" s="2"/>
      <c r="G11" s="2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11"/>
      <c r="E12" s="211"/>
      <c r="F12" s="2"/>
      <c r="G12" s="2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11"/>
      <c r="E13" s="211"/>
      <c r="F13" s="2"/>
      <c r="G13" s="2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11"/>
      <c r="E14" s="211"/>
      <c r="F14" s="2"/>
      <c r="G14" s="2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11"/>
      <c r="E15" s="211"/>
      <c r="F15" s="2"/>
      <c r="G15" s="2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11"/>
      <c r="E16" s="211"/>
      <c r="F16" s="2"/>
      <c r="G16" s="2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11"/>
      <c r="E17" s="211"/>
      <c r="F17" s="2"/>
      <c r="G17" s="2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11"/>
      <c r="E18" s="211"/>
      <c r="F18" s="2"/>
      <c r="G18" s="2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11"/>
      <c r="E19" s="211"/>
      <c r="F19" s="2"/>
      <c r="G19" s="2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11"/>
      <c r="E20" s="211"/>
      <c r="F20" s="2"/>
      <c r="G20" s="2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11"/>
      <c r="E21" s="211"/>
      <c r="F21" s="2"/>
      <c r="G21" s="2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11"/>
      <c r="E22" s="211"/>
      <c r="F22" s="2"/>
      <c r="G22" s="2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11"/>
      <c r="E23" s="211"/>
      <c r="F23" s="2"/>
      <c r="G23" s="2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11"/>
      <c r="E24" s="211"/>
      <c r="F24" s="2"/>
      <c r="G24" s="2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11"/>
      <c r="E25" s="211"/>
      <c r="F25" s="2"/>
      <c r="G25" s="2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11"/>
      <c r="E26" s="211"/>
      <c r="F26" s="2"/>
      <c r="G26" s="2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11"/>
      <c r="E27" s="211"/>
      <c r="F27" s="2"/>
      <c r="G27" s="2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11"/>
      <c r="E28" s="211"/>
      <c r="F28" s="2"/>
      <c r="G28" s="2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11"/>
      <c r="E29" s="211"/>
      <c r="F29" s="2"/>
      <c r="G29" s="2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11"/>
      <c r="E30" s="211"/>
      <c r="F30" s="2"/>
      <c r="G30" s="2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11"/>
      <c r="E31" s="211"/>
      <c r="F31" s="2"/>
      <c r="G31" s="2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11"/>
      <c r="E32" s="211"/>
      <c r="F32" s="2"/>
      <c r="G32" s="2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11"/>
      <c r="E33" s="211"/>
      <c r="F33" s="2"/>
      <c r="G33" s="2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11"/>
      <c r="E34" s="211"/>
      <c r="F34" s="2"/>
      <c r="G34" s="2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11"/>
      <c r="E35" s="211"/>
      <c r="F35" s="2"/>
      <c r="G35" s="2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11"/>
      <c r="E36" s="211"/>
      <c r="F36" s="2"/>
      <c r="G36" s="2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11"/>
      <c r="E37" s="211"/>
      <c r="F37" s="2"/>
      <c r="G37" s="2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11"/>
      <c r="E38" s="211"/>
      <c r="F38" s="2"/>
      <c r="G38" s="2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11"/>
      <c r="E39" s="211"/>
      <c r="F39" s="2"/>
      <c r="G39" s="2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11"/>
      <c r="E40" s="211"/>
      <c r="F40" s="2"/>
      <c r="G40" s="2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11"/>
      <c r="E41" s="211"/>
      <c r="F41" s="2"/>
      <c r="G41" s="2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11"/>
      <c r="E42" s="211"/>
      <c r="F42" s="2"/>
      <c r="G42" s="2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11"/>
      <c r="E43" s="211"/>
      <c r="F43" s="2"/>
      <c r="G43" s="2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11"/>
      <c r="E44" s="211"/>
      <c r="F44" s="2"/>
      <c r="G44" s="2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11"/>
      <c r="E45" s="211"/>
      <c r="F45" s="2"/>
      <c r="G45" s="2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11"/>
      <c r="E46" s="211"/>
      <c r="F46" s="2"/>
      <c r="G46" s="2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11"/>
      <c r="E47" s="211"/>
      <c r="F47" s="2"/>
      <c r="G47" s="2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11"/>
      <c r="E48" s="211"/>
      <c r="F48" s="2"/>
      <c r="G48" s="2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11"/>
      <c r="E49" s="211"/>
      <c r="F49" s="2"/>
      <c r="G49" s="2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11"/>
      <c r="E50" s="211"/>
      <c r="F50" s="2"/>
      <c r="G50" s="2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11"/>
      <c r="E51" s="211"/>
      <c r="F51" s="2"/>
      <c r="G51" s="2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11"/>
      <c r="E52" s="211"/>
      <c r="F52" s="2"/>
      <c r="G52" s="2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11"/>
      <c r="E53" s="211"/>
      <c r="F53" s="2"/>
      <c r="G53" s="2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11"/>
      <c r="E54" s="211"/>
      <c r="F54" s="2"/>
      <c r="G54" s="2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11"/>
      <c r="E55" s="211"/>
      <c r="F55" s="2"/>
      <c r="G55" s="2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11"/>
      <c r="E56" s="211"/>
      <c r="F56" s="2"/>
      <c r="G56" s="2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11"/>
      <c r="E57" s="211"/>
      <c r="F57" s="2"/>
      <c r="G57" s="2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11"/>
      <c r="E58" s="211"/>
      <c r="F58" s="2"/>
      <c r="G58" s="2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11"/>
      <c r="E59" s="211"/>
      <c r="F59" s="2"/>
      <c r="G59" s="2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11"/>
      <c r="E60" s="211"/>
      <c r="F60" s="2"/>
      <c r="G60" s="2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11"/>
      <c r="E61" s="211"/>
      <c r="F61" s="2"/>
      <c r="G61" s="2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11"/>
      <c r="E62" s="211"/>
      <c r="F62" s="2"/>
      <c r="G62" s="2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11"/>
      <c r="E63" s="211"/>
      <c r="F63" s="2"/>
      <c r="G63" s="2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11"/>
      <c r="E64" s="211"/>
      <c r="F64" s="2"/>
      <c r="G64" s="2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11"/>
      <c r="E65" s="211"/>
      <c r="F65" s="2"/>
      <c r="G65" s="2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11"/>
      <c r="E66" s="211"/>
      <c r="F66" s="2"/>
      <c r="G66" s="2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11"/>
      <c r="E67" s="211"/>
      <c r="F67" s="2"/>
      <c r="G67" s="2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11"/>
      <c r="E68" s="211"/>
      <c r="F68" s="2"/>
      <c r="G68" s="2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11"/>
      <c r="E69" s="211"/>
      <c r="F69" s="2"/>
      <c r="G69" s="2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11"/>
      <c r="E70" s="211"/>
      <c r="F70" s="2"/>
      <c r="G70" s="2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11"/>
      <c r="E71" s="211"/>
      <c r="F71" s="2"/>
      <c r="G71" s="2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11"/>
      <c r="E72" s="211"/>
      <c r="F72" s="2"/>
      <c r="G72" s="2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11"/>
      <c r="E73" s="211"/>
      <c r="F73" s="2"/>
      <c r="G73" s="2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11"/>
      <c r="E74" s="211"/>
      <c r="F74" s="2"/>
      <c r="G74" s="2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11"/>
      <c r="E75" s="211"/>
      <c r="F75" s="2"/>
      <c r="G75" s="2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11"/>
      <c r="E76" s="211"/>
      <c r="F76" s="2"/>
      <c r="G76" s="2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11"/>
      <c r="E77" s="211"/>
      <c r="F77" s="2"/>
      <c r="G77" s="2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11"/>
      <c r="E78" s="211"/>
      <c r="F78" s="2"/>
      <c r="G78" s="2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11"/>
      <c r="E79" s="211"/>
      <c r="F79" s="2"/>
      <c r="G79" s="2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11"/>
      <c r="E80" s="211"/>
      <c r="F80" s="2"/>
      <c r="G80" s="2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11"/>
      <c r="E81" s="211"/>
      <c r="F81" s="2"/>
      <c r="G81" s="2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11"/>
      <c r="E82" s="211"/>
      <c r="F82" s="2"/>
      <c r="G82" s="2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11"/>
      <c r="E83" s="211"/>
      <c r="F83" s="2"/>
      <c r="G83" s="2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11"/>
      <c r="E84" s="211"/>
      <c r="F84" s="2"/>
      <c r="G84" s="2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11"/>
      <c r="E85" s="211"/>
      <c r="F85" s="2"/>
      <c r="G85" s="2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11"/>
      <c r="E86" s="211"/>
      <c r="F86" s="2"/>
      <c r="G86" s="2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11"/>
      <c r="E87" s="211"/>
      <c r="F87" s="2"/>
      <c r="G87" s="2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11"/>
      <c r="E88" s="211"/>
      <c r="F88" s="2"/>
      <c r="G88" s="2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11"/>
      <c r="E89" s="211"/>
      <c r="F89" s="2"/>
      <c r="G89" s="2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11"/>
      <c r="E90" s="211"/>
      <c r="F90" s="2"/>
      <c r="G90" s="2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11"/>
      <c r="E91" s="211"/>
      <c r="F91" s="2"/>
      <c r="G91" s="2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11"/>
      <c r="E92" s="211"/>
      <c r="F92" s="2"/>
      <c r="G92" s="2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11"/>
      <c r="E93" s="211"/>
      <c r="F93" s="2"/>
      <c r="G93" s="2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11"/>
      <c r="E94" s="211"/>
      <c r="F94" s="2"/>
      <c r="G94" s="2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11"/>
      <c r="E95" s="211"/>
      <c r="F95" s="2"/>
      <c r="G95" s="2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11"/>
      <c r="E96" s="211"/>
      <c r="F96" s="2"/>
      <c r="G96" s="2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11"/>
      <c r="E97" s="211"/>
      <c r="F97" s="2"/>
      <c r="G97" s="2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11"/>
      <c r="E98" s="211"/>
      <c r="F98" s="2"/>
      <c r="G98" s="2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11"/>
      <c r="E99" s="211"/>
      <c r="F99" s="2"/>
      <c r="G99" s="2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11"/>
      <c r="E100" s="211"/>
      <c r="F100" s="2"/>
      <c r="G100" s="2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11"/>
      <c r="E101" s="211"/>
      <c r="F101" s="2"/>
      <c r="G101" s="2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11"/>
      <c r="E102" s="211"/>
      <c r="F102" s="2"/>
      <c r="G102" s="2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11"/>
      <c r="E103" s="211"/>
      <c r="F103" s="2"/>
      <c r="G103" s="2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11"/>
      <c r="E104" s="211"/>
      <c r="F104" s="2"/>
      <c r="G104" s="2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11"/>
      <c r="E105" s="211"/>
      <c r="F105" s="2"/>
      <c r="G105" s="2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11"/>
      <c r="E106" s="211"/>
      <c r="F106" s="2"/>
      <c r="G106" s="2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11"/>
      <c r="E107" s="211"/>
      <c r="F107" s="2"/>
      <c r="G107" s="2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11"/>
      <c r="E108" s="211"/>
      <c r="F108" s="2"/>
      <c r="G108" s="2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11"/>
      <c r="E109" s="211"/>
      <c r="F109" s="2"/>
      <c r="G109" s="2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11"/>
      <c r="E110" s="211"/>
      <c r="F110" s="2"/>
      <c r="G110" s="2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11"/>
      <c r="E111" s="211"/>
      <c r="F111" s="2"/>
      <c r="G111" s="2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11"/>
      <c r="E112" s="211"/>
      <c r="F112" s="2"/>
      <c r="G112" s="2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11"/>
      <c r="E113" s="211"/>
      <c r="F113" s="2"/>
      <c r="G113" s="2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11"/>
      <c r="E114" s="211"/>
      <c r="F114" s="2"/>
      <c r="G114" s="2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11"/>
      <c r="E115" s="211"/>
      <c r="F115" s="2"/>
      <c r="G115" s="2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11"/>
      <c r="E116" s="211"/>
      <c r="F116" s="2"/>
      <c r="G116" s="2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11"/>
      <c r="E117" s="211"/>
      <c r="F117" s="2"/>
      <c r="G117" s="2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11"/>
      <c r="E118" s="211"/>
      <c r="F118" s="2"/>
      <c r="G118" s="2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11"/>
      <c r="E119" s="211"/>
      <c r="F119" s="2"/>
      <c r="G119" s="2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11"/>
      <c r="E120" s="211"/>
      <c r="F120" s="2"/>
      <c r="G120" s="2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11"/>
      <c r="E121" s="211"/>
      <c r="F121" s="2"/>
      <c r="G121" s="2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11"/>
      <c r="E122" s="211"/>
      <c r="F122" s="2"/>
      <c r="G122" s="2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11"/>
      <c r="E123" s="211"/>
      <c r="F123" s="2"/>
      <c r="G123" s="2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11"/>
      <c r="E124" s="211"/>
      <c r="F124" s="2"/>
      <c r="G124" s="2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11"/>
      <c r="E125" s="211"/>
      <c r="F125" s="2"/>
      <c r="G125" s="2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11"/>
      <c r="E126" s="211"/>
      <c r="F126" s="2"/>
      <c r="G126" s="2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11"/>
      <c r="E127" s="211"/>
      <c r="F127" s="2"/>
      <c r="G127" s="2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11"/>
      <c r="E128" s="211"/>
      <c r="F128" s="2"/>
      <c r="G128" s="2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11"/>
      <c r="E129" s="211"/>
      <c r="F129" s="2"/>
      <c r="G129" s="2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11"/>
      <c r="E130" s="211"/>
      <c r="F130" s="2"/>
      <c r="G130" s="2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11"/>
      <c r="E131" s="211"/>
      <c r="F131" s="2"/>
      <c r="G131" s="2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11"/>
      <c r="E132" s="211"/>
      <c r="F132" s="2"/>
      <c r="G132" s="2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11"/>
      <c r="E133" s="211"/>
      <c r="F133" s="2"/>
      <c r="G133" s="2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11"/>
      <c r="E134" s="211"/>
      <c r="F134" s="2"/>
      <c r="G134" s="2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11"/>
      <c r="E135" s="211"/>
      <c r="F135" s="2"/>
      <c r="G135" s="2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11"/>
      <c r="E136" s="211"/>
      <c r="F136" s="2"/>
      <c r="G136" s="2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11"/>
      <c r="E137" s="211"/>
      <c r="F137" s="2"/>
      <c r="G137" s="2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11"/>
      <c r="E138" s="211"/>
      <c r="F138" s="2"/>
      <c r="G138" s="2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11"/>
      <c r="E139" s="211"/>
      <c r="F139" s="2"/>
      <c r="G139" s="2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11"/>
      <c r="E140" s="211"/>
      <c r="F140" s="2"/>
      <c r="G140" s="2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11"/>
      <c r="E141" s="211"/>
      <c r="F141" s="2"/>
      <c r="G141" s="2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11"/>
      <c r="E142" s="211"/>
      <c r="F142" s="2"/>
      <c r="G142" s="2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11"/>
      <c r="E143" s="211"/>
      <c r="F143" s="2"/>
      <c r="G143" s="2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11"/>
      <c r="E144" s="211"/>
      <c r="F144" s="2"/>
      <c r="G144" s="2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11"/>
      <c r="E145" s="211"/>
      <c r="F145" s="2"/>
      <c r="G145" s="2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11"/>
      <c r="E146" s="211"/>
      <c r="F146" s="2"/>
      <c r="G146" s="2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11"/>
      <c r="E147" s="211"/>
      <c r="F147" s="2"/>
      <c r="G147" s="2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11"/>
      <c r="E148" s="211"/>
      <c r="F148" s="2"/>
      <c r="G148" s="2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11"/>
      <c r="E149" s="211"/>
      <c r="F149" s="2"/>
      <c r="G149" s="2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11"/>
      <c r="E150" s="211"/>
      <c r="F150" s="2"/>
      <c r="G150" s="2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11"/>
      <c r="E151" s="211"/>
      <c r="F151" s="2"/>
      <c r="G151" s="2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11"/>
      <c r="E152" s="211"/>
      <c r="F152" s="2"/>
      <c r="G152" s="2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11"/>
      <c r="E153" s="211"/>
      <c r="F153" s="2"/>
      <c r="G153" s="2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11"/>
      <c r="E154" s="211"/>
      <c r="F154" s="2"/>
      <c r="G154" s="2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11"/>
      <c r="E155" s="211"/>
      <c r="F155" s="2"/>
      <c r="G155" s="2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11"/>
      <c r="E156" s="211"/>
      <c r="F156" s="2"/>
      <c r="G156" s="2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11"/>
      <c r="E157" s="211"/>
      <c r="F157" s="2"/>
      <c r="G157" s="2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11"/>
      <c r="E158" s="211"/>
      <c r="F158" s="2"/>
      <c r="G158" s="2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11"/>
      <c r="E159" s="211"/>
      <c r="F159" s="2"/>
      <c r="G159" s="2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11"/>
      <c r="E160" s="211"/>
      <c r="F160" s="2"/>
      <c r="G160" s="2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11"/>
      <c r="E161" s="211"/>
      <c r="F161" s="2"/>
      <c r="G161" s="2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11"/>
      <c r="E162" s="211"/>
      <c r="F162" s="2"/>
      <c r="G162" s="2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11"/>
      <c r="E163" s="211"/>
      <c r="F163" s="2"/>
      <c r="G163" s="2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11"/>
      <c r="E164" s="211"/>
      <c r="F164" s="2"/>
      <c r="G164" s="2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11"/>
      <c r="E165" s="211"/>
      <c r="F165" s="2"/>
      <c r="G165" s="2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11"/>
      <c r="E166" s="211"/>
      <c r="F166" s="2"/>
      <c r="G166" s="2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11"/>
      <c r="E167" s="211"/>
      <c r="F167" s="2"/>
      <c r="G167" s="2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11"/>
      <c r="E168" s="211"/>
      <c r="F168" s="2"/>
      <c r="G168" s="2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11"/>
      <c r="E169" s="211"/>
      <c r="F169" s="2"/>
      <c r="G169" s="2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11"/>
      <c r="E170" s="211"/>
      <c r="F170" s="2"/>
      <c r="G170" s="2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11"/>
      <c r="E171" s="211"/>
      <c r="F171" s="2"/>
      <c r="G171" s="2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11"/>
      <c r="E172" s="211"/>
      <c r="F172" s="2"/>
      <c r="G172" s="2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11"/>
      <c r="E173" s="211"/>
      <c r="F173" s="2"/>
      <c r="G173" s="2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11"/>
      <c r="E174" s="211"/>
      <c r="F174" s="2"/>
      <c r="G174" s="2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11"/>
      <c r="E175" s="211"/>
      <c r="F175" s="2"/>
      <c r="G175" s="2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11"/>
      <c r="E176" s="211"/>
      <c r="F176" s="2"/>
      <c r="G176" s="2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11"/>
      <c r="E177" s="211"/>
      <c r="F177" s="2"/>
      <c r="G177" s="2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11"/>
      <c r="E178" s="211"/>
      <c r="F178" s="2"/>
      <c r="G178" s="2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11"/>
      <c r="E179" s="211"/>
      <c r="F179" s="2"/>
      <c r="G179" s="2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11"/>
      <c r="E180" s="211"/>
      <c r="F180" s="2"/>
      <c r="G180" s="2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11"/>
      <c r="E181" s="211"/>
      <c r="F181" s="2"/>
      <c r="G181" s="2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11"/>
      <c r="E182" s="211"/>
      <c r="F182" s="2"/>
      <c r="G182" s="2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11"/>
      <c r="E183" s="211"/>
      <c r="F183" s="2"/>
      <c r="G183" s="2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11"/>
      <c r="E184" s="211"/>
      <c r="F184" s="2"/>
      <c r="G184" s="2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11"/>
      <c r="E185" s="211"/>
      <c r="F185" s="2"/>
      <c r="G185" s="2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11"/>
      <c r="E186" s="211"/>
      <c r="F186" s="2"/>
      <c r="G186" s="2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11"/>
      <c r="E187" s="211"/>
      <c r="F187" s="2"/>
      <c r="G187" s="2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11"/>
      <c r="E188" s="211"/>
      <c r="F188" s="2"/>
      <c r="G188" s="2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11"/>
      <c r="E189" s="211"/>
      <c r="F189" s="2"/>
      <c r="G189" s="2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11"/>
      <c r="E190" s="211"/>
      <c r="F190" s="2"/>
      <c r="G190" s="2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11"/>
      <c r="E191" s="211"/>
      <c r="F191" s="2"/>
      <c r="G191" s="2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11"/>
      <c r="E192" s="211"/>
      <c r="F192" s="2"/>
      <c r="G192" s="2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11"/>
      <c r="E193" s="211"/>
      <c r="F193" s="2"/>
      <c r="G193" s="2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11"/>
      <c r="E194" s="211"/>
      <c r="F194" s="2"/>
      <c r="G194" s="2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11"/>
      <c r="E195" s="211"/>
      <c r="F195" s="2"/>
      <c r="G195" s="2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11"/>
      <c r="E196" s="211"/>
      <c r="F196" s="2"/>
      <c r="G196" s="2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11"/>
      <c r="E197" s="211"/>
      <c r="F197" s="2"/>
      <c r="G197" s="2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11"/>
      <c r="E198" s="211"/>
      <c r="F198" s="2"/>
      <c r="G198" s="2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11"/>
      <c r="E199" s="211"/>
      <c r="F199" s="2"/>
      <c r="G199" s="2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11"/>
      <c r="E200" s="211"/>
      <c r="F200" s="2"/>
      <c r="G200" s="2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11"/>
      <c r="E201" s="211"/>
      <c r="F201" s="2"/>
      <c r="G201" s="2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11"/>
      <c r="E202" s="211"/>
      <c r="F202" s="2"/>
      <c r="G202" s="2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11"/>
      <c r="E203" s="211"/>
      <c r="F203" s="2"/>
      <c r="G203" s="2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11"/>
      <c r="E204" s="211"/>
      <c r="F204" s="2"/>
      <c r="G204" s="2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11"/>
      <c r="E205" s="211"/>
      <c r="F205" s="2"/>
      <c r="G205" s="2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11"/>
      <c r="E206" s="211"/>
      <c r="F206" s="2"/>
      <c r="G206" s="2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11"/>
      <c r="E207" s="211"/>
      <c r="F207" s="2"/>
      <c r="G207" s="2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11"/>
      <c r="E208" s="211"/>
      <c r="F208" s="2"/>
      <c r="G208" s="2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11"/>
      <c r="E209" s="211"/>
      <c r="F209" s="2"/>
      <c r="G209" s="2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11"/>
      <c r="E210" s="211"/>
      <c r="F210" s="2"/>
      <c r="G210" s="2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11"/>
      <c r="E211" s="211"/>
      <c r="F211" s="2"/>
      <c r="G211" s="2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11"/>
      <c r="E212" s="211"/>
      <c r="F212" s="2"/>
      <c r="G212" s="2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11"/>
      <c r="E213" s="211"/>
      <c r="F213" s="2"/>
      <c r="G213" s="2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11"/>
      <c r="E214" s="211"/>
      <c r="F214" s="2"/>
      <c r="G214" s="2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11"/>
      <c r="E215" s="211"/>
      <c r="F215" s="2"/>
      <c r="G215" s="2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11"/>
      <c r="E216" s="211"/>
      <c r="F216" s="2"/>
      <c r="G216" s="2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11"/>
      <c r="E217" s="211"/>
      <c r="F217" s="2"/>
      <c r="G217" s="2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11"/>
      <c r="E218" s="211"/>
      <c r="F218" s="2"/>
      <c r="G218" s="2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11"/>
      <c r="E219" s="211"/>
      <c r="F219" s="2"/>
      <c r="G219" s="2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11"/>
      <c r="E220" s="211"/>
      <c r="F220" s="2"/>
      <c r="G220" s="2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11"/>
      <c r="E221" s="211"/>
      <c r="F221" s="2"/>
      <c r="G221" s="2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11"/>
      <c r="E222" s="211"/>
      <c r="F222" s="2"/>
      <c r="G222" s="2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11"/>
      <c r="E223" s="211"/>
      <c r="F223" s="2"/>
      <c r="G223" s="2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11"/>
      <c r="E224" s="211"/>
      <c r="F224" s="2"/>
      <c r="G224" s="2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11"/>
      <c r="E225" s="211"/>
      <c r="F225" s="2"/>
      <c r="G225" s="2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11"/>
      <c r="E226" s="211"/>
      <c r="F226" s="2"/>
      <c r="G226" s="2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11"/>
      <c r="E227" s="211"/>
      <c r="F227" s="2"/>
      <c r="G227" s="2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11"/>
      <c r="E228" s="211"/>
      <c r="F228" s="2"/>
      <c r="G228" s="2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11"/>
      <c r="E229" s="211"/>
      <c r="F229" s="2"/>
      <c r="G229" s="2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11"/>
      <c r="E230" s="211"/>
      <c r="F230" s="2"/>
      <c r="G230" s="2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11"/>
      <c r="E231" s="211"/>
      <c r="F231" s="2"/>
      <c r="G231" s="2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11"/>
      <c r="E232" s="211"/>
      <c r="F232" s="2"/>
      <c r="G232" s="2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11"/>
      <c r="E233" s="211"/>
      <c r="F233" s="2"/>
      <c r="G233" s="2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11"/>
      <c r="E234" s="211"/>
      <c r="F234" s="2"/>
      <c r="G234" s="2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11"/>
      <c r="E235" s="211"/>
      <c r="F235" s="2"/>
      <c r="G235" s="2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11"/>
      <c r="E236" s="211"/>
      <c r="F236" s="2"/>
      <c r="G236" s="2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11"/>
      <c r="E237" s="211"/>
      <c r="F237" s="2"/>
      <c r="G237" s="2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11"/>
      <c r="E238" s="211"/>
      <c r="F238" s="2"/>
      <c r="G238" s="2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11"/>
      <c r="E239" s="211"/>
      <c r="F239" s="2"/>
      <c r="G239" s="2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11"/>
      <c r="E240" s="211"/>
      <c r="F240" s="2"/>
      <c r="G240" s="2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11"/>
      <c r="E241" s="211"/>
      <c r="F241" s="2"/>
      <c r="G241" s="2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11"/>
      <c r="E242" s="211"/>
      <c r="F242" s="2"/>
      <c r="G242" s="2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11"/>
      <c r="E243" s="211"/>
      <c r="F243" s="2"/>
      <c r="G243" s="2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11"/>
      <c r="E244" s="211"/>
      <c r="F244" s="2"/>
      <c r="G244" s="2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11"/>
      <c r="E245" s="211"/>
      <c r="F245" s="2"/>
      <c r="G245" s="2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11"/>
      <c r="E246" s="211"/>
      <c r="F246" s="2"/>
      <c r="G246" s="2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11"/>
      <c r="E247" s="211"/>
      <c r="F247" s="2"/>
      <c r="G247" s="2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11"/>
      <c r="E248" s="211"/>
      <c r="F248" s="2"/>
      <c r="G248" s="2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11"/>
      <c r="E249" s="211"/>
      <c r="F249" s="2"/>
      <c r="G249" s="2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11"/>
      <c r="E250" s="211"/>
      <c r="F250" s="2"/>
      <c r="G250" s="2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11"/>
      <c r="E251" s="211"/>
      <c r="F251" s="2"/>
      <c r="G251" s="2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11"/>
      <c r="E252" s="211"/>
      <c r="F252" s="2"/>
      <c r="G252" s="2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11"/>
      <c r="E253" s="211"/>
      <c r="F253" s="2"/>
      <c r="G253" s="2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11"/>
      <c r="E254" s="211"/>
      <c r="F254" s="2"/>
      <c r="G254" s="2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11"/>
      <c r="E255" s="211"/>
      <c r="F255" s="2"/>
      <c r="G255" s="2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11"/>
      <c r="E256" s="211"/>
      <c r="F256" s="2"/>
      <c r="G256" s="2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11"/>
      <c r="E257" s="211"/>
      <c r="F257" s="2"/>
      <c r="G257" s="2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11"/>
      <c r="E258" s="211"/>
      <c r="F258" s="2"/>
      <c r="G258" s="2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11"/>
      <c r="E259" s="211"/>
      <c r="F259" s="2"/>
      <c r="G259" s="2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11"/>
      <c r="E260" s="211"/>
      <c r="F260" s="2"/>
      <c r="G260" s="2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11"/>
      <c r="E261" s="211"/>
      <c r="F261" s="2"/>
      <c r="G261" s="2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11"/>
      <c r="E262" s="211"/>
      <c r="F262" s="2"/>
      <c r="G262" s="2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11"/>
      <c r="E263" s="211"/>
      <c r="F263" s="2"/>
      <c r="G263" s="2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11"/>
      <c r="E264" s="211"/>
      <c r="F264" s="2"/>
      <c r="G264" s="2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11"/>
      <c r="E265" s="211"/>
      <c r="F265" s="2"/>
      <c r="G265" s="2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11"/>
      <c r="E266" s="211"/>
      <c r="F266" s="2"/>
      <c r="G266" s="2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11"/>
      <c r="E267" s="211"/>
      <c r="F267" s="2"/>
      <c r="G267" s="2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11"/>
      <c r="E268" s="211"/>
      <c r="F268" s="2"/>
      <c r="G268" s="2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11"/>
      <c r="E269" s="211"/>
      <c r="F269" s="2"/>
      <c r="G269" s="2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11"/>
      <c r="E270" s="211"/>
      <c r="F270" s="2"/>
      <c r="G270" s="2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11"/>
      <c r="E271" s="211"/>
      <c r="F271" s="2"/>
      <c r="G271" s="2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11"/>
      <c r="E272" s="211"/>
      <c r="F272" s="2"/>
      <c r="G272" s="2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11"/>
      <c r="E273" s="211"/>
      <c r="F273" s="2"/>
      <c r="G273" s="2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11"/>
      <c r="E274" s="211"/>
      <c r="F274" s="2"/>
      <c r="G274" s="2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11"/>
      <c r="E275" s="211"/>
      <c r="F275" s="2"/>
      <c r="G275" s="2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11"/>
      <c r="E276" s="211"/>
      <c r="F276" s="2"/>
      <c r="G276" s="2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11"/>
      <c r="E277" s="211"/>
      <c r="F277" s="2"/>
      <c r="G277" s="2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11"/>
      <c r="E278" s="211"/>
      <c r="F278" s="2"/>
      <c r="G278" s="2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11"/>
      <c r="E279" s="211"/>
      <c r="F279" s="2"/>
      <c r="G279" s="2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11"/>
      <c r="E280" s="211"/>
      <c r="F280" s="2"/>
      <c r="G280" s="2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11"/>
      <c r="E281" s="211"/>
      <c r="F281" s="2"/>
      <c r="G281" s="2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11"/>
      <c r="E282" s="211"/>
      <c r="F282" s="2"/>
      <c r="G282" s="2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11"/>
      <c r="E283" s="211"/>
      <c r="F283" s="2"/>
      <c r="G283" s="2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11"/>
      <c r="E284" s="211"/>
      <c r="F284" s="2"/>
      <c r="G284" s="2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11"/>
      <c r="E285" s="211"/>
      <c r="F285" s="2"/>
      <c r="G285" s="2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11"/>
      <c r="E286" s="211"/>
      <c r="F286" s="2"/>
      <c r="G286" s="2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11"/>
      <c r="E287" s="211"/>
      <c r="F287" s="2"/>
      <c r="G287" s="2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11"/>
      <c r="E288" s="211"/>
      <c r="F288" s="2"/>
      <c r="G288" s="2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11"/>
      <c r="E289" s="211"/>
      <c r="F289" s="2"/>
      <c r="G289" s="2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11"/>
      <c r="E290" s="211"/>
      <c r="F290" s="2"/>
      <c r="G290" s="2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11"/>
      <c r="E291" s="211"/>
      <c r="F291" s="2"/>
      <c r="G291" s="2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11"/>
      <c r="E292" s="211"/>
      <c r="F292" s="2"/>
      <c r="G292" s="2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11"/>
      <c r="E293" s="211"/>
      <c r="F293" s="2"/>
      <c r="G293" s="2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11"/>
      <c r="E294" s="211"/>
      <c r="F294" s="2"/>
      <c r="G294" s="2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11"/>
      <c r="E295" s="211"/>
      <c r="F295" s="2"/>
      <c r="G295" s="2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11"/>
      <c r="E296" s="211"/>
      <c r="F296" s="2"/>
      <c r="G296" s="2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11"/>
      <c r="E297" s="211"/>
      <c r="F297" s="2"/>
      <c r="G297" s="2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11"/>
      <c r="E298" s="211"/>
      <c r="F298" s="2"/>
      <c r="G298" s="2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11"/>
      <c r="E299" s="211"/>
      <c r="F299" s="2"/>
      <c r="G299" s="2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11"/>
      <c r="E300" s="211"/>
      <c r="F300" s="2"/>
      <c r="G300" s="2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11"/>
      <c r="E301" s="211"/>
      <c r="F301" s="2"/>
      <c r="G301" s="2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11"/>
      <c r="E302" s="211"/>
      <c r="F302" s="2"/>
      <c r="G302" s="2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11"/>
      <c r="E303" s="211"/>
      <c r="F303" s="2"/>
      <c r="G303" s="2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11"/>
      <c r="E304" s="211"/>
      <c r="F304" s="2"/>
      <c r="G304" s="2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11"/>
      <c r="E305" s="211"/>
      <c r="F305" s="2"/>
      <c r="G305" s="2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11"/>
      <c r="E306" s="211"/>
      <c r="F306" s="2"/>
      <c r="G306" s="2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11"/>
      <c r="E307" s="211"/>
      <c r="F307" s="2"/>
      <c r="G307" s="2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11"/>
      <c r="E308" s="211"/>
      <c r="F308" s="2"/>
      <c r="G308" s="2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11"/>
      <c r="E309" s="211"/>
      <c r="F309" s="2"/>
      <c r="G309" s="2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11"/>
      <c r="E310" s="211"/>
      <c r="F310" s="2"/>
      <c r="G310" s="2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11"/>
      <c r="E311" s="211"/>
      <c r="F311" s="2"/>
      <c r="G311" s="2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11"/>
      <c r="E312" s="211"/>
      <c r="F312" s="2"/>
      <c r="G312" s="2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11"/>
      <c r="E313" s="211"/>
      <c r="F313" s="2"/>
      <c r="G313" s="2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11"/>
      <c r="E314" s="211"/>
      <c r="F314" s="2"/>
      <c r="G314" s="2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11"/>
      <c r="E315" s="211"/>
      <c r="F315" s="2"/>
      <c r="G315" s="2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11"/>
      <c r="E316" s="211"/>
      <c r="F316" s="2"/>
      <c r="G316" s="2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11"/>
      <c r="E317" s="211"/>
      <c r="F317" s="2"/>
      <c r="G317" s="2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11"/>
      <c r="E318" s="211"/>
      <c r="F318" s="2"/>
      <c r="G318" s="2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11"/>
      <c r="E319" s="211"/>
      <c r="F319" s="2"/>
      <c r="G319" s="2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11"/>
      <c r="E320" s="211"/>
      <c r="F320" s="2"/>
      <c r="G320" s="2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11"/>
      <c r="E321" s="211"/>
      <c r="F321" s="2"/>
      <c r="G321" s="2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11"/>
      <c r="E322" s="211"/>
      <c r="F322" s="2"/>
      <c r="G322" s="2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11"/>
      <c r="E323" s="211"/>
      <c r="F323" s="2"/>
      <c r="G323" s="2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11"/>
      <c r="E324" s="211"/>
      <c r="F324" s="2"/>
      <c r="G324" s="2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11"/>
      <c r="E325" s="211"/>
      <c r="F325" s="2"/>
      <c r="G325" s="2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11"/>
      <c r="E326" s="211"/>
      <c r="F326" s="2"/>
      <c r="G326" s="2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11"/>
      <c r="E327" s="211"/>
      <c r="F327" s="2"/>
      <c r="G327" s="2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11"/>
      <c r="E328" s="211"/>
      <c r="F328" s="2"/>
      <c r="G328" s="2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11"/>
      <c r="E329" s="211"/>
      <c r="F329" s="2"/>
      <c r="G329" s="2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11"/>
      <c r="E330" s="211"/>
      <c r="F330" s="2"/>
      <c r="G330" s="2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11"/>
      <c r="E331" s="211"/>
      <c r="F331" s="2"/>
      <c r="G331" s="2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11"/>
      <c r="E332" s="211"/>
      <c r="F332" s="2"/>
      <c r="G332" s="2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11"/>
      <c r="E333" s="211"/>
      <c r="F333" s="2"/>
      <c r="G333" s="2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11"/>
      <c r="E334" s="211"/>
      <c r="F334" s="2"/>
      <c r="G334" s="2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11"/>
      <c r="E335" s="211"/>
      <c r="F335" s="2"/>
      <c r="G335" s="2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11"/>
      <c r="E336" s="211"/>
      <c r="F336" s="2"/>
      <c r="G336" s="2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11"/>
      <c r="E337" s="211"/>
      <c r="F337" s="2"/>
      <c r="G337" s="2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11"/>
      <c r="E338" s="211"/>
      <c r="F338" s="2"/>
      <c r="G338" s="2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11"/>
      <c r="E339" s="211"/>
      <c r="F339" s="2"/>
      <c r="G339" s="2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11"/>
      <c r="E340" s="211"/>
      <c r="F340" s="2"/>
      <c r="G340" s="2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11"/>
      <c r="E341" s="211"/>
      <c r="F341" s="2"/>
      <c r="G341" s="2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11"/>
      <c r="E342" s="211"/>
      <c r="F342" s="2"/>
      <c r="G342" s="2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11"/>
      <c r="E343" s="211"/>
      <c r="F343" s="2"/>
      <c r="G343" s="2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11"/>
      <c r="E344" s="211"/>
      <c r="F344" s="2"/>
      <c r="G344" s="2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11"/>
      <c r="E345" s="211"/>
      <c r="F345" s="2"/>
      <c r="G345" s="2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11"/>
      <c r="E346" s="211"/>
      <c r="F346" s="2"/>
      <c r="G346" s="2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11"/>
      <c r="E347" s="211"/>
      <c r="F347" s="2"/>
      <c r="G347" s="2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11"/>
      <c r="E348" s="211"/>
      <c r="F348" s="2"/>
      <c r="G348" s="2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11"/>
      <c r="E349" s="211"/>
      <c r="F349" s="2"/>
      <c r="G349" s="2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11"/>
      <c r="E350" s="211"/>
      <c r="F350" s="2"/>
      <c r="G350" s="2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11"/>
      <c r="E351" s="211"/>
      <c r="F351" s="2"/>
      <c r="G351" s="2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11"/>
      <c r="E352" s="211"/>
      <c r="F352" s="2"/>
      <c r="G352" s="2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11"/>
      <c r="E353" s="211"/>
      <c r="F353" s="2"/>
      <c r="G353" s="2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11"/>
      <c r="E354" s="211"/>
      <c r="F354" s="2"/>
      <c r="G354" s="2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11"/>
      <c r="E355" s="211"/>
      <c r="F355" s="2"/>
      <c r="G355" s="2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11"/>
      <c r="E356" s="211"/>
      <c r="F356" s="2"/>
      <c r="G356" s="2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11"/>
      <c r="E357" s="211"/>
      <c r="F357" s="2"/>
      <c r="G357" s="2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11"/>
      <c r="E358" s="211"/>
      <c r="F358" s="2"/>
      <c r="G358" s="2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11"/>
      <c r="E359" s="211"/>
      <c r="F359" s="2"/>
      <c r="G359" s="2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11"/>
      <c r="E360" s="211"/>
      <c r="F360" s="2"/>
      <c r="G360" s="2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11"/>
      <c r="E361" s="211"/>
      <c r="F361" s="2"/>
      <c r="G361" s="2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11"/>
      <c r="E362" s="211"/>
      <c r="F362" s="2"/>
      <c r="G362" s="2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11"/>
      <c r="E363" s="211"/>
      <c r="F363" s="2"/>
      <c r="G363" s="2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11"/>
      <c r="E364" s="211"/>
      <c r="F364" s="2"/>
      <c r="G364" s="2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11"/>
      <c r="E365" s="211"/>
      <c r="F365" s="2"/>
      <c r="G365" s="2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11"/>
      <c r="E366" s="211"/>
      <c r="F366" s="2"/>
      <c r="G366" s="2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11"/>
      <c r="E367" s="211"/>
      <c r="F367" s="2"/>
      <c r="G367" s="2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11"/>
      <c r="E368" s="211"/>
      <c r="F368" s="2"/>
      <c r="G368" s="2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11"/>
      <c r="E369" s="211"/>
      <c r="F369" s="2"/>
      <c r="G369" s="2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11"/>
      <c r="E370" s="211"/>
      <c r="F370" s="2"/>
      <c r="G370" s="2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11"/>
      <c r="E371" s="211"/>
      <c r="F371" s="2"/>
      <c r="G371" s="2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11"/>
      <c r="E372" s="211"/>
      <c r="F372" s="2"/>
      <c r="G372" s="2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11"/>
      <c r="E373" s="211"/>
      <c r="F373" s="2"/>
      <c r="G373" s="2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11"/>
      <c r="E374" s="211"/>
      <c r="F374" s="2"/>
      <c r="G374" s="2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11"/>
      <c r="E375" s="211"/>
      <c r="F375" s="2"/>
      <c r="G375" s="2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11"/>
      <c r="E376" s="211"/>
      <c r="F376" s="2"/>
      <c r="G376" s="2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11"/>
      <c r="E377" s="211"/>
      <c r="F377" s="2"/>
      <c r="G377" s="2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11"/>
      <c r="E378" s="211"/>
      <c r="F378" s="2"/>
      <c r="G378" s="2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11"/>
      <c r="E379" s="211"/>
      <c r="F379" s="2"/>
      <c r="G379" s="2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11"/>
      <c r="E380" s="211"/>
      <c r="F380" s="2"/>
      <c r="G380" s="2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11"/>
      <c r="E381" s="211"/>
      <c r="F381" s="2"/>
      <c r="G381" s="2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11"/>
      <c r="E382" s="211"/>
      <c r="F382" s="2"/>
      <c r="G382" s="2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11"/>
      <c r="E383" s="211"/>
      <c r="F383" s="2"/>
      <c r="G383" s="2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11"/>
      <c r="E384" s="211"/>
      <c r="F384" s="2"/>
      <c r="G384" s="2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11"/>
      <c r="E385" s="211"/>
      <c r="F385" s="2"/>
      <c r="G385" s="2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11"/>
      <c r="E386" s="211"/>
      <c r="F386" s="2"/>
      <c r="G386" s="2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11"/>
      <c r="E387" s="211"/>
      <c r="F387" s="2"/>
      <c r="G387" s="2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11"/>
      <c r="E388" s="211"/>
      <c r="F388" s="2"/>
      <c r="G388" s="2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11"/>
      <c r="E389" s="211"/>
      <c r="F389" s="2"/>
      <c r="G389" s="2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11"/>
      <c r="E390" s="211"/>
      <c r="F390" s="2"/>
      <c r="G390" s="2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11"/>
      <c r="E391" s="211"/>
      <c r="F391" s="2"/>
      <c r="G391" s="2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11"/>
      <c r="E392" s="211"/>
      <c r="F392" s="2"/>
      <c r="G392" s="2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11"/>
      <c r="E393" s="211"/>
      <c r="F393" s="2"/>
      <c r="G393" s="2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11"/>
      <c r="E394" s="211"/>
      <c r="F394" s="2"/>
      <c r="G394" s="2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11"/>
      <c r="E395" s="211"/>
      <c r="F395" s="2"/>
      <c r="G395" s="2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11"/>
      <c r="E396" s="211"/>
      <c r="F396" s="2"/>
      <c r="G396" s="2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11"/>
      <c r="E397" s="211"/>
      <c r="F397" s="2"/>
      <c r="G397" s="2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11"/>
      <c r="E398" s="211"/>
      <c r="F398" s="2"/>
      <c r="G398" s="2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11"/>
      <c r="E399" s="211"/>
      <c r="F399" s="2"/>
      <c r="G399" s="2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11"/>
      <c r="E400" s="211"/>
      <c r="F400" s="2"/>
      <c r="G400" s="2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11"/>
      <c r="E401" s="211"/>
      <c r="F401" s="2"/>
      <c r="G401" s="2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11"/>
      <c r="E402" s="211"/>
      <c r="F402" s="2"/>
      <c r="G402" s="2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11"/>
      <c r="E403" s="211"/>
      <c r="F403" s="2"/>
      <c r="G403" s="2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11"/>
      <c r="E404" s="211"/>
      <c r="F404" s="2"/>
      <c r="G404" s="2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11"/>
      <c r="E405" s="211"/>
      <c r="F405" s="2"/>
      <c r="G405" s="2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11"/>
      <c r="E406" s="211"/>
      <c r="F406" s="2"/>
      <c r="G406" s="2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11"/>
      <c r="E407" s="211"/>
      <c r="F407" s="2"/>
      <c r="G407" s="2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11"/>
      <c r="E408" s="211"/>
      <c r="F408" s="2"/>
      <c r="G408" s="2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11"/>
      <c r="E409" s="211"/>
      <c r="F409" s="2"/>
      <c r="G409" s="2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11"/>
      <c r="E410" s="211"/>
      <c r="F410" s="2"/>
      <c r="G410" s="2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11"/>
      <c r="E411" s="211"/>
      <c r="F411" s="2"/>
      <c r="G411" s="2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11"/>
      <c r="E412" s="211"/>
      <c r="F412" s="2"/>
      <c r="G412" s="2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11"/>
      <c r="E413" s="211"/>
      <c r="F413" s="2"/>
      <c r="G413" s="2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11"/>
      <c r="E414" s="211"/>
      <c r="F414" s="2"/>
      <c r="G414" s="2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11"/>
      <c r="E415" s="211"/>
      <c r="F415" s="2"/>
      <c r="G415" s="2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11"/>
      <c r="E416" s="211"/>
      <c r="F416" s="2"/>
      <c r="G416" s="2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11"/>
      <c r="E417" s="211"/>
      <c r="F417" s="2"/>
      <c r="G417" s="2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11"/>
      <c r="E418" s="211"/>
      <c r="F418" s="2"/>
      <c r="G418" s="2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11"/>
      <c r="E419" s="211"/>
      <c r="F419" s="2"/>
      <c r="G419" s="2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11"/>
      <c r="E420" s="211"/>
      <c r="F420" s="2"/>
      <c r="G420" s="2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11"/>
      <c r="E421" s="211"/>
      <c r="F421" s="2"/>
      <c r="G421" s="2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11"/>
      <c r="E422" s="211"/>
      <c r="F422" s="2"/>
      <c r="G422" s="2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11"/>
      <c r="E423" s="211"/>
      <c r="F423" s="2"/>
      <c r="G423" s="2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11"/>
      <c r="E424" s="211"/>
      <c r="F424" s="2"/>
      <c r="G424" s="2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11"/>
      <c r="E425" s="211"/>
      <c r="F425" s="2"/>
      <c r="G425" s="2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11"/>
      <c r="E426" s="211"/>
      <c r="F426" s="2"/>
      <c r="G426" s="2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11"/>
      <c r="E427" s="211"/>
      <c r="F427" s="2"/>
      <c r="G427" s="2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11"/>
      <c r="E428" s="211"/>
      <c r="F428" s="2"/>
      <c r="G428" s="2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11"/>
      <c r="E429" s="211"/>
      <c r="F429" s="2"/>
      <c r="G429" s="2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11"/>
      <c r="E430" s="211"/>
      <c r="F430" s="2"/>
      <c r="G430" s="2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11"/>
      <c r="E431" s="211"/>
      <c r="F431" s="2"/>
      <c r="G431" s="2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11"/>
      <c r="E432" s="211"/>
      <c r="F432" s="2"/>
      <c r="G432" s="2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11"/>
      <c r="E433" s="211"/>
      <c r="F433" s="2"/>
      <c r="G433" s="2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11"/>
      <c r="E434" s="211"/>
      <c r="F434" s="2"/>
      <c r="G434" s="2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11"/>
      <c r="E435" s="211"/>
      <c r="F435" s="2"/>
      <c r="G435" s="2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11"/>
      <c r="E436" s="211"/>
      <c r="F436" s="2"/>
      <c r="G436" s="2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11"/>
      <c r="E437" s="211"/>
      <c r="F437" s="2"/>
      <c r="G437" s="2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11"/>
      <c r="E438" s="211"/>
      <c r="F438" s="2"/>
      <c r="G438" s="2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11"/>
      <c r="E439" s="211"/>
      <c r="F439" s="2"/>
      <c r="G439" s="2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11"/>
      <c r="E440" s="211"/>
      <c r="F440" s="2"/>
      <c r="G440" s="2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11"/>
      <c r="E441" s="211"/>
      <c r="F441" s="2"/>
      <c r="G441" s="2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11"/>
      <c r="E442" s="211"/>
      <c r="F442" s="2"/>
      <c r="G442" s="2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11"/>
      <c r="E443" s="211"/>
      <c r="F443" s="2"/>
      <c r="G443" s="2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11"/>
      <c r="E444" s="211"/>
      <c r="F444" s="2"/>
      <c r="G444" s="2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11"/>
      <c r="E445" s="211"/>
      <c r="F445" s="2"/>
      <c r="G445" s="2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11"/>
      <c r="E446" s="211"/>
      <c r="F446" s="2"/>
      <c r="G446" s="2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11"/>
      <c r="E447" s="211"/>
      <c r="F447" s="2"/>
      <c r="G447" s="2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11"/>
      <c r="E448" s="211"/>
      <c r="F448" s="2"/>
      <c r="G448" s="2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11"/>
      <c r="E449" s="211"/>
      <c r="F449" s="2"/>
      <c r="G449" s="2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11"/>
      <c r="E450" s="211"/>
      <c r="F450" s="2"/>
      <c r="G450" s="2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11"/>
      <c r="E451" s="211"/>
      <c r="F451" s="2"/>
      <c r="G451" s="2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11"/>
      <c r="E452" s="211"/>
      <c r="F452" s="2"/>
      <c r="G452" s="2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11"/>
      <c r="E453" s="211"/>
      <c r="F453" s="2"/>
      <c r="G453" s="2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11"/>
      <c r="E454" s="211"/>
      <c r="F454" s="2"/>
      <c r="G454" s="2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11"/>
      <c r="E455" s="211"/>
      <c r="F455" s="2"/>
      <c r="G455" s="2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11"/>
      <c r="E456" s="211"/>
      <c r="F456" s="2"/>
      <c r="G456" s="2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11"/>
      <c r="E457" s="211"/>
      <c r="F457" s="2"/>
      <c r="G457" s="2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11"/>
      <c r="E458" s="211"/>
      <c r="F458" s="2"/>
      <c r="G458" s="2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11"/>
      <c r="E459" s="211"/>
      <c r="F459" s="2"/>
      <c r="G459" s="2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11"/>
      <c r="E460" s="211"/>
      <c r="F460" s="2"/>
      <c r="G460" s="2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11"/>
      <c r="E461" s="211"/>
      <c r="F461" s="2"/>
      <c r="G461" s="2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11"/>
      <c r="E462" s="211"/>
      <c r="F462" s="2"/>
      <c r="G462" s="2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11"/>
      <c r="E463" s="211"/>
      <c r="F463" s="2"/>
      <c r="G463" s="2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11"/>
      <c r="E464" s="211"/>
      <c r="F464" s="2"/>
      <c r="G464" s="2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11"/>
      <c r="E465" s="211"/>
      <c r="F465" s="2"/>
      <c r="G465" s="2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11"/>
      <c r="E466" s="211"/>
      <c r="F466" s="2"/>
      <c r="G466" s="2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11"/>
      <c r="E467" s="211"/>
      <c r="F467" s="2"/>
      <c r="G467" s="2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11"/>
      <c r="E468" s="211"/>
      <c r="F468" s="2"/>
      <c r="G468" s="2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11"/>
      <c r="E469" s="211"/>
      <c r="F469" s="2"/>
      <c r="G469" s="2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11"/>
      <c r="E470" s="211"/>
      <c r="F470" s="2"/>
      <c r="G470" s="2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11"/>
      <c r="E471" s="211"/>
      <c r="F471" s="2"/>
      <c r="G471" s="2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11"/>
      <c r="E472" s="211"/>
      <c r="F472" s="2"/>
      <c r="G472" s="2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11"/>
      <c r="E473" s="211"/>
      <c r="F473" s="2"/>
      <c r="G473" s="2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11"/>
      <c r="E474" s="211"/>
      <c r="F474" s="2"/>
      <c r="G474" s="2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11"/>
      <c r="E475" s="211"/>
      <c r="F475" s="2"/>
      <c r="G475" s="2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11"/>
      <c r="E476" s="211"/>
      <c r="F476" s="2"/>
      <c r="G476" s="2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11"/>
      <c r="E477" s="211"/>
      <c r="F477" s="2"/>
      <c r="G477" s="2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11"/>
      <c r="E478" s="211"/>
      <c r="F478" s="2"/>
      <c r="G478" s="2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11"/>
      <c r="E479" s="211"/>
      <c r="F479" s="2"/>
      <c r="G479" s="2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11"/>
      <c r="E480" s="211"/>
      <c r="F480" s="2"/>
      <c r="G480" s="2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11"/>
      <c r="E481" s="211"/>
      <c r="F481" s="2"/>
      <c r="G481" s="2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11"/>
      <c r="E482" s="211"/>
      <c r="F482" s="2"/>
      <c r="G482" s="2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11"/>
      <c r="E483" s="211"/>
      <c r="F483" s="2"/>
      <c r="G483" s="2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11"/>
      <c r="E484" s="211"/>
      <c r="F484" s="2"/>
      <c r="G484" s="2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11"/>
      <c r="E485" s="211"/>
      <c r="F485" s="2"/>
      <c r="G485" s="2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11"/>
      <c r="E486" s="211"/>
      <c r="F486" s="2"/>
      <c r="G486" s="2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11"/>
      <c r="E487" s="211"/>
      <c r="F487" s="2"/>
      <c r="G487" s="2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11"/>
      <c r="E488" s="211"/>
      <c r="F488" s="2"/>
      <c r="G488" s="2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11"/>
      <c r="E489" s="211"/>
      <c r="F489" s="2"/>
      <c r="G489" s="2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11"/>
      <c r="E490" s="211"/>
      <c r="F490" s="2"/>
      <c r="G490" s="2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11"/>
      <c r="E491" s="211"/>
      <c r="F491" s="2"/>
      <c r="G491" s="2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11"/>
      <c r="E492" s="211"/>
      <c r="F492" s="2"/>
      <c r="G492" s="2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11"/>
      <c r="E493" s="211"/>
      <c r="F493" s="2"/>
      <c r="G493" s="2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11"/>
      <c r="E494" s="211"/>
      <c r="F494" s="2"/>
      <c r="G494" s="2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11"/>
      <c r="E495" s="211"/>
      <c r="F495" s="2"/>
      <c r="G495" s="2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11"/>
      <c r="E496" s="211"/>
      <c r="F496" s="2"/>
      <c r="G496" s="2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11"/>
      <c r="E497" s="211"/>
      <c r="F497" s="2"/>
      <c r="G497" s="2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11"/>
      <c r="E498" s="211"/>
      <c r="F498" s="2"/>
      <c r="G498" s="2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11"/>
      <c r="E499" s="211"/>
      <c r="F499" s="2"/>
      <c r="G499" s="2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11"/>
      <c r="E500" s="211"/>
      <c r="F500" s="2"/>
      <c r="G500" s="2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11"/>
      <c r="E501" s="211"/>
      <c r="F501" s="2"/>
      <c r="G501" s="2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11"/>
      <c r="E502" s="211"/>
      <c r="F502" s="2"/>
      <c r="G502" s="2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11"/>
      <c r="E503" s="211"/>
      <c r="F503" s="2"/>
      <c r="G503" s="2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11"/>
      <c r="E504" s="211"/>
      <c r="F504" s="2"/>
      <c r="G504" s="2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11"/>
      <c r="E505" s="211"/>
      <c r="F505" s="2"/>
      <c r="G505" s="2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11"/>
      <c r="E506" s="211"/>
      <c r="F506" s="2"/>
      <c r="G506" s="2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11"/>
      <c r="E507" s="211"/>
      <c r="F507" s="2"/>
      <c r="G507" s="2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11"/>
      <c r="E508" s="211"/>
      <c r="F508" s="2"/>
      <c r="G508" s="2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11"/>
      <c r="E509" s="211"/>
      <c r="F509" s="2"/>
      <c r="G509" s="2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11"/>
      <c r="E510" s="211"/>
      <c r="F510" s="2"/>
      <c r="G510" s="2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11"/>
      <c r="E511" s="211"/>
      <c r="F511" s="2"/>
      <c r="G511" s="2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11"/>
      <c r="E512" s="211"/>
      <c r="F512" s="2"/>
      <c r="G512" s="2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11"/>
      <c r="E513" s="211"/>
      <c r="F513" s="2"/>
      <c r="G513" s="2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11"/>
      <c r="E514" s="211"/>
      <c r="F514" s="2"/>
      <c r="G514" s="2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11"/>
      <c r="E515" s="211"/>
      <c r="F515" s="2"/>
      <c r="G515" s="2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11"/>
      <c r="E516" s="211"/>
      <c r="F516" s="2"/>
      <c r="G516" s="2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11"/>
      <c r="E517" s="211"/>
      <c r="F517" s="2"/>
      <c r="G517" s="2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11"/>
      <c r="E518" s="211"/>
      <c r="F518" s="2"/>
      <c r="G518" s="2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11"/>
      <c r="E519" s="211"/>
      <c r="F519" s="2"/>
      <c r="G519" s="2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11"/>
      <c r="E520" s="211"/>
      <c r="F520" s="2"/>
      <c r="G520" s="2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11"/>
      <c r="E521" s="211"/>
      <c r="F521" s="2"/>
      <c r="G521" s="2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11"/>
      <c r="E522" s="211"/>
      <c r="F522" s="2"/>
      <c r="G522" s="2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11"/>
      <c r="E523" s="211"/>
      <c r="F523" s="2"/>
      <c r="G523" s="2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11"/>
      <c r="E524" s="211"/>
      <c r="F524" s="2"/>
      <c r="G524" s="2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11"/>
      <c r="E525" s="211"/>
      <c r="F525" s="2"/>
      <c r="G525" s="2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11"/>
      <c r="E526" s="211"/>
      <c r="F526" s="2"/>
      <c r="G526" s="2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11"/>
      <c r="E527" s="211"/>
      <c r="F527" s="2"/>
      <c r="G527" s="2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11"/>
      <c r="E528" s="211"/>
      <c r="F528" s="2"/>
      <c r="G528" s="2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11"/>
      <c r="E529" s="211"/>
      <c r="F529" s="2"/>
      <c r="G529" s="2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11"/>
      <c r="E530" s="211"/>
      <c r="F530" s="2"/>
      <c r="G530" s="2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11"/>
      <c r="E531" s="211"/>
      <c r="F531" s="2"/>
      <c r="G531" s="2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11"/>
      <c r="E532" s="211"/>
      <c r="F532" s="2"/>
      <c r="G532" s="2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11"/>
      <c r="E533" s="211"/>
      <c r="F533" s="2"/>
      <c r="G533" s="2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11"/>
      <c r="E534" s="211"/>
      <c r="F534" s="2"/>
      <c r="G534" s="2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11"/>
      <c r="E535" s="211"/>
      <c r="F535" s="2"/>
      <c r="G535" s="2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11"/>
      <c r="E536" s="211"/>
      <c r="F536" s="2"/>
      <c r="G536" s="2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11"/>
      <c r="E537" s="211"/>
      <c r="F537" s="2"/>
      <c r="G537" s="2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11"/>
      <c r="E538" s="211"/>
      <c r="F538" s="2"/>
      <c r="G538" s="2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11"/>
      <c r="E539" s="211"/>
      <c r="F539" s="2"/>
      <c r="G539" s="2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11"/>
      <c r="E540" s="211"/>
      <c r="F540" s="2"/>
      <c r="G540" s="2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11"/>
      <c r="E541" s="211"/>
      <c r="F541" s="2"/>
      <c r="G541" s="2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11"/>
      <c r="E542" s="211"/>
      <c r="F542" s="2"/>
      <c r="G542" s="2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11"/>
      <c r="E543" s="211"/>
      <c r="F543" s="2"/>
      <c r="G543" s="2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11"/>
      <c r="E544" s="211"/>
      <c r="F544" s="2"/>
      <c r="G544" s="2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11"/>
      <c r="E545" s="211"/>
      <c r="F545" s="2"/>
      <c r="G545" s="2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11"/>
      <c r="E546" s="211"/>
      <c r="F546" s="2"/>
      <c r="G546" s="2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11"/>
      <c r="E547" s="211"/>
      <c r="F547" s="2"/>
      <c r="G547" s="2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11"/>
      <c r="E548" s="211"/>
      <c r="F548" s="2"/>
      <c r="G548" s="2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11"/>
      <c r="E549" s="211"/>
      <c r="F549" s="2"/>
      <c r="G549" s="2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11"/>
      <c r="E550" s="211"/>
      <c r="F550" s="2"/>
      <c r="G550" s="2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11"/>
      <c r="E551" s="211"/>
      <c r="F551" s="2"/>
      <c r="G551" s="2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11"/>
      <c r="E552" s="211"/>
      <c r="F552" s="2"/>
      <c r="G552" s="2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11"/>
      <c r="E553" s="211"/>
      <c r="F553" s="2"/>
      <c r="G553" s="2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11"/>
      <c r="E554" s="211"/>
      <c r="F554" s="2"/>
      <c r="G554" s="2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11"/>
      <c r="E555" s="211"/>
      <c r="F555" s="2"/>
      <c r="G555" s="2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11"/>
      <c r="E556" s="211"/>
      <c r="F556" s="2"/>
      <c r="G556" s="2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11"/>
      <c r="E557" s="211"/>
      <c r="F557" s="2"/>
      <c r="G557" s="2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11"/>
      <c r="E558" s="211"/>
      <c r="F558" s="2"/>
      <c r="G558" s="2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11"/>
      <c r="E559" s="211"/>
      <c r="F559" s="2"/>
      <c r="G559" s="2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11"/>
      <c r="E560" s="211"/>
      <c r="F560" s="2"/>
      <c r="G560" s="2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11"/>
      <c r="E561" s="211"/>
      <c r="F561" s="2"/>
      <c r="G561" s="2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11"/>
      <c r="E562" s="211"/>
      <c r="F562" s="2"/>
      <c r="G562" s="2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11"/>
      <c r="E563" s="211"/>
      <c r="F563" s="2"/>
      <c r="G563" s="2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11"/>
      <c r="E564" s="211"/>
      <c r="F564" s="2"/>
      <c r="G564" s="2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11"/>
      <c r="E565" s="211"/>
      <c r="F565" s="2"/>
      <c r="G565" s="2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11"/>
      <c r="E566" s="211"/>
      <c r="F566" s="2"/>
      <c r="G566" s="2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11"/>
      <c r="E567" s="211"/>
      <c r="F567" s="2"/>
      <c r="G567" s="2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11"/>
      <c r="E568" s="211"/>
      <c r="F568" s="2"/>
      <c r="G568" s="2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11"/>
      <c r="E569" s="211"/>
      <c r="F569" s="2"/>
      <c r="G569" s="2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11"/>
      <c r="E570" s="211"/>
      <c r="F570" s="2"/>
      <c r="G570" s="2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11"/>
      <c r="E571" s="211"/>
      <c r="F571" s="2"/>
      <c r="G571" s="2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11"/>
      <c r="E572" s="211"/>
      <c r="F572" s="2"/>
      <c r="G572" s="2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11"/>
      <c r="E573" s="211"/>
      <c r="F573" s="2"/>
      <c r="G573" s="2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11"/>
      <c r="E574" s="211"/>
      <c r="F574" s="2"/>
      <c r="G574" s="2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11"/>
      <c r="E575" s="211"/>
      <c r="F575" s="2"/>
      <c r="G575" s="2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11"/>
      <c r="E576" s="211"/>
      <c r="F576" s="2"/>
      <c r="G576" s="2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11"/>
      <c r="E577" s="211"/>
      <c r="F577" s="2"/>
      <c r="G577" s="2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11"/>
      <c r="E578" s="211"/>
      <c r="F578" s="2"/>
      <c r="G578" s="2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11"/>
      <c r="E579" s="211"/>
      <c r="F579" s="2"/>
      <c r="G579" s="2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11"/>
      <c r="E580" s="211"/>
      <c r="F580" s="2"/>
      <c r="G580" s="2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11"/>
      <c r="E581" s="211"/>
      <c r="F581" s="2"/>
      <c r="G581" s="2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11"/>
      <c r="E582" s="211"/>
      <c r="F582" s="2"/>
      <c r="G582" s="2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11"/>
      <c r="E583" s="211"/>
      <c r="F583" s="2"/>
      <c r="G583" s="2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11"/>
      <c r="E584" s="211"/>
      <c r="F584" s="2"/>
      <c r="G584" s="2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11"/>
      <c r="E585" s="211"/>
      <c r="F585" s="2"/>
      <c r="G585" s="2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11"/>
      <c r="E586" s="211"/>
      <c r="F586" s="2"/>
      <c r="G586" s="2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11"/>
      <c r="E587" s="211"/>
      <c r="F587" s="2"/>
      <c r="G587" s="2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11"/>
      <c r="E588" s="211"/>
      <c r="F588" s="2"/>
      <c r="G588" s="2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11"/>
      <c r="E589" s="211"/>
      <c r="F589" s="2"/>
      <c r="G589" s="2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11"/>
      <c r="E590" s="211"/>
      <c r="F590" s="2"/>
      <c r="G590" s="2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11"/>
      <c r="E591" s="211"/>
      <c r="F591" s="2"/>
      <c r="G591" s="2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11"/>
      <c r="E592" s="211"/>
      <c r="F592" s="2"/>
      <c r="G592" s="2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11"/>
      <c r="E593" s="211"/>
      <c r="F593" s="2"/>
      <c r="G593" s="2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11"/>
      <c r="E594" s="211"/>
      <c r="F594" s="2"/>
      <c r="G594" s="2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11"/>
      <c r="E595" s="211"/>
      <c r="F595" s="2"/>
      <c r="G595" s="2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11"/>
      <c r="E596" s="211"/>
      <c r="F596" s="2"/>
      <c r="G596" s="2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11"/>
      <c r="E597" s="211"/>
      <c r="F597" s="2"/>
      <c r="G597" s="2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11"/>
      <c r="E598" s="211"/>
      <c r="F598" s="2"/>
      <c r="G598" s="2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11"/>
      <c r="E599" s="211"/>
      <c r="F599" s="2"/>
      <c r="G599" s="2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11"/>
      <c r="E600" s="211"/>
      <c r="F600" s="2"/>
      <c r="G600" s="2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11"/>
      <c r="E601" s="211"/>
      <c r="F601" s="2"/>
      <c r="G601" s="2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11"/>
      <c r="E602" s="211"/>
      <c r="F602" s="2"/>
      <c r="G602" s="2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11"/>
      <c r="E603" s="211"/>
      <c r="F603" s="2"/>
      <c r="G603" s="2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11"/>
      <c r="E604" s="211"/>
      <c r="F604" s="2"/>
      <c r="G604" s="2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11"/>
      <c r="E605" s="211"/>
      <c r="F605" s="2"/>
      <c r="G605" s="2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11"/>
      <c r="E606" s="211"/>
      <c r="F606" s="2"/>
      <c r="G606" s="2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11"/>
      <c r="E607" s="211"/>
      <c r="F607" s="2"/>
      <c r="G607" s="2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11"/>
      <c r="E608" s="211"/>
      <c r="F608" s="2"/>
      <c r="G608" s="2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11"/>
      <c r="E609" s="211"/>
      <c r="F609" s="2"/>
      <c r="G609" s="2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11"/>
      <c r="E610" s="211"/>
      <c r="F610" s="2"/>
      <c r="G610" s="2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11"/>
      <c r="E611" s="211"/>
      <c r="F611" s="2"/>
      <c r="G611" s="2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11"/>
      <c r="E612" s="211"/>
      <c r="F612" s="2"/>
      <c r="G612" s="2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11"/>
      <c r="E613" s="211"/>
      <c r="F613" s="2"/>
      <c r="G613" s="2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11"/>
      <c r="E614" s="211"/>
      <c r="F614" s="2"/>
      <c r="G614" s="2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11"/>
      <c r="E615" s="211"/>
      <c r="F615" s="2"/>
      <c r="G615" s="2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11"/>
      <c r="E616" s="211"/>
      <c r="F616" s="2"/>
      <c r="G616" s="2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11"/>
      <c r="E617" s="211"/>
      <c r="F617" s="2"/>
      <c r="G617" s="2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11"/>
      <c r="E618" s="211"/>
      <c r="F618" s="2"/>
      <c r="G618" s="2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11"/>
      <c r="E619" s="211"/>
      <c r="F619" s="2"/>
      <c r="G619" s="2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11"/>
      <c r="E620" s="211"/>
      <c r="F620" s="2"/>
      <c r="G620" s="2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11"/>
      <c r="E621" s="211"/>
      <c r="F621" s="2"/>
      <c r="G621" s="2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11"/>
      <c r="E622" s="211"/>
      <c r="F622" s="2"/>
      <c r="G622" s="2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11"/>
      <c r="E623" s="211"/>
      <c r="F623" s="2"/>
      <c r="G623" s="2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11"/>
      <c r="E624" s="211"/>
      <c r="F624" s="2"/>
      <c r="G624" s="2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11"/>
      <c r="E625" s="211"/>
      <c r="F625" s="2"/>
      <c r="G625" s="2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11"/>
      <c r="E626" s="211"/>
      <c r="F626" s="2"/>
      <c r="G626" s="2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11"/>
      <c r="E627" s="211"/>
      <c r="F627" s="2"/>
      <c r="G627" s="2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11"/>
      <c r="E628" s="211"/>
      <c r="F628" s="2"/>
      <c r="G628" s="2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11"/>
      <c r="E629" s="211"/>
      <c r="F629" s="2"/>
      <c r="G629" s="2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11"/>
      <c r="E630" s="211"/>
      <c r="F630" s="2"/>
      <c r="G630" s="2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11"/>
      <c r="E631" s="211"/>
      <c r="F631" s="2"/>
      <c r="G631" s="2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11"/>
      <c r="E632" s="211"/>
      <c r="F632" s="2"/>
      <c r="G632" s="2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11"/>
      <c r="E633" s="211"/>
      <c r="F633" s="2"/>
      <c r="G633" s="2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11"/>
      <c r="E634" s="211"/>
      <c r="F634" s="2"/>
      <c r="G634" s="2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11"/>
      <c r="E635" s="211"/>
      <c r="F635" s="2"/>
      <c r="G635" s="2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11"/>
      <c r="E636" s="211"/>
      <c r="F636" s="2"/>
      <c r="G636" s="2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11"/>
      <c r="E637" s="211"/>
      <c r="F637" s="2"/>
      <c r="G637" s="2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11"/>
      <c r="E638" s="211"/>
      <c r="F638" s="2"/>
      <c r="G638" s="2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11"/>
      <c r="E639" s="211"/>
      <c r="F639" s="2"/>
      <c r="G639" s="2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11"/>
      <c r="E640" s="211"/>
      <c r="F640" s="2"/>
      <c r="G640" s="2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11"/>
      <c r="E641" s="211"/>
      <c r="F641" s="2"/>
      <c r="G641" s="2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11"/>
      <c r="E642" s="211"/>
      <c r="F642" s="2"/>
      <c r="G642" s="2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11"/>
      <c r="E643" s="211"/>
      <c r="F643" s="2"/>
      <c r="G643" s="2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11"/>
      <c r="E644" s="211"/>
      <c r="F644" s="2"/>
      <c r="G644" s="2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11"/>
      <c r="E645" s="211"/>
      <c r="F645" s="2"/>
      <c r="G645" s="2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11"/>
      <c r="E646" s="211"/>
      <c r="F646" s="2"/>
      <c r="G646" s="2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11"/>
      <c r="E647" s="211"/>
      <c r="F647" s="2"/>
      <c r="G647" s="2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11"/>
      <c r="E648" s="211"/>
      <c r="F648" s="2"/>
      <c r="G648" s="2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11"/>
      <c r="E649" s="211"/>
      <c r="F649" s="2"/>
      <c r="G649" s="2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11"/>
      <c r="E650" s="211"/>
      <c r="F650" s="2"/>
      <c r="G650" s="2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11"/>
      <c r="E651" s="211"/>
      <c r="F651" s="2"/>
      <c r="G651" s="2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11"/>
      <c r="E652" s="211"/>
      <c r="F652" s="2"/>
      <c r="G652" s="2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11"/>
      <c r="E653" s="211"/>
      <c r="F653" s="2"/>
      <c r="G653" s="2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11"/>
      <c r="E654" s="211"/>
      <c r="F654" s="2"/>
      <c r="G654" s="2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11"/>
      <c r="E655" s="211"/>
      <c r="F655" s="2"/>
      <c r="G655" s="2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11"/>
      <c r="E656" s="211"/>
      <c r="F656" s="2"/>
      <c r="G656" s="2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11"/>
      <c r="E657" s="211"/>
      <c r="F657" s="2"/>
      <c r="G657" s="2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11"/>
      <c r="E658" s="211"/>
      <c r="F658" s="2"/>
      <c r="G658" s="2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11"/>
      <c r="E659" s="211"/>
      <c r="F659" s="2"/>
      <c r="G659" s="2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11"/>
      <c r="E660" s="211"/>
      <c r="F660" s="2"/>
      <c r="G660" s="2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11"/>
      <c r="E661" s="211"/>
      <c r="F661" s="2"/>
      <c r="G661" s="2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11"/>
      <c r="E662" s="211"/>
      <c r="F662" s="2"/>
      <c r="G662" s="2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11"/>
      <c r="E663" s="211"/>
      <c r="F663" s="2"/>
      <c r="G663" s="2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11"/>
      <c r="E664" s="211"/>
      <c r="F664" s="2"/>
      <c r="G664" s="2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11"/>
      <c r="E665" s="211"/>
      <c r="F665" s="2"/>
      <c r="G665" s="2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11"/>
      <c r="E666" s="211"/>
      <c r="F666" s="2"/>
      <c r="G666" s="2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11"/>
      <c r="E667" s="211"/>
      <c r="F667" s="2"/>
      <c r="G667" s="2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11"/>
      <c r="E668" s="211"/>
      <c r="F668" s="2"/>
      <c r="G668" s="2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11"/>
      <c r="E669" s="211"/>
      <c r="F669" s="2"/>
      <c r="G669" s="2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11"/>
      <c r="E670" s="211"/>
      <c r="F670" s="2"/>
      <c r="G670" s="2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11"/>
      <c r="E671" s="211"/>
      <c r="F671" s="2"/>
      <c r="G671" s="2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11"/>
      <c r="E672" s="211"/>
      <c r="F672" s="2"/>
      <c r="G672" s="2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11"/>
      <c r="E673" s="211"/>
      <c r="F673" s="2"/>
      <c r="G673" s="2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11"/>
      <c r="E674" s="211"/>
      <c r="F674" s="2"/>
      <c r="G674" s="2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11"/>
      <c r="E675" s="211"/>
      <c r="F675" s="2"/>
      <c r="G675" s="2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11"/>
      <c r="E676" s="211"/>
      <c r="F676" s="2"/>
      <c r="G676" s="2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11"/>
      <c r="E677" s="211"/>
      <c r="F677" s="2"/>
      <c r="G677" s="2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11"/>
      <c r="E678" s="211"/>
      <c r="F678" s="2"/>
      <c r="G678" s="2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11"/>
      <c r="E679" s="211"/>
      <c r="F679" s="2"/>
      <c r="G679" s="2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11"/>
      <c r="E680" s="211"/>
      <c r="F680" s="2"/>
      <c r="G680" s="2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11"/>
      <c r="E681" s="211"/>
      <c r="F681" s="2"/>
      <c r="G681" s="2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11"/>
      <c r="E682" s="211"/>
      <c r="F682" s="2"/>
      <c r="G682" s="2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11"/>
      <c r="E683" s="211"/>
      <c r="F683" s="2"/>
      <c r="G683" s="2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11"/>
      <c r="E684" s="211"/>
      <c r="F684" s="2"/>
      <c r="G684" s="2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11"/>
      <c r="E685" s="211"/>
      <c r="F685" s="2"/>
      <c r="G685" s="2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11"/>
      <c r="E686" s="211"/>
      <c r="F686" s="2"/>
      <c r="G686" s="2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11"/>
      <c r="E687" s="211"/>
      <c r="F687" s="2"/>
      <c r="G687" s="2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11"/>
      <c r="E688" s="211"/>
      <c r="F688" s="2"/>
      <c r="G688" s="2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11"/>
      <c r="E689" s="211"/>
      <c r="F689" s="2"/>
      <c r="G689" s="2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11"/>
      <c r="E690" s="211"/>
      <c r="F690" s="2"/>
      <c r="G690" s="2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11"/>
      <c r="E691" s="211"/>
      <c r="F691" s="2"/>
      <c r="G691" s="2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11"/>
      <c r="E692" s="211"/>
      <c r="F692" s="2"/>
      <c r="G692" s="2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11"/>
      <c r="E693" s="211"/>
      <c r="F693" s="2"/>
      <c r="G693" s="2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11"/>
      <c r="E694" s="211"/>
      <c r="F694" s="2"/>
      <c r="G694" s="2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11"/>
      <c r="E695" s="211"/>
      <c r="F695" s="2"/>
      <c r="G695" s="2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11"/>
      <c r="E696" s="211"/>
      <c r="F696" s="2"/>
      <c r="G696" s="2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11"/>
      <c r="E697" s="211"/>
      <c r="F697" s="2"/>
      <c r="G697" s="2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11"/>
      <c r="E698" s="211"/>
      <c r="F698" s="2"/>
      <c r="G698" s="2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11"/>
      <c r="E699" s="211"/>
      <c r="F699" s="2"/>
      <c r="G699" s="2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11"/>
      <c r="E700" s="211"/>
      <c r="F700" s="2"/>
      <c r="G700" s="2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11"/>
      <c r="E701" s="211"/>
      <c r="F701" s="2"/>
      <c r="G701" s="2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11"/>
      <c r="E702" s="211"/>
      <c r="F702" s="2"/>
      <c r="G702" s="2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11"/>
      <c r="E703" s="211"/>
      <c r="F703" s="2"/>
      <c r="G703" s="2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11"/>
      <c r="E704" s="211"/>
      <c r="F704" s="2"/>
      <c r="G704" s="2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11"/>
      <c r="E705" s="211"/>
      <c r="F705" s="2"/>
      <c r="G705" s="2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11"/>
      <c r="E706" s="211"/>
      <c r="F706" s="2"/>
      <c r="G706" s="2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11"/>
      <c r="E707" s="211"/>
      <c r="F707" s="2"/>
      <c r="G707" s="2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11"/>
      <c r="E708" s="211"/>
      <c r="F708" s="2"/>
      <c r="G708" s="2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11"/>
      <c r="E709" s="211"/>
      <c r="F709" s="2"/>
      <c r="G709" s="2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11"/>
      <c r="E710" s="211"/>
      <c r="F710" s="2"/>
      <c r="G710" s="2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11"/>
      <c r="E711" s="211"/>
      <c r="F711" s="2"/>
      <c r="G711" s="2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11"/>
      <c r="E712" s="211"/>
      <c r="F712" s="2"/>
      <c r="G712" s="2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11"/>
      <c r="E713" s="211"/>
      <c r="F713" s="2"/>
      <c r="G713" s="2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11"/>
      <c r="E714" s="211"/>
      <c r="F714" s="2"/>
      <c r="G714" s="2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11"/>
      <c r="E715" s="211"/>
      <c r="F715" s="2"/>
      <c r="G715" s="2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11"/>
      <c r="E716" s="211"/>
      <c r="F716" s="2"/>
      <c r="G716" s="2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11"/>
      <c r="E717" s="211"/>
      <c r="F717" s="2"/>
      <c r="G717" s="2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11"/>
      <c r="E718" s="211"/>
      <c r="F718" s="2"/>
      <c r="G718" s="2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11"/>
      <c r="E719" s="211"/>
      <c r="F719" s="2"/>
      <c r="G719" s="2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11"/>
      <c r="E720" s="211"/>
      <c r="F720" s="2"/>
      <c r="G720" s="2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11"/>
      <c r="E721" s="211"/>
      <c r="F721" s="2"/>
      <c r="G721" s="2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11"/>
      <c r="E722" s="211"/>
      <c r="F722" s="2"/>
      <c r="G722" s="2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11"/>
      <c r="E723" s="211"/>
      <c r="F723" s="2"/>
      <c r="G723" s="2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11"/>
      <c r="E724" s="211"/>
      <c r="F724" s="2"/>
      <c r="G724" s="2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11"/>
      <c r="E725" s="211"/>
      <c r="F725" s="2"/>
      <c r="G725" s="2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11"/>
      <c r="E726" s="211"/>
      <c r="F726" s="2"/>
      <c r="G726" s="2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11"/>
      <c r="E727" s="211"/>
      <c r="F727" s="2"/>
      <c r="G727" s="2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11"/>
      <c r="E728" s="211"/>
      <c r="F728" s="2"/>
      <c r="G728" s="2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11"/>
      <c r="E729" s="211"/>
      <c r="F729" s="2"/>
      <c r="G729" s="2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11"/>
      <c r="E730" s="211"/>
      <c r="F730" s="2"/>
      <c r="G730" s="2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11"/>
      <c r="E731" s="211"/>
      <c r="F731" s="2"/>
      <c r="G731" s="2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11"/>
      <c r="E732" s="211"/>
      <c r="F732" s="2"/>
      <c r="G732" s="2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11"/>
      <c r="E733" s="211"/>
      <c r="F733" s="2"/>
      <c r="G733" s="2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11"/>
      <c r="E734" s="211"/>
      <c r="F734" s="2"/>
      <c r="G734" s="2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11"/>
      <c r="E735" s="211"/>
      <c r="F735" s="2"/>
      <c r="G735" s="2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11"/>
      <c r="E736" s="211"/>
      <c r="F736" s="2"/>
      <c r="G736" s="2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11"/>
      <c r="E737" s="211"/>
      <c r="F737" s="2"/>
      <c r="G737" s="2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11"/>
      <c r="E738" s="211"/>
      <c r="F738" s="2"/>
      <c r="G738" s="2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11"/>
      <c r="E739" s="211"/>
      <c r="F739" s="2"/>
      <c r="G739" s="2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11"/>
      <c r="E740" s="211"/>
      <c r="F740" s="2"/>
      <c r="G740" s="2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11"/>
      <c r="E741" s="211"/>
      <c r="F741" s="2"/>
      <c r="G741" s="2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11"/>
      <c r="E742" s="211"/>
      <c r="F742" s="2"/>
      <c r="G742" s="2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11"/>
      <c r="E743" s="211"/>
      <c r="F743" s="2"/>
      <c r="G743" s="2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11"/>
      <c r="E744" s="211"/>
      <c r="F744" s="2"/>
      <c r="G744" s="2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11"/>
      <c r="E745" s="211"/>
      <c r="F745" s="2"/>
      <c r="G745" s="2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11"/>
      <c r="E746" s="211"/>
      <c r="F746" s="2"/>
      <c r="G746" s="2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11"/>
      <c r="E747" s="211"/>
      <c r="F747" s="2"/>
      <c r="G747" s="2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11"/>
      <c r="E748" s="211"/>
      <c r="F748" s="2"/>
      <c r="G748" s="2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11"/>
      <c r="E749" s="211"/>
      <c r="F749" s="2"/>
      <c r="G749" s="2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11"/>
      <c r="E750" s="211"/>
      <c r="F750" s="2"/>
      <c r="G750" s="2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11"/>
      <c r="E751" s="211"/>
      <c r="F751" s="2"/>
      <c r="G751" s="2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11"/>
      <c r="E752" s="211"/>
      <c r="F752" s="2"/>
      <c r="G752" s="2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11"/>
      <c r="E753" s="211"/>
      <c r="F753" s="2"/>
      <c r="G753" s="2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11"/>
      <c r="E754" s="211"/>
      <c r="F754" s="2"/>
      <c r="G754" s="2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11"/>
      <c r="E755" s="211"/>
      <c r="F755" s="2"/>
      <c r="G755" s="2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11"/>
      <c r="E756" s="211"/>
      <c r="F756" s="2"/>
      <c r="G756" s="2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11"/>
      <c r="E757" s="211"/>
      <c r="F757" s="2"/>
      <c r="G757" s="2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11"/>
      <c r="E758" s="211"/>
      <c r="F758" s="2"/>
      <c r="G758" s="2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11"/>
      <c r="E759" s="211"/>
      <c r="F759" s="2"/>
      <c r="G759" s="2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11"/>
      <c r="E760" s="211"/>
      <c r="F760" s="2"/>
      <c r="G760" s="2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11"/>
      <c r="E761" s="211"/>
      <c r="F761" s="2"/>
      <c r="G761" s="2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11"/>
      <c r="E762" s="211"/>
      <c r="F762" s="2"/>
      <c r="G762" s="2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11"/>
      <c r="E763" s="211"/>
      <c r="F763" s="2"/>
      <c r="G763" s="2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11"/>
      <c r="E764" s="211"/>
      <c r="F764" s="2"/>
      <c r="G764" s="2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11"/>
      <c r="E765" s="211"/>
      <c r="F765" s="2"/>
      <c r="G765" s="2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11"/>
      <c r="E766" s="211"/>
      <c r="F766" s="2"/>
      <c r="G766" s="2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11"/>
      <c r="E767" s="211"/>
      <c r="F767" s="2"/>
      <c r="G767" s="2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11"/>
      <c r="E768" s="211"/>
      <c r="F768" s="2"/>
      <c r="G768" s="2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11"/>
      <c r="E769" s="211"/>
      <c r="F769" s="2"/>
      <c r="G769" s="2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11"/>
      <c r="E770" s="211"/>
      <c r="F770" s="2"/>
      <c r="G770" s="2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11"/>
      <c r="E771" s="211"/>
      <c r="F771" s="2"/>
      <c r="G771" s="2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11"/>
      <c r="E772" s="211"/>
      <c r="F772" s="2"/>
      <c r="G772" s="2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11"/>
      <c r="E773" s="211"/>
      <c r="F773" s="2"/>
      <c r="G773" s="2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11"/>
      <c r="E774" s="211"/>
      <c r="F774" s="2"/>
      <c r="G774" s="2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11"/>
      <c r="E775" s="211"/>
      <c r="F775" s="2"/>
      <c r="G775" s="2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11"/>
      <c r="E776" s="211"/>
      <c r="F776" s="2"/>
      <c r="G776" s="2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11"/>
      <c r="E777" s="211"/>
      <c r="F777" s="2"/>
      <c r="G777" s="2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11"/>
      <c r="E778" s="211"/>
      <c r="F778" s="2"/>
      <c r="G778" s="2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11"/>
      <c r="E779" s="211"/>
      <c r="F779" s="2"/>
      <c r="G779" s="2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11"/>
      <c r="E780" s="211"/>
      <c r="F780" s="2"/>
      <c r="G780" s="2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11"/>
      <c r="E781" s="211"/>
      <c r="F781" s="2"/>
      <c r="G781" s="2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11"/>
      <c r="E782" s="211"/>
      <c r="F782" s="2"/>
      <c r="G782" s="2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11"/>
      <c r="E783" s="211"/>
      <c r="F783" s="2"/>
      <c r="G783" s="2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11"/>
      <c r="E784" s="211"/>
      <c r="F784" s="2"/>
      <c r="G784" s="2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11"/>
      <c r="E785" s="211"/>
      <c r="F785" s="2"/>
      <c r="G785" s="2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11"/>
      <c r="E786" s="211"/>
      <c r="F786" s="2"/>
      <c r="G786" s="2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11"/>
      <c r="E787" s="211"/>
      <c r="F787" s="2"/>
      <c r="G787" s="2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11"/>
      <c r="E788" s="211"/>
      <c r="F788" s="2"/>
      <c r="G788" s="2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11"/>
      <c r="E789" s="211"/>
      <c r="F789" s="2"/>
      <c r="G789" s="2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11"/>
      <c r="E790" s="211"/>
      <c r="F790" s="2"/>
      <c r="G790" s="2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11"/>
      <c r="E791" s="211"/>
      <c r="F791" s="2"/>
      <c r="G791" s="2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11"/>
      <c r="E792" s="211"/>
      <c r="F792" s="2"/>
      <c r="G792" s="2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11"/>
      <c r="E793" s="211"/>
      <c r="F793" s="2"/>
      <c r="G793" s="2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11"/>
      <c r="E794" s="211"/>
      <c r="F794" s="2"/>
      <c r="G794" s="2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11"/>
      <c r="E795" s="211"/>
      <c r="F795" s="2"/>
      <c r="G795" s="2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11"/>
      <c r="E796" s="211"/>
      <c r="F796" s="2"/>
      <c r="G796" s="2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11"/>
      <c r="E797" s="211"/>
      <c r="F797" s="2"/>
      <c r="G797" s="2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11"/>
      <c r="E798" s="211"/>
      <c r="F798" s="2"/>
      <c r="G798" s="2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11"/>
      <c r="E799" s="211"/>
      <c r="F799" s="2"/>
      <c r="G799" s="2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11"/>
      <c r="E800" s="211"/>
      <c r="F800" s="2"/>
      <c r="G800" s="2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11"/>
      <c r="E801" s="211"/>
      <c r="F801" s="2"/>
      <c r="G801" s="2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11"/>
      <c r="E802" s="211"/>
      <c r="F802" s="2"/>
      <c r="G802" s="2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11"/>
      <c r="E803" s="211"/>
      <c r="F803" s="2"/>
      <c r="G803" s="2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11"/>
      <c r="E804" s="211"/>
      <c r="F804" s="2"/>
      <c r="G804" s="2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11"/>
      <c r="E805" s="211"/>
      <c r="F805" s="2"/>
      <c r="G805" s="2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11"/>
      <c r="E806" s="211"/>
      <c r="F806" s="2"/>
      <c r="G806" s="2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11"/>
      <c r="E807" s="211"/>
      <c r="F807" s="2"/>
      <c r="G807" s="2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11"/>
      <c r="E808" s="211"/>
      <c r="F808" s="2"/>
      <c r="G808" s="2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11"/>
      <c r="E809" s="211"/>
      <c r="F809" s="2"/>
      <c r="G809" s="2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11"/>
      <c r="E810" s="211"/>
      <c r="F810" s="2"/>
      <c r="G810" s="2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11"/>
      <c r="E811" s="211"/>
      <c r="F811" s="2"/>
      <c r="G811" s="2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11"/>
      <c r="E812" s="211"/>
      <c r="F812" s="2"/>
      <c r="G812" s="2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11"/>
      <c r="E813" s="211"/>
      <c r="F813" s="2"/>
      <c r="G813" s="2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11"/>
      <c r="E814" s="211"/>
      <c r="F814" s="2"/>
      <c r="G814" s="2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11"/>
      <c r="E815" s="211"/>
      <c r="F815" s="2"/>
      <c r="G815" s="2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11"/>
      <c r="E816" s="211"/>
      <c r="F816" s="2"/>
      <c r="G816" s="2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11"/>
      <c r="E817" s="211"/>
      <c r="F817" s="2"/>
      <c r="G817" s="2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11"/>
      <c r="E818" s="211"/>
      <c r="F818" s="2"/>
      <c r="G818" s="2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11"/>
      <c r="E819" s="211"/>
      <c r="F819" s="2"/>
      <c r="G819" s="2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11"/>
      <c r="E820" s="211"/>
      <c r="F820" s="2"/>
      <c r="G820" s="2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11"/>
      <c r="E821" s="211"/>
      <c r="F821" s="2"/>
      <c r="G821" s="2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11"/>
      <c r="E822" s="211"/>
      <c r="F822" s="2"/>
      <c r="G822" s="2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11"/>
      <c r="E823" s="211"/>
      <c r="F823" s="2"/>
      <c r="G823" s="2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11"/>
      <c r="E824" s="211"/>
      <c r="F824" s="2"/>
      <c r="G824" s="2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11"/>
      <c r="E825" s="211"/>
      <c r="F825" s="2"/>
      <c r="G825" s="2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11"/>
      <c r="E826" s="211"/>
      <c r="F826" s="2"/>
      <c r="G826" s="2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11"/>
      <c r="E827" s="211"/>
      <c r="F827" s="2"/>
      <c r="G827" s="2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11"/>
      <c r="E828" s="211"/>
      <c r="F828" s="2"/>
      <c r="G828" s="2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11"/>
      <c r="E829" s="211"/>
      <c r="F829" s="2"/>
      <c r="G829" s="2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11"/>
      <c r="E830" s="211"/>
      <c r="F830" s="2"/>
      <c r="G830" s="2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11"/>
      <c r="E831" s="211"/>
      <c r="F831" s="2"/>
      <c r="G831" s="2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11"/>
      <c r="E832" s="211"/>
      <c r="F832" s="2"/>
      <c r="G832" s="2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11"/>
      <c r="E833" s="211"/>
      <c r="F833" s="2"/>
      <c r="G833" s="2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11"/>
      <c r="E834" s="211"/>
      <c r="F834" s="2"/>
      <c r="G834" s="2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11"/>
      <c r="E835" s="211"/>
      <c r="F835" s="2"/>
      <c r="G835" s="2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11"/>
      <c r="E836" s="211"/>
      <c r="F836" s="2"/>
      <c r="G836" s="2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11"/>
      <c r="E837" s="211"/>
      <c r="F837" s="2"/>
      <c r="G837" s="2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11"/>
      <c r="E838" s="211"/>
      <c r="F838" s="2"/>
      <c r="G838" s="2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11"/>
      <c r="E839" s="211"/>
      <c r="F839" s="2"/>
      <c r="G839" s="2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11"/>
      <c r="E840" s="211"/>
      <c r="F840" s="2"/>
      <c r="G840" s="2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11"/>
      <c r="E841" s="211"/>
      <c r="F841" s="2"/>
      <c r="G841" s="2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11"/>
      <c r="E842" s="211"/>
      <c r="F842" s="2"/>
      <c r="G842" s="2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11"/>
      <c r="E843" s="211"/>
      <c r="F843" s="2"/>
      <c r="G843" s="2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11"/>
      <c r="E844" s="211"/>
      <c r="F844" s="2"/>
      <c r="G844" s="2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11"/>
      <c r="E845" s="211"/>
      <c r="F845" s="2"/>
      <c r="G845" s="2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11"/>
      <c r="E846" s="211"/>
      <c r="F846" s="2"/>
      <c r="G846" s="2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11"/>
      <c r="E847" s="211"/>
      <c r="F847" s="2"/>
      <c r="G847" s="2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11"/>
      <c r="E848" s="211"/>
      <c r="F848" s="2"/>
      <c r="G848" s="2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11"/>
      <c r="E849" s="211"/>
      <c r="F849" s="2"/>
      <c r="G849" s="2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11"/>
      <c r="E850" s="211"/>
      <c r="F850" s="2"/>
      <c r="G850" s="2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11"/>
      <c r="E851" s="211"/>
      <c r="F851" s="2"/>
      <c r="G851" s="2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11"/>
      <c r="E852" s="211"/>
      <c r="F852" s="2"/>
      <c r="G852" s="2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11"/>
      <c r="E853" s="211"/>
      <c r="F853" s="2"/>
      <c r="G853" s="2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11"/>
      <c r="E854" s="211"/>
      <c r="F854" s="2"/>
      <c r="G854" s="2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11"/>
      <c r="E855" s="211"/>
      <c r="F855" s="2"/>
      <c r="G855" s="2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11"/>
      <c r="E856" s="211"/>
      <c r="F856" s="2"/>
      <c r="G856" s="2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11"/>
      <c r="E857" s="211"/>
      <c r="F857" s="2"/>
      <c r="G857" s="2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11"/>
      <c r="E858" s="211"/>
      <c r="F858" s="2"/>
      <c r="G858" s="2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11"/>
      <c r="E859" s="211"/>
      <c r="F859" s="2"/>
      <c r="G859" s="2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11"/>
      <c r="E860" s="211"/>
      <c r="F860" s="2"/>
      <c r="G860" s="2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11"/>
      <c r="E861" s="211"/>
      <c r="F861" s="2"/>
      <c r="G861" s="2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11"/>
      <c r="E862" s="211"/>
      <c r="F862" s="2"/>
      <c r="G862" s="2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11"/>
      <c r="E863" s="211"/>
      <c r="F863" s="2"/>
      <c r="G863" s="2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11"/>
      <c r="E864" s="211"/>
      <c r="F864" s="2"/>
      <c r="G864" s="2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11"/>
      <c r="E865" s="211"/>
      <c r="F865" s="2"/>
      <c r="G865" s="2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11"/>
      <c r="E866" s="211"/>
      <c r="F866" s="2"/>
      <c r="G866" s="2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11"/>
      <c r="E867" s="211"/>
      <c r="F867" s="2"/>
      <c r="G867" s="2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11"/>
      <c r="E868" s="211"/>
      <c r="F868" s="2"/>
      <c r="G868" s="2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11"/>
      <c r="E869" s="211"/>
      <c r="F869" s="2"/>
      <c r="G869" s="2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11"/>
      <c r="E870" s="211"/>
      <c r="F870" s="2"/>
      <c r="G870" s="2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11"/>
      <c r="E871" s="211"/>
      <c r="F871" s="2"/>
      <c r="G871" s="2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11"/>
      <c r="E872" s="211"/>
      <c r="F872" s="2"/>
      <c r="G872" s="2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11"/>
      <c r="E873" s="211"/>
      <c r="F873" s="2"/>
      <c r="G873" s="2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11"/>
      <c r="E874" s="211"/>
      <c r="F874" s="2"/>
      <c r="G874" s="2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11"/>
      <c r="E875" s="211"/>
      <c r="F875" s="2"/>
      <c r="G875" s="2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11"/>
      <c r="E876" s="211"/>
      <c r="F876" s="2"/>
      <c r="G876" s="2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11"/>
      <c r="E877" s="211"/>
      <c r="F877" s="2"/>
      <c r="G877" s="2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11"/>
      <c r="E878" s="211"/>
      <c r="F878" s="2"/>
      <c r="G878" s="2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11"/>
      <c r="E879" s="211"/>
      <c r="F879" s="2"/>
      <c r="G879" s="2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11"/>
      <c r="E880" s="211"/>
      <c r="F880" s="2"/>
      <c r="G880" s="2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11"/>
      <c r="E881" s="211"/>
      <c r="F881" s="2"/>
      <c r="G881" s="2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11"/>
      <c r="E882" s="211"/>
      <c r="F882" s="2"/>
      <c r="G882" s="2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11"/>
      <c r="E883" s="211"/>
      <c r="F883" s="2"/>
      <c r="G883" s="2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11"/>
      <c r="E884" s="211"/>
      <c r="F884" s="2"/>
      <c r="G884" s="2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11"/>
      <c r="E885" s="211"/>
      <c r="F885" s="2"/>
      <c r="G885" s="2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11"/>
      <c r="E886" s="211"/>
      <c r="F886" s="2"/>
      <c r="G886" s="2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11"/>
      <c r="E887" s="211"/>
      <c r="F887" s="2"/>
      <c r="G887" s="2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11"/>
      <c r="E888" s="211"/>
      <c r="F888" s="2"/>
      <c r="G888" s="2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11"/>
      <c r="E889" s="211"/>
      <c r="F889" s="2"/>
      <c r="G889" s="2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11"/>
      <c r="E890" s="211"/>
      <c r="F890" s="2"/>
      <c r="G890" s="2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11"/>
      <c r="E891" s="211"/>
      <c r="F891" s="2"/>
      <c r="G891" s="2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11"/>
      <c r="E892" s="211"/>
      <c r="F892" s="2"/>
      <c r="G892" s="2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11"/>
      <c r="E893" s="211"/>
      <c r="F893" s="2"/>
      <c r="G893" s="2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11"/>
      <c r="E894" s="211"/>
      <c r="F894" s="2"/>
      <c r="G894" s="2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11"/>
      <c r="E895" s="211"/>
      <c r="F895" s="2"/>
      <c r="G895" s="2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11"/>
      <c r="E896" s="211"/>
      <c r="F896" s="2"/>
      <c r="G896" s="2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11"/>
      <c r="E897" s="211"/>
      <c r="F897" s="2"/>
      <c r="G897" s="2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11"/>
      <c r="E898" s="211"/>
      <c r="F898" s="2"/>
      <c r="G898" s="2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11"/>
      <c r="E899" s="211"/>
      <c r="F899" s="2"/>
      <c r="G899" s="2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11"/>
      <c r="E900" s="211"/>
      <c r="F900" s="2"/>
      <c r="G900" s="2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11"/>
      <c r="E901" s="211"/>
      <c r="F901" s="2"/>
      <c r="G901" s="2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11"/>
      <c r="E902" s="211"/>
      <c r="F902" s="2"/>
      <c r="G902" s="2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11"/>
      <c r="E903" s="211"/>
      <c r="F903" s="2"/>
      <c r="G903" s="2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11"/>
      <c r="E904" s="211"/>
      <c r="F904" s="2"/>
      <c r="G904" s="2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11"/>
      <c r="E905" s="211"/>
      <c r="F905" s="2"/>
      <c r="G905" s="2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11"/>
      <c r="E906" s="211"/>
      <c r="F906" s="2"/>
      <c r="G906" s="2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11"/>
      <c r="E907" s="211"/>
      <c r="F907" s="2"/>
      <c r="G907" s="2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11"/>
      <c r="E908" s="211"/>
      <c r="F908" s="2"/>
      <c r="G908" s="2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11"/>
      <c r="E909" s="211"/>
      <c r="F909" s="2"/>
      <c r="G909" s="2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11"/>
      <c r="E910" s="211"/>
      <c r="F910" s="2"/>
      <c r="G910" s="2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11"/>
      <c r="E911" s="211"/>
      <c r="F911" s="2"/>
      <c r="G911" s="2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11"/>
      <c r="E912" s="211"/>
      <c r="F912" s="2"/>
      <c r="G912" s="2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11"/>
      <c r="E913" s="211"/>
      <c r="F913" s="2"/>
      <c r="G913" s="2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11"/>
      <c r="E914" s="211"/>
      <c r="F914" s="2"/>
      <c r="G914" s="2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11"/>
      <c r="E915" s="211"/>
      <c r="F915" s="2"/>
      <c r="G915" s="2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11"/>
      <c r="E916" s="211"/>
      <c r="F916" s="2"/>
      <c r="G916" s="2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11"/>
      <c r="E917" s="211"/>
      <c r="F917" s="2"/>
      <c r="G917" s="2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11"/>
      <c r="E918" s="211"/>
      <c r="F918" s="2"/>
      <c r="G918" s="2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11"/>
      <c r="E919" s="211"/>
      <c r="F919" s="2"/>
      <c r="G919" s="2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11"/>
      <c r="E920" s="211"/>
      <c r="F920" s="2"/>
      <c r="G920" s="2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11"/>
      <c r="E921" s="211"/>
      <c r="F921" s="2"/>
      <c r="G921" s="2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11"/>
      <c r="E922" s="211"/>
      <c r="F922" s="2"/>
      <c r="G922" s="2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11"/>
      <c r="E923" s="211"/>
      <c r="F923" s="2"/>
      <c r="G923" s="2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11"/>
      <c r="E924" s="211"/>
      <c r="F924" s="2"/>
      <c r="G924" s="2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11"/>
      <c r="E925" s="211"/>
      <c r="F925" s="2"/>
      <c r="G925" s="2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11"/>
      <c r="E926" s="211"/>
      <c r="F926" s="2"/>
      <c r="G926" s="2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11"/>
      <c r="E927" s="211"/>
      <c r="F927" s="2"/>
      <c r="G927" s="2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11"/>
      <c r="E928" s="211"/>
      <c r="F928" s="2"/>
      <c r="G928" s="2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11"/>
      <c r="E929" s="211"/>
      <c r="F929" s="2"/>
      <c r="G929" s="2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11"/>
      <c r="E930" s="211"/>
      <c r="F930" s="2"/>
      <c r="G930" s="2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11"/>
      <c r="E931" s="211"/>
      <c r="F931" s="2"/>
      <c r="G931" s="2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11"/>
      <c r="E932" s="211"/>
      <c r="F932" s="2"/>
      <c r="G932" s="2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11"/>
      <c r="E933" s="211"/>
      <c r="F933" s="2"/>
      <c r="G933" s="2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11"/>
      <c r="E934" s="211"/>
      <c r="F934" s="2"/>
      <c r="G934" s="2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11"/>
      <c r="E935" s="211"/>
      <c r="F935" s="2"/>
      <c r="G935" s="2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11"/>
      <c r="E936" s="211"/>
      <c r="F936" s="2"/>
      <c r="G936" s="2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11"/>
      <c r="E937" s="211"/>
      <c r="F937" s="2"/>
      <c r="G937" s="2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11"/>
      <c r="E938" s="211"/>
      <c r="F938" s="2"/>
      <c r="G938" s="2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11"/>
      <c r="E939" s="211"/>
      <c r="F939" s="2"/>
      <c r="G939" s="2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11"/>
      <c r="E940" s="211"/>
      <c r="F940" s="2"/>
      <c r="G940" s="2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11"/>
      <c r="E941" s="211"/>
      <c r="F941" s="2"/>
      <c r="G941" s="2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11"/>
      <c r="E942" s="211"/>
      <c r="F942" s="2"/>
      <c r="G942" s="2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11"/>
      <c r="E943" s="211"/>
      <c r="F943" s="2"/>
      <c r="G943" s="2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11"/>
      <c r="E944" s="211"/>
      <c r="F944" s="2"/>
      <c r="G944" s="2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11"/>
      <c r="E945" s="211"/>
      <c r="F945" s="2"/>
      <c r="G945" s="2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11"/>
      <c r="E946" s="211"/>
      <c r="F946" s="2"/>
      <c r="G946" s="2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11"/>
      <c r="E947" s="211"/>
      <c r="F947" s="2"/>
      <c r="G947" s="2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11"/>
      <c r="E948" s="211"/>
      <c r="F948" s="2"/>
      <c r="G948" s="2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11"/>
      <c r="E949" s="211"/>
      <c r="F949" s="2"/>
      <c r="G949" s="2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11"/>
      <c r="E950" s="211"/>
      <c r="F950" s="2"/>
      <c r="G950" s="2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11"/>
      <c r="E951" s="211"/>
      <c r="F951" s="2"/>
      <c r="G951" s="2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11"/>
      <c r="E952" s="211"/>
      <c r="F952" s="2"/>
      <c r="G952" s="2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11"/>
      <c r="E953" s="211"/>
      <c r="F953" s="2"/>
      <c r="G953" s="2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11"/>
      <c r="E954" s="211"/>
      <c r="F954" s="2"/>
      <c r="G954" s="2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11"/>
      <c r="E955" s="211"/>
      <c r="F955" s="2"/>
      <c r="G955" s="2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11"/>
      <c r="E956" s="211"/>
      <c r="F956" s="2"/>
      <c r="G956" s="2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11"/>
      <c r="E957" s="211"/>
      <c r="F957" s="2"/>
      <c r="G957" s="2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11"/>
      <c r="E958" s="211"/>
      <c r="F958" s="2"/>
      <c r="G958" s="2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11"/>
      <c r="E959" s="211"/>
      <c r="F959" s="2"/>
      <c r="G959" s="2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11"/>
      <c r="E960" s="211"/>
      <c r="F960" s="2"/>
      <c r="G960" s="2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11"/>
      <c r="E961" s="211"/>
      <c r="F961" s="2"/>
      <c r="G961" s="2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11"/>
      <c r="E962" s="211"/>
      <c r="F962" s="2"/>
      <c r="G962" s="2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11"/>
      <c r="E963" s="211"/>
      <c r="F963" s="2"/>
      <c r="G963" s="2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11"/>
      <c r="E964" s="211"/>
      <c r="F964" s="2"/>
      <c r="G964" s="2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11"/>
      <c r="E965" s="211"/>
      <c r="F965" s="2"/>
      <c r="G965" s="2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11"/>
      <c r="E966" s="211"/>
      <c r="F966" s="2"/>
      <c r="G966" s="2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11"/>
      <c r="E967" s="211"/>
      <c r="F967" s="2"/>
      <c r="G967" s="2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11"/>
      <c r="E968" s="211"/>
      <c r="F968" s="2"/>
      <c r="G968" s="2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11"/>
      <c r="E969" s="211"/>
      <c r="F969" s="2"/>
      <c r="G969" s="2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11"/>
      <c r="E970" s="211"/>
      <c r="F970" s="2"/>
      <c r="G970" s="2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11"/>
      <c r="E971" s="211"/>
      <c r="F971" s="2"/>
      <c r="G971" s="2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11"/>
      <c r="E972" s="211"/>
      <c r="F972" s="2"/>
      <c r="G972" s="21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11"/>
      <c r="E973" s="211"/>
      <c r="F973" s="2"/>
      <c r="G973" s="21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11"/>
      <c r="E974" s="211"/>
      <c r="F974" s="2"/>
      <c r="G974" s="21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11"/>
      <c r="E975" s="211"/>
      <c r="F975" s="2"/>
      <c r="G975" s="21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11"/>
      <c r="E976" s="211"/>
      <c r="F976" s="2"/>
      <c r="G976" s="21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11"/>
      <c r="E977" s="211"/>
      <c r="F977" s="2"/>
      <c r="G977" s="21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11"/>
      <c r="E978" s="211"/>
      <c r="F978" s="2"/>
      <c r="G978" s="21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11"/>
      <c r="E979" s="211"/>
      <c r="F979" s="2"/>
      <c r="G979" s="21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11"/>
      <c r="E980" s="211"/>
      <c r="F980" s="2"/>
      <c r="G980" s="21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11"/>
      <c r="E981" s="211"/>
      <c r="F981" s="2"/>
      <c r="G981" s="21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11"/>
      <c r="E982" s="211"/>
      <c r="F982" s="2"/>
      <c r="G982" s="21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11"/>
      <c r="E983" s="211"/>
      <c r="F983" s="2"/>
      <c r="G983" s="21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11"/>
      <c r="E984" s="211"/>
      <c r="F984" s="2"/>
      <c r="G984" s="21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11"/>
      <c r="E985" s="211"/>
      <c r="F985" s="2"/>
      <c r="G985" s="21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11"/>
      <c r="E986" s="211"/>
      <c r="F986" s="2"/>
      <c r="G986" s="21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11"/>
      <c r="E987" s="211"/>
      <c r="F987" s="2"/>
      <c r="G987" s="21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11"/>
      <c r="E988" s="211"/>
      <c r="F988" s="2"/>
      <c r="G988" s="21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11"/>
      <c r="E989" s="211"/>
      <c r="F989" s="2"/>
      <c r="G989" s="21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11"/>
      <c r="E990" s="211"/>
      <c r="F990" s="2"/>
      <c r="G990" s="21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11"/>
      <c r="E991" s="211"/>
      <c r="F991" s="2"/>
      <c r="G991" s="21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11"/>
      <c r="E992" s="211"/>
      <c r="F992" s="2"/>
      <c r="G992" s="21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11"/>
      <c r="E993" s="211"/>
      <c r="F993" s="2"/>
      <c r="G993" s="21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11"/>
      <c r="E994" s="211"/>
      <c r="F994" s="2"/>
      <c r="G994" s="21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11"/>
      <c r="E995" s="211"/>
      <c r="F995" s="2"/>
      <c r="G995" s="21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11"/>
      <c r="E996" s="211"/>
      <c r="F996" s="2"/>
      <c r="G996" s="21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11"/>
      <c r="E997" s="211"/>
      <c r="F997" s="2"/>
      <c r="G997" s="21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11"/>
      <c r="E998" s="211"/>
      <c r="F998" s="2"/>
      <c r="G998" s="21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11"/>
      <c r="E999" s="211"/>
      <c r="F999" s="2"/>
      <c r="G999" s="21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11"/>
      <c r="E1000" s="211"/>
      <c r="F1000" s="2"/>
      <c r="G1000" s="21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1.38"/>
    <col customWidth="1" min="3" max="3" width="23.88"/>
    <col customWidth="1" min="4" max="7" width="15.13"/>
    <col customWidth="1" min="8" max="9" width="8.88"/>
    <col customWidth="1" min="10" max="10" width="15.13"/>
    <col customWidth="1" min="11" max="11" width="18.88"/>
    <col customWidth="1" min="12" max="12" width="32.63"/>
    <col customWidth="1" min="13" max="13" width="16.38"/>
  </cols>
  <sheetData>
    <row r="1" ht="30.0" customHeight="1">
      <c r="A1" s="33" t="s">
        <v>133</v>
      </c>
      <c r="B1" s="33" t="s">
        <v>43</v>
      </c>
      <c r="C1" s="33" t="s">
        <v>132</v>
      </c>
      <c r="D1" s="33" t="s">
        <v>535</v>
      </c>
      <c r="E1" s="33" t="s">
        <v>232</v>
      </c>
      <c r="F1" s="33" t="s">
        <v>536</v>
      </c>
      <c r="G1" s="33" t="s">
        <v>537</v>
      </c>
      <c r="H1" s="33" t="s">
        <v>538</v>
      </c>
      <c r="I1" s="33" t="s">
        <v>223</v>
      </c>
      <c r="J1" s="33" t="s">
        <v>224</v>
      </c>
      <c r="K1" s="33" t="s">
        <v>134</v>
      </c>
      <c r="L1" s="33" t="s">
        <v>44</v>
      </c>
      <c r="M1" s="33" t="s">
        <v>539</v>
      </c>
    </row>
    <row r="2">
      <c r="A2" s="224">
        <v>46311.0</v>
      </c>
      <c r="B2" s="114">
        <v>398.0</v>
      </c>
      <c r="C2" s="114" t="s">
        <v>140</v>
      </c>
      <c r="D2" s="225">
        <v>3150.0</v>
      </c>
      <c r="E2" s="114" t="s">
        <v>263</v>
      </c>
      <c r="F2" s="225">
        <v>0.0</v>
      </c>
      <c r="G2" s="224">
        <v>46314.0</v>
      </c>
      <c r="H2" s="226">
        <v>3.0</v>
      </c>
      <c r="I2" s="227">
        <v>0.005</v>
      </c>
      <c r="J2" s="228">
        <v>189880.0</v>
      </c>
      <c r="K2" s="114" t="s">
        <v>540</v>
      </c>
      <c r="L2" s="114" t="s">
        <v>541</v>
      </c>
      <c r="M2" s="114" t="s">
        <v>200</v>
      </c>
    </row>
    <row r="3">
      <c r="A3" s="224">
        <v>46313.0</v>
      </c>
      <c r="B3" s="114">
        <v>388.0</v>
      </c>
      <c r="C3" s="114" t="s">
        <v>317</v>
      </c>
      <c r="D3" s="225">
        <v>13747.0</v>
      </c>
      <c r="E3" s="114" t="s">
        <v>263</v>
      </c>
      <c r="F3" s="225">
        <v>0.0</v>
      </c>
      <c r="G3" s="224">
        <v>46314.0</v>
      </c>
      <c r="H3" s="226">
        <v>1.0</v>
      </c>
      <c r="I3" s="227">
        <v>0.005</v>
      </c>
      <c r="J3" s="228">
        <v>828662.0</v>
      </c>
      <c r="K3" s="114" t="s">
        <v>540</v>
      </c>
      <c r="L3" s="114" t="s">
        <v>541</v>
      </c>
      <c r="M3" s="114" t="s">
        <v>200</v>
      </c>
    </row>
    <row r="4">
      <c r="A4" s="224">
        <v>46315.0</v>
      </c>
      <c r="B4" s="114">
        <v>383.0</v>
      </c>
      <c r="C4" s="114" t="s">
        <v>198</v>
      </c>
      <c r="D4" s="225">
        <v>22615.0</v>
      </c>
      <c r="E4" s="114" t="s">
        <v>263</v>
      </c>
      <c r="F4" s="225">
        <v>0.0</v>
      </c>
      <c r="G4" s="115">
        <v>46316.0</v>
      </c>
      <c r="H4" s="226">
        <v>1.0</v>
      </c>
      <c r="I4" s="227">
        <v>0.005</v>
      </c>
      <c r="J4" s="228">
        <v>1358291.0</v>
      </c>
      <c r="K4" s="114" t="s">
        <v>540</v>
      </c>
      <c r="L4" s="114" t="s">
        <v>542</v>
      </c>
      <c r="M4" s="114" t="s">
        <v>200</v>
      </c>
    </row>
    <row r="5">
      <c r="A5" s="224">
        <v>46317.0</v>
      </c>
      <c r="B5" s="114">
        <v>395.0</v>
      </c>
      <c r="C5" s="114" t="s">
        <v>201</v>
      </c>
      <c r="D5" s="225">
        <v>12103.0</v>
      </c>
      <c r="E5" s="114" t="s">
        <v>263</v>
      </c>
      <c r="F5" s="225">
        <v>0.0</v>
      </c>
      <c r="G5" s="115">
        <v>46318.0</v>
      </c>
      <c r="H5" s="226">
        <v>1.0</v>
      </c>
      <c r="I5" s="227">
        <v>0.005</v>
      </c>
      <c r="J5" s="228">
        <v>720129.0</v>
      </c>
      <c r="K5" s="114" t="s">
        <v>540</v>
      </c>
      <c r="L5" s="114" t="s">
        <v>543</v>
      </c>
      <c r="M5" s="114" t="s">
        <v>200</v>
      </c>
    </row>
    <row r="6">
      <c r="A6" s="224">
        <v>46318.0</v>
      </c>
      <c r="B6" s="114">
        <v>403.0</v>
      </c>
      <c r="C6" s="114" t="s">
        <v>202</v>
      </c>
      <c r="D6" s="225">
        <v>3390.0</v>
      </c>
      <c r="E6" s="114" t="s">
        <v>263</v>
      </c>
      <c r="F6" s="225">
        <v>0.0</v>
      </c>
      <c r="G6" s="115">
        <v>46318.0</v>
      </c>
      <c r="H6" s="226">
        <v>0.0</v>
      </c>
      <c r="I6" s="227">
        <v>0.005</v>
      </c>
      <c r="J6" s="228">
        <v>201705.0</v>
      </c>
      <c r="K6" s="114" t="s">
        <v>540</v>
      </c>
      <c r="L6" s="114" t="s">
        <v>544</v>
      </c>
      <c r="M6" s="114" t="s">
        <v>200</v>
      </c>
    </row>
    <row r="7">
      <c r="A7" s="224">
        <v>46319.0</v>
      </c>
      <c r="B7" s="114">
        <v>404.0</v>
      </c>
      <c r="C7" s="114" t="s">
        <v>203</v>
      </c>
      <c r="D7" s="225">
        <v>1380.0</v>
      </c>
      <c r="E7" s="114" t="s">
        <v>263</v>
      </c>
      <c r="F7" s="225">
        <v>0.0</v>
      </c>
      <c r="G7" s="115">
        <v>46319.0</v>
      </c>
      <c r="H7" s="226">
        <v>0.0</v>
      </c>
      <c r="I7" s="227">
        <v>0.005</v>
      </c>
      <c r="J7" s="228">
        <v>82110.0</v>
      </c>
      <c r="K7" s="114" t="s">
        <v>540</v>
      </c>
      <c r="L7" s="114" t="s">
        <v>545</v>
      </c>
      <c r="M7" s="114" t="s">
        <v>200</v>
      </c>
    </row>
    <row r="8">
      <c r="A8" s="224">
        <v>46319.0</v>
      </c>
      <c r="B8" s="114">
        <v>397.0</v>
      </c>
      <c r="C8" s="114" t="s">
        <v>204</v>
      </c>
      <c r="D8" s="225">
        <v>7020.0</v>
      </c>
      <c r="E8" s="114" t="s">
        <v>263</v>
      </c>
      <c r="F8" s="225">
        <v>0.0</v>
      </c>
      <c r="G8" s="115">
        <v>46319.0</v>
      </c>
      <c r="H8" s="226">
        <v>0.0</v>
      </c>
      <c r="I8" s="227">
        <v>0.005</v>
      </c>
      <c r="J8" s="228">
        <v>417690.0</v>
      </c>
      <c r="K8" s="114" t="s">
        <v>540</v>
      </c>
      <c r="L8" s="114" t="s">
        <v>546</v>
      </c>
      <c r="M8" s="114" t="s">
        <v>200</v>
      </c>
    </row>
    <row r="9">
      <c r="A9" s="116"/>
      <c r="B9" s="117"/>
      <c r="C9" s="117"/>
      <c r="D9" s="229"/>
      <c r="E9" s="117"/>
      <c r="F9" s="229"/>
      <c r="G9" s="116"/>
      <c r="H9" s="148"/>
      <c r="I9" s="149"/>
      <c r="J9" s="150"/>
      <c r="K9" s="117"/>
      <c r="L9" s="117"/>
      <c r="M9" s="117"/>
    </row>
    <row r="10">
      <c r="A10" s="116"/>
      <c r="B10" s="117"/>
      <c r="C10" s="117"/>
      <c r="D10" s="229"/>
      <c r="E10" s="117"/>
      <c r="F10" s="229"/>
      <c r="G10" s="116"/>
      <c r="H10" s="148"/>
      <c r="I10" s="149"/>
      <c r="J10" s="150"/>
      <c r="K10" s="117"/>
      <c r="L10" s="117"/>
      <c r="M10" s="117"/>
    </row>
    <row r="11">
      <c r="A11" s="116"/>
      <c r="B11" s="117"/>
      <c r="C11" s="117"/>
      <c r="D11" s="229"/>
      <c r="E11" s="117"/>
      <c r="F11" s="229"/>
      <c r="G11" s="116"/>
      <c r="H11" s="148"/>
      <c r="I11" s="149"/>
      <c r="J11" s="150"/>
      <c r="K11" s="117"/>
      <c r="L11" s="117"/>
      <c r="M11" s="117"/>
    </row>
    <row r="12">
      <c r="A12" s="116"/>
      <c r="B12" s="117"/>
      <c r="C12" s="117"/>
      <c r="D12" s="229"/>
      <c r="E12" s="117"/>
      <c r="F12" s="229"/>
      <c r="G12" s="116"/>
      <c r="H12" s="148"/>
      <c r="I12" s="149"/>
      <c r="J12" s="150"/>
      <c r="K12" s="117"/>
      <c r="L12" s="117"/>
      <c r="M12" s="117"/>
    </row>
    <row r="13">
      <c r="A13" s="116"/>
      <c r="B13" s="117"/>
      <c r="C13" s="117"/>
      <c r="D13" s="229"/>
      <c r="E13" s="117"/>
      <c r="F13" s="229"/>
      <c r="G13" s="116"/>
      <c r="H13" s="148"/>
      <c r="I13" s="149"/>
      <c r="J13" s="150"/>
      <c r="K13" s="117"/>
      <c r="L13" s="117"/>
      <c r="M13" s="117"/>
    </row>
    <row r="14">
      <c r="A14" s="116"/>
      <c r="B14" s="117"/>
      <c r="C14" s="117"/>
      <c r="D14" s="229"/>
      <c r="E14" s="117"/>
      <c r="F14" s="229"/>
      <c r="G14" s="116"/>
      <c r="H14" s="148"/>
      <c r="I14" s="149"/>
      <c r="J14" s="150"/>
      <c r="K14" s="117"/>
      <c r="L14" s="117"/>
      <c r="M14" s="117"/>
    </row>
    <row r="15">
      <c r="A15" s="116"/>
      <c r="B15" s="117"/>
      <c r="C15" s="117"/>
      <c r="D15" s="229"/>
      <c r="E15" s="117"/>
      <c r="F15" s="229"/>
      <c r="G15" s="116"/>
      <c r="H15" s="148"/>
      <c r="I15" s="149"/>
      <c r="J15" s="150"/>
      <c r="K15" s="117"/>
      <c r="L15" s="117"/>
      <c r="M15" s="117"/>
    </row>
    <row r="16">
      <c r="A16" s="116"/>
      <c r="B16" s="117"/>
      <c r="C16" s="117"/>
      <c r="D16" s="229"/>
      <c r="E16" s="117"/>
      <c r="F16" s="229"/>
      <c r="G16" s="116"/>
      <c r="H16" s="148"/>
      <c r="I16" s="149"/>
      <c r="J16" s="150"/>
      <c r="K16" s="117"/>
      <c r="L16" s="117"/>
      <c r="M16" s="117"/>
    </row>
    <row r="17">
      <c r="A17" s="116"/>
      <c r="B17" s="117"/>
      <c r="C17" s="117"/>
      <c r="D17" s="229"/>
      <c r="E17" s="117"/>
      <c r="F17" s="229"/>
      <c r="G17" s="116"/>
      <c r="H17" s="148"/>
      <c r="I17" s="149"/>
      <c r="J17" s="150"/>
      <c r="K17" s="117"/>
      <c r="L17" s="117"/>
      <c r="M17" s="117"/>
    </row>
    <row r="18">
      <c r="A18" s="116"/>
      <c r="B18" s="117"/>
      <c r="C18" s="117"/>
      <c r="D18" s="229"/>
      <c r="E18" s="117"/>
      <c r="F18" s="229"/>
      <c r="G18" s="116"/>
      <c r="H18" s="148"/>
      <c r="I18" s="149"/>
      <c r="J18" s="150"/>
      <c r="K18" s="117"/>
      <c r="L18" s="117"/>
      <c r="M18" s="117"/>
    </row>
    <row r="19">
      <c r="A19" s="116"/>
      <c r="B19" s="117"/>
      <c r="C19" s="117"/>
      <c r="D19" s="229"/>
      <c r="E19" s="117"/>
      <c r="F19" s="229"/>
      <c r="G19" s="116"/>
      <c r="H19" s="148"/>
      <c r="I19" s="149"/>
      <c r="J19" s="150"/>
      <c r="K19" s="117"/>
      <c r="L19" s="117"/>
      <c r="M19" s="117"/>
    </row>
    <row r="20">
      <c r="A20" s="116"/>
      <c r="B20" s="117"/>
      <c r="C20" s="117"/>
      <c r="D20" s="229"/>
      <c r="E20" s="117"/>
      <c r="F20" s="229"/>
      <c r="G20" s="116"/>
      <c r="H20" s="148"/>
      <c r="I20" s="149"/>
      <c r="J20" s="150"/>
      <c r="K20" s="117"/>
      <c r="L20" s="117"/>
      <c r="M20" s="117"/>
    </row>
    <row r="21">
      <c r="A21" s="116"/>
      <c r="B21" s="117"/>
      <c r="C21" s="117"/>
      <c r="D21" s="229"/>
      <c r="E21" s="117"/>
      <c r="F21" s="229"/>
      <c r="G21" s="116"/>
      <c r="H21" s="148"/>
      <c r="I21" s="149"/>
      <c r="J21" s="150"/>
      <c r="K21" s="117"/>
      <c r="L21" s="117"/>
      <c r="M21" s="117"/>
    </row>
    <row r="22">
      <c r="A22" s="116"/>
      <c r="B22" s="117"/>
      <c r="C22" s="117"/>
      <c r="D22" s="229"/>
      <c r="E22" s="117"/>
      <c r="F22" s="229"/>
      <c r="G22" s="116"/>
      <c r="H22" s="148"/>
      <c r="I22" s="149"/>
      <c r="J22" s="150"/>
      <c r="K22" s="117"/>
      <c r="L22" s="117"/>
      <c r="M22" s="117"/>
    </row>
    <row r="23">
      <c r="A23" s="116"/>
      <c r="B23" s="117"/>
      <c r="C23" s="117"/>
      <c r="D23" s="229"/>
      <c r="E23" s="117"/>
      <c r="F23" s="229"/>
      <c r="G23" s="116"/>
      <c r="H23" s="148"/>
      <c r="I23" s="149"/>
      <c r="J23" s="150"/>
      <c r="K23" s="117"/>
      <c r="L23" s="117"/>
      <c r="M23" s="117"/>
    </row>
    <row r="24">
      <c r="A24" s="116"/>
      <c r="B24" s="117"/>
      <c r="C24" s="117"/>
      <c r="D24" s="229"/>
      <c r="E24" s="117"/>
      <c r="F24" s="229"/>
      <c r="G24" s="116"/>
      <c r="H24" s="148"/>
      <c r="I24" s="149"/>
      <c r="J24" s="150"/>
      <c r="K24" s="117"/>
      <c r="L24" s="117"/>
      <c r="M24" s="117"/>
    </row>
    <row r="25">
      <c r="A25" s="116"/>
      <c r="B25" s="117"/>
      <c r="C25" s="117"/>
      <c r="D25" s="229"/>
      <c r="E25" s="117"/>
      <c r="F25" s="229"/>
      <c r="G25" s="116"/>
      <c r="H25" s="148"/>
      <c r="I25" s="149"/>
      <c r="J25" s="150"/>
      <c r="K25" s="117"/>
      <c r="L25" s="117"/>
      <c r="M25" s="117"/>
    </row>
    <row r="26">
      <c r="A26" s="116"/>
      <c r="B26" s="117"/>
      <c r="C26" s="117"/>
      <c r="D26" s="229"/>
      <c r="E26" s="117"/>
      <c r="F26" s="229"/>
      <c r="G26" s="116"/>
      <c r="H26" s="148"/>
      <c r="I26" s="149"/>
      <c r="J26" s="150"/>
      <c r="K26" s="117"/>
      <c r="L26" s="117"/>
      <c r="M26" s="117"/>
    </row>
    <row r="27">
      <c r="A27" s="116"/>
      <c r="B27" s="117"/>
      <c r="C27" s="117"/>
      <c r="D27" s="229"/>
      <c r="E27" s="117"/>
      <c r="F27" s="229"/>
      <c r="G27" s="116"/>
      <c r="H27" s="148"/>
      <c r="I27" s="149"/>
      <c r="J27" s="150"/>
      <c r="K27" s="117"/>
      <c r="L27" s="117"/>
      <c r="M27" s="117"/>
    </row>
    <row r="28">
      <c r="A28" s="116"/>
      <c r="B28" s="117"/>
      <c r="C28" s="117"/>
      <c r="D28" s="229"/>
      <c r="E28" s="117"/>
      <c r="F28" s="229"/>
      <c r="G28" s="116"/>
      <c r="H28" s="148"/>
      <c r="I28" s="149"/>
      <c r="J28" s="150"/>
      <c r="K28" s="117"/>
      <c r="L28" s="117"/>
      <c r="M28" s="117"/>
    </row>
    <row r="29">
      <c r="A29" s="116"/>
      <c r="B29" s="117"/>
      <c r="C29" s="117"/>
      <c r="D29" s="229"/>
      <c r="E29" s="117"/>
      <c r="F29" s="229"/>
      <c r="G29" s="116"/>
      <c r="H29" s="148"/>
      <c r="I29" s="149"/>
      <c r="J29" s="150"/>
      <c r="K29" s="117"/>
      <c r="L29" s="117"/>
      <c r="M29" s="117"/>
    </row>
    <row r="30">
      <c r="A30" s="116"/>
      <c r="B30" s="117"/>
      <c r="C30" s="117"/>
      <c r="D30" s="229"/>
      <c r="E30" s="117"/>
      <c r="F30" s="229"/>
      <c r="G30" s="116"/>
      <c r="H30" s="148"/>
      <c r="I30" s="149"/>
      <c r="J30" s="150"/>
      <c r="K30" s="117"/>
      <c r="L30" s="117"/>
      <c r="M30" s="117"/>
    </row>
    <row r="31">
      <c r="A31" s="116"/>
      <c r="B31" s="117"/>
      <c r="C31" s="117"/>
      <c r="D31" s="229"/>
      <c r="E31" s="117"/>
      <c r="F31" s="229"/>
      <c r="G31" s="116"/>
      <c r="H31" s="148"/>
      <c r="I31" s="149"/>
      <c r="J31" s="150"/>
      <c r="K31" s="117"/>
      <c r="L31" s="117"/>
      <c r="M31" s="117"/>
    </row>
    <row r="32">
      <c r="A32" s="116"/>
      <c r="B32" s="117"/>
      <c r="C32" s="117"/>
      <c r="D32" s="229"/>
      <c r="E32" s="117"/>
      <c r="F32" s="229"/>
      <c r="G32" s="116"/>
      <c r="H32" s="148"/>
      <c r="I32" s="149"/>
      <c r="J32" s="150"/>
      <c r="K32" s="117"/>
      <c r="L32" s="117"/>
      <c r="M32" s="117"/>
    </row>
    <row r="33">
      <c r="A33" s="116"/>
      <c r="B33" s="117"/>
      <c r="C33" s="117"/>
      <c r="D33" s="229"/>
      <c r="E33" s="117"/>
      <c r="F33" s="229"/>
      <c r="G33" s="116"/>
      <c r="H33" s="148"/>
      <c r="I33" s="149"/>
      <c r="J33" s="150"/>
      <c r="K33" s="117"/>
      <c r="L33" s="117"/>
      <c r="M33" s="117"/>
    </row>
    <row r="34">
      <c r="A34" s="116"/>
      <c r="B34" s="117"/>
      <c r="C34" s="117"/>
      <c r="D34" s="229"/>
      <c r="E34" s="117"/>
      <c r="F34" s="229"/>
      <c r="G34" s="116"/>
      <c r="H34" s="148"/>
      <c r="I34" s="149"/>
      <c r="J34" s="150"/>
      <c r="K34" s="117"/>
      <c r="L34" s="117"/>
      <c r="M34" s="117"/>
    </row>
    <row r="35">
      <c r="A35" s="116"/>
      <c r="B35" s="117"/>
      <c r="C35" s="117"/>
      <c r="D35" s="229"/>
      <c r="E35" s="117"/>
      <c r="F35" s="229"/>
      <c r="G35" s="116"/>
      <c r="H35" s="148"/>
      <c r="I35" s="149"/>
      <c r="J35" s="150"/>
      <c r="K35" s="117"/>
      <c r="L35" s="117"/>
      <c r="M35" s="117"/>
    </row>
    <row r="36">
      <c r="A36" s="116"/>
      <c r="B36" s="117"/>
      <c r="C36" s="117"/>
      <c r="D36" s="229"/>
      <c r="E36" s="117"/>
      <c r="F36" s="229"/>
      <c r="G36" s="116"/>
      <c r="H36" s="148"/>
      <c r="I36" s="149"/>
      <c r="J36" s="150"/>
      <c r="K36" s="117"/>
      <c r="L36" s="117"/>
      <c r="M36" s="117"/>
    </row>
    <row r="37">
      <c r="A37" s="116"/>
      <c r="B37" s="117"/>
      <c r="C37" s="117"/>
      <c r="D37" s="229"/>
      <c r="E37" s="117"/>
      <c r="F37" s="229"/>
      <c r="G37" s="116"/>
      <c r="H37" s="148"/>
      <c r="I37" s="149"/>
      <c r="J37" s="150"/>
      <c r="K37" s="117"/>
      <c r="L37" s="117"/>
      <c r="M37" s="117"/>
    </row>
    <row r="38">
      <c r="A38" s="116"/>
      <c r="B38" s="117"/>
      <c r="C38" s="117"/>
      <c r="D38" s="229"/>
      <c r="E38" s="117"/>
      <c r="F38" s="229"/>
      <c r="G38" s="116"/>
      <c r="H38" s="148"/>
      <c r="I38" s="149"/>
      <c r="J38" s="150"/>
      <c r="K38" s="117"/>
      <c r="L38" s="117"/>
      <c r="M38" s="117"/>
    </row>
    <row r="39">
      <c r="A39" s="116"/>
      <c r="B39" s="117"/>
      <c r="C39" s="117"/>
      <c r="D39" s="229"/>
      <c r="E39" s="117"/>
      <c r="F39" s="229"/>
      <c r="G39" s="116"/>
      <c r="H39" s="148"/>
      <c r="I39" s="149"/>
      <c r="J39" s="150"/>
      <c r="K39" s="117"/>
      <c r="L39" s="117"/>
      <c r="M39" s="117"/>
    </row>
    <row r="40">
      <c r="A40" s="116"/>
      <c r="B40" s="117"/>
      <c r="C40" s="117"/>
      <c r="D40" s="229"/>
      <c r="E40" s="117"/>
      <c r="F40" s="229"/>
      <c r="G40" s="116"/>
      <c r="H40" s="148"/>
      <c r="I40" s="149"/>
      <c r="J40" s="150"/>
      <c r="K40" s="117"/>
      <c r="L40" s="117"/>
      <c r="M40" s="117"/>
    </row>
    <row r="41">
      <c r="A41" s="116"/>
      <c r="B41" s="117"/>
      <c r="C41" s="117"/>
      <c r="D41" s="229"/>
      <c r="E41" s="117"/>
      <c r="F41" s="229"/>
      <c r="G41" s="116"/>
      <c r="H41" s="148"/>
      <c r="I41" s="149"/>
      <c r="J41" s="150"/>
      <c r="K41" s="117"/>
      <c r="L41" s="117"/>
      <c r="M41" s="117"/>
    </row>
    <row r="42">
      <c r="A42" s="116"/>
      <c r="B42" s="117"/>
      <c r="C42" s="117"/>
      <c r="D42" s="229"/>
      <c r="E42" s="117"/>
      <c r="F42" s="229"/>
      <c r="G42" s="116"/>
      <c r="H42" s="148"/>
      <c r="I42" s="149"/>
      <c r="J42" s="150"/>
      <c r="K42" s="117"/>
      <c r="L42" s="117"/>
      <c r="M42" s="117"/>
    </row>
    <row r="43">
      <c r="A43" s="116"/>
      <c r="B43" s="117"/>
      <c r="C43" s="117"/>
      <c r="D43" s="229"/>
      <c r="E43" s="117"/>
      <c r="F43" s="229"/>
      <c r="G43" s="116"/>
      <c r="H43" s="148"/>
      <c r="I43" s="149"/>
      <c r="J43" s="150"/>
      <c r="K43" s="117"/>
      <c r="L43" s="117"/>
      <c r="M43" s="117"/>
    </row>
    <row r="44">
      <c r="A44" s="116"/>
      <c r="B44" s="117"/>
      <c r="C44" s="117"/>
      <c r="D44" s="229"/>
      <c r="E44" s="117"/>
      <c r="F44" s="229"/>
      <c r="G44" s="116"/>
      <c r="H44" s="148"/>
      <c r="I44" s="149"/>
      <c r="J44" s="150"/>
      <c r="K44" s="117"/>
      <c r="L44" s="117"/>
      <c r="M44" s="117"/>
    </row>
    <row r="45">
      <c r="A45" s="116"/>
      <c r="B45" s="117"/>
      <c r="C45" s="117"/>
      <c r="D45" s="229"/>
      <c r="E45" s="117"/>
      <c r="F45" s="229"/>
      <c r="G45" s="116"/>
      <c r="H45" s="148"/>
      <c r="I45" s="149"/>
      <c r="J45" s="150"/>
      <c r="K45" s="117"/>
      <c r="L45" s="117"/>
      <c r="M45" s="117"/>
    </row>
    <row r="46">
      <c r="A46" s="116"/>
      <c r="B46" s="117"/>
      <c r="C46" s="117"/>
      <c r="D46" s="229"/>
      <c r="E46" s="117"/>
      <c r="F46" s="229"/>
      <c r="G46" s="116"/>
      <c r="H46" s="148"/>
      <c r="I46" s="149"/>
      <c r="J46" s="150"/>
      <c r="K46" s="117"/>
      <c r="L46" s="117"/>
      <c r="M46" s="117"/>
    </row>
    <row r="47">
      <c r="A47" s="116"/>
      <c r="B47" s="117"/>
      <c r="C47" s="117"/>
      <c r="D47" s="229"/>
      <c r="E47" s="117"/>
      <c r="F47" s="229"/>
      <c r="G47" s="116"/>
      <c r="H47" s="148"/>
      <c r="I47" s="149"/>
      <c r="J47" s="150"/>
      <c r="K47" s="117"/>
      <c r="L47" s="117"/>
      <c r="M47" s="117"/>
    </row>
    <row r="48">
      <c r="A48" s="116"/>
      <c r="B48" s="117"/>
      <c r="C48" s="117"/>
      <c r="D48" s="229"/>
      <c r="E48" s="117"/>
      <c r="F48" s="229"/>
      <c r="G48" s="116"/>
      <c r="H48" s="148"/>
      <c r="I48" s="149"/>
      <c r="J48" s="150"/>
      <c r="K48" s="117"/>
      <c r="L48" s="117"/>
      <c r="M48" s="117"/>
    </row>
    <row r="49">
      <c r="A49" s="116"/>
      <c r="B49" s="117"/>
      <c r="C49" s="117"/>
      <c r="D49" s="229"/>
      <c r="E49" s="117"/>
      <c r="F49" s="229"/>
      <c r="G49" s="116"/>
      <c r="H49" s="148"/>
      <c r="I49" s="149"/>
      <c r="J49" s="150"/>
      <c r="K49" s="117"/>
      <c r="L49" s="117"/>
      <c r="M49" s="117"/>
    </row>
    <row r="50">
      <c r="A50" s="116"/>
      <c r="B50" s="117"/>
      <c r="C50" s="117"/>
      <c r="D50" s="229"/>
      <c r="E50" s="117"/>
      <c r="F50" s="229"/>
      <c r="G50" s="116"/>
      <c r="H50" s="148"/>
      <c r="I50" s="149"/>
      <c r="J50" s="150"/>
      <c r="K50" s="117"/>
      <c r="L50" s="117"/>
      <c r="M50" s="117"/>
    </row>
    <row r="51">
      <c r="A51" s="116"/>
      <c r="B51" s="117"/>
      <c r="C51" s="117"/>
      <c r="D51" s="229"/>
      <c r="E51" s="117"/>
      <c r="F51" s="229"/>
      <c r="G51" s="116"/>
      <c r="H51" s="148"/>
      <c r="I51" s="149"/>
      <c r="J51" s="150"/>
      <c r="K51" s="117"/>
      <c r="L51" s="117"/>
      <c r="M51" s="117"/>
    </row>
    <row r="52">
      <c r="A52" s="116"/>
      <c r="B52" s="117"/>
      <c r="C52" s="117"/>
      <c r="D52" s="229"/>
      <c r="E52" s="117"/>
      <c r="F52" s="229"/>
      <c r="G52" s="116"/>
      <c r="H52" s="148"/>
      <c r="I52" s="149"/>
      <c r="J52" s="150"/>
      <c r="K52" s="117"/>
      <c r="L52" s="117"/>
      <c r="M52" s="117"/>
    </row>
    <row r="53">
      <c r="A53" s="116"/>
      <c r="B53" s="117"/>
      <c r="C53" s="117"/>
      <c r="D53" s="229"/>
      <c r="E53" s="117"/>
      <c r="F53" s="229"/>
      <c r="G53" s="116"/>
      <c r="H53" s="148"/>
      <c r="I53" s="149"/>
      <c r="J53" s="150"/>
      <c r="K53" s="117"/>
      <c r="L53" s="117"/>
      <c r="M53" s="117"/>
    </row>
    <row r="54">
      <c r="A54" s="116"/>
      <c r="B54" s="117"/>
      <c r="C54" s="117"/>
      <c r="D54" s="229"/>
      <c r="E54" s="117"/>
      <c r="F54" s="229"/>
      <c r="G54" s="116"/>
      <c r="H54" s="148"/>
      <c r="I54" s="149"/>
      <c r="J54" s="150"/>
      <c r="K54" s="117"/>
      <c r="L54" s="117"/>
      <c r="M54" s="117"/>
    </row>
    <row r="55">
      <c r="A55" s="116"/>
      <c r="B55" s="117"/>
      <c r="C55" s="117"/>
      <c r="D55" s="229"/>
      <c r="E55" s="117"/>
      <c r="F55" s="229"/>
      <c r="G55" s="116"/>
      <c r="H55" s="148"/>
      <c r="I55" s="149"/>
      <c r="J55" s="150"/>
      <c r="K55" s="117"/>
      <c r="L55" s="117"/>
      <c r="M55" s="117"/>
    </row>
    <row r="56">
      <c r="A56" s="116"/>
      <c r="B56" s="117"/>
      <c r="C56" s="117"/>
      <c r="D56" s="229"/>
      <c r="E56" s="117"/>
      <c r="F56" s="229"/>
      <c r="G56" s="116"/>
      <c r="H56" s="148"/>
      <c r="I56" s="149"/>
      <c r="J56" s="150"/>
      <c r="K56" s="117"/>
      <c r="L56" s="117"/>
      <c r="M56" s="117"/>
    </row>
    <row r="57">
      <c r="A57" s="116"/>
      <c r="B57" s="117"/>
      <c r="C57" s="117"/>
      <c r="D57" s="229"/>
      <c r="E57" s="117"/>
      <c r="F57" s="229"/>
      <c r="G57" s="116"/>
      <c r="H57" s="148"/>
      <c r="I57" s="149"/>
      <c r="J57" s="150"/>
      <c r="K57" s="117"/>
      <c r="L57" s="117"/>
      <c r="M57" s="117"/>
    </row>
    <row r="58">
      <c r="A58" s="116"/>
      <c r="B58" s="117"/>
      <c r="C58" s="117"/>
      <c r="D58" s="229"/>
      <c r="E58" s="117"/>
      <c r="F58" s="229"/>
      <c r="G58" s="116"/>
      <c r="H58" s="148"/>
      <c r="I58" s="149"/>
      <c r="J58" s="150"/>
      <c r="K58" s="117"/>
      <c r="L58" s="117"/>
      <c r="M58" s="117"/>
    </row>
    <row r="59">
      <c r="A59" s="116"/>
      <c r="B59" s="117"/>
      <c r="C59" s="117"/>
      <c r="D59" s="229"/>
      <c r="E59" s="117"/>
      <c r="F59" s="229"/>
      <c r="G59" s="116"/>
      <c r="H59" s="148"/>
      <c r="I59" s="149"/>
      <c r="J59" s="150"/>
      <c r="K59" s="117"/>
      <c r="L59" s="117"/>
      <c r="M59" s="117"/>
    </row>
    <row r="60">
      <c r="A60" s="116"/>
      <c r="B60" s="117"/>
      <c r="C60" s="117"/>
      <c r="D60" s="229"/>
      <c r="E60" s="117"/>
      <c r="F60" s="229"/>
      <c r="G60" s="116"/>
      <c r="H60" s="148"/>
      <c r="I60" s="149"/>
      <c r="J60" s="150"/>
      <c r="K60" s="117"/>
      <c r="L60" s="117"/>
      <c r="M60" s="117"/>
    </row>
    <row r="61">
      <c r="A61" s="116"/>
      <c r="B61" s="117"/>
      <c r="C61" s="117"/>
      <c r="D61" s="229"/>
      <c r="E61" s="117"/>
      <c r="F61" s="229"/>
      <c r="G61" s="116"/>
      <c r="H61" s="148"/>
      <c r="I61" s="149"/>
      <c r="J61" s="150"/>
      <c r="K61" s="117"/>
      <c r="L61" s="117"/>
      <c r="M61" s="117"/>
    </row>
    <row r="62">
      <c r="A62" s="116"/>
      <c r="B62" s="117"/>
      <c r="C62" s="117"/>
      <c r="D62" s="229"/>
      <c r="E62" s="117"/>
      <c r="F62" s="229"/>
      <c r="G62" s="116"/>
      <c r="H62" s="148"/>
      <c r="I62" s="149"/>
      <c r="J62" s="150"/>
      <c r="K62" s="117"/>
      <c r="L62" s="117"/>
      <c r="M62" s="117"/>
    </row>
    <row r="63">
      <c r="A63" s="116"/>
      <c r="B63" s="117"/>
      <c r="C63" s="117"/>
      <c r="D63" s="229"/>
      <c r="E63" s="117"/>
      <c r="F63" s="229"/>
      <c r="G63" s="116"/>
      <c r="H63" s="148"/>
      <c r="I63" s="149"/>
      <c r="J63" s="150"/>
      <c r="K63" s="117"/>
      <c r="L63" s="117"/>
      <c r="M63" s="117"/>
    </row>
    <row r="64">
      <c r="A64" s="116"/>
      <c r="B64" s="117"/>
      <c r="C64" s="117"/>
      <c r="D64" s="229"/>
      <c r="E64" s="117"/>
      <c r="F64" s="229"/>
      <c r="G64" s="116"/>
      <c r="H64" s="148"/>
      <c r="I64" s="149"/>
      <c r="J64" s="150"/>
      <c r="K64" s="117"/>
      <c r="L64" s="117"/>
      <c r="M64" s="117"/>
    </row>
    <row r="65">
      <c r="A65" s="116"/>
      <c r="B65" s="117"/>
      <c r="C65" s="117"/>
      <c r="D65" s="229"/>
      <c r="E65" s="117"/>
      <c r="F65" s="229"/>
      <c r="G65" s="116"/>
      <c r="H65" s="148"/>
      <c r="I65" s="149"/>
      <c r="J65" s="150"/>
      <c r="K65" s="117"/>
      <c r="L65" s="117"/>
      <c r="M65" s="117"/>
    </row>
    <row r="66">
      <c r="A66" s="116"/>
      <c r="B66" s="117"/>
      <c r="C66" s="117"/>
      <c r="D66" s="229"/>
      <c r="E66" s="117"/>
      <c r="F66" s="229"/>
      <c r="G66" s="116"/>
      <c r="H66" s="148"/>
      <c r="I66" s="149"/>
      <c r="J66" s="150"/>
      <c r="K66" s="117"/>
      <c r="L66" s="117"/>
      <c r="M66" s="117"/>
    </row>
    <row r="67">
      <c r="A67" s="116"/>
      <c r="B67" s="117"/>
      <c r="C67" s="117"/>
      <c r="D67" s="229"/>
      <c r="E67" s="117"/>
      <c r="F67" s="229"/>
      <c r="G67" s="116"/>
      <c r="H67" s="148"/>
      <c r="I67" s="149"/>
      <c r="J67" s="150"/>
      <c r="K67" s="117"/>
      <c r="L67" s="117"/>
      <c r="M67" s="117"/>
    </row>
    <row r="68">
      <c r="A68" s="116"/>
      <c r="B68" s="117"/>
      <c r="C68" s="117"/>
      <c r="D68" s="229"/>
      <c r="E68" s="117"/>
      <c r="F68" s="229"/>
      <c r="G68" s="116"/>
      <c r="H68" s="148"/>
      <c r="I68" s="149"/>
      <c r="J68" s="150"/>
      <c r="K68" s="117"/>
      <c r="L68" s="117"/>
      <c r="M68" s="117"/>
    </row>
    <row r="69">
      <c r="A69" s="116"/>
      <c r="B69" s="117"/>
      <c r="C69" s="117"/>
      <c r="D69" s="229"/>
      <c r="E69" s="117"/>
      <c r="F69" s="229"/>
      <c r="G69" s="116"/>
      <c r="H69" s="148"/>
      <c r="I69" s="149"/>
      <c r="J69" s="150"/>
      <c r="K69" s="117"/>
      <c r="L69" s="117"/>
      <c r="M69" s="117"/>
    </row>
    <row r="70">
      <c r="A70" s="116"/>
      <c r="B70" s="117"/>
      <c r="C70" s="117"/>
      <c r="D70" s="229"/>
      <c r="E70" s="117"/>
      <c r="F70" s="229"/>
      <c r="G70" s="116"/>
      <c r="H70" s="148"/>
      <c r="I70" s="149"/>
      <c r="J70" s="150"/>
      <c r="K70" s="117"/>
      <c r="L70" s="117"/>
      <c r="M70" s="117"/>
    </row>
    <row r="71">
      <c r="A71" s="116"/>
      <c r="B71" s="117"/>
      <c r="C71" s="117"/>
      <c r="D71" s="229"/>
      <c r="E71" s="117"/>
      <c r="F71" s="229"/>
      <c r="G71" s="116"/>
      <c r="H71" s="148"/>
      <c r="I71" s="149"/>
      <c r="J71" s="150"/>
      <c r="K71" s="117"/>
      <c r="L71" s="117"/>
      <c r="M71" s="117"/>
    </row>
    <row r="72">
      <c r="A72" s="116"/>
      <c r="B72" s="117"/>
      <c r="C72" s="117"/>
      <c r="D72" s="229"/>
      <c r="E72" s="117"/>
      <c r="F72" s="229"/>
      <c r="G72" s="116"/>
      <c r="H72" s="148"/>
      <c r="I72" s="149"/>
      <c r="J72" s="150"/>
      <c r="K72" s="117"/>
      <c r="L72" s="117"/>
      <c r="M72" s="117"/>
    </row>
    <row r="73">
      <c r="A73" s="116"/>
      <c r="B73" s="117"/>
      <c r="C73" s="117"/>
      <c r="D73" s="229"/>
      <c r="E73" s="117"/>
      <c r="F73" s="229"/>
      <c r="G73" s="116"/>
      <c r="H73" s="148"/>
      <c r="I73" s="149"/>
      <c r="J73" s="150"/>
      <c r="K73" s="117"/>
      <c r="L73" s="117"/>
      <c r="M73" s="117"/>
    </row>
    <row r="74">
      <c r="A74" s="116"/>
      <c r="B74" s="117"/>
      <c r="C74" s="117"/>
      <c r="D74" s="229"/>
      <c r="E74" s="117"/>
      <c r="F74" s="229"/>
      <c r="G74" s="116"/>
      <c r="H74" s="148"/>
      <c r="I74" s="149"/>
      <c r="J74" s="150"/>
      <c r="K74" s="117"/>
      <c r="L74" s="117"/>
      <c r="M74" s="117"/>
    </row>
    <row r="75">
      <c r="A75" s="116"/>
      <c r="B75" s="117"/>
      <c r="C75" s="117"/>
      <c r="D75" s="229"/>
      <c r="E75" s="117"/>
      <c r="F75" s="229"/>
      <c r="G75" s="116"/>
      <c r="H75" s="148"/>
      <c r="I75" s="149"/>
      <c r="J75" s="150"/>
      <c r="K75" s="117"/>
      <c r="L75" s="117"/>
      <c r="M75" s="117"/>
    </row>
    <row r="76">
      <c r="A76" s="116"/>
      <c r="B76" s="117"/>
      <c r="C76" s="117"/>
      <c r="D76" s="229"/>
      <c r="E76" s="117"/>
      <c r="F76" s="229"/>
      <c r="G76" s="116"/>
      <c r="H76" s="148"/>
      <c r="I76" s="149"/>
      <c r="J76" s="150"/>
      <c r="K76" s="117"/>
      <c r="L76" s="117"/>
      <c r="M76" s="117"/>
    </row>
    <row r="77">
      <c r="A77" s="116"/>
      <c r="B77" s="117"/>
      <c r="C77" s="117"/>
      <c r="D77" s="229"/>
      <c r="E77" s="117"/>
      <c r="F77" s="229"/>
      <c r="G77" s="116"/>
      <c r="H77" s="148"/>
      <c r="I77" s="149"/>
      <c r="J77" s="150"/>
      <c r="K77" s="117"/>
      <c r="L77" s="117"/>
      <c r="M77" s="117"/>
    </row>
    <row r="78">
      <c r="A78" s="116"/>
      <c r="B78" s="117"/>
      <c r="C78" s="117"/>
      <c r="D78" s="229"/>
      <c r="E78" s="117"/>
      <c r="F78" s="229"/>
      <c r="G78" s="116"/>
      <c r="H78" s="148"/>
      <c r="I78" s="149"/>
      <c r="J78" s="150"/>
      <c r="K78" s="117"/>
      <c r="L78" s="117"/>
      <c r="M78" s="117"/>
    </row>
    <row r="79">
      <c r="A79" s="116"/>
      <c r="B79" s="117"/>
      <c r="C79" s="117"/>
      <c r="D79" s="229"/>
      <c r="E79" s="117"/>
      <c r="F79" s="229"/>
      <c r="G79" s="116"/>
      <c r="H79" s="148"/>
      <c r="I79" s="149"/>
      <c r="J79" s="150"/>
      <c r="K79" s="117"/>
      <c r="L79" s="117"/>
      <c r="M79" s="117"/>
    </row>
    <row r="80">
      <c r="A80" s="116"/>
      <c r="B80" s="117"/>
      <c r="C80" s="117"/>
      <c r="D80" s="229"/>
      <c r="E80" s="117"/>
      <c r="F80" s="229"/>
      <c r="G80" s="116"/>
      <c r="H80" s="148"/>
      <c r="I80" s="149"/>
      <c r="J80" s="150"/>
      <c r="K80" s="117"/>
      <c r="L80" s="117"/>
      <c r="M80" s="117"/>
    </row>
    <row r="81">
      <c r="A81" s="116"/>
      <c r="B81" s="117"/>
      <c r="C81" s="117"/>
      <c r="D81" s="229"/>
      <c r="E81" s="117"/>
      <c r="F81" s="229"/>
      <c r="G81" s="116"/>
      <c r="H81" s="148"/>
      <c r="I81" s="149"/>
      <c r="J81" s="150"/>
      <c r="K81" s="117"/>
      <c r="L81" s="117"/>
      <c r="M81" s="117"/>
    </row>
    <row r="82">
      <c r="A82" s="116"/>
      <c r="B82" s="117"/>
      <c r="C82" s="117"/>
      <c r="D82" s="229"/>
      <c r="E82" s="117"/>
      <c r="F82" s="229"/>
      <c r="G82" s="116"/>
      <c r="H82" s="148"/>
      <c r="I82" s="149"/>
      <c r="J82" s="150"/>
      <c r="K82" s="117"/>
      <c r="L82" s="117"/>
      <c r="M82" s="117"/>
    </row>
    <row r="83">
      <c r="A83" s="116"/>
      <c r="B83" s="117"/>
      <c r="C83" s="117"/>
      <c r="D83" s="229"/>
      <c r="E83" s="117"/>
      <c r="F83" s="229"/>
      <c r="G83" s="116"/>
      <c r="H83" s="148"/>
      <c r="I83" s="149"/>
      <c r="J83" s="150"/>
      <c r="K83" s="117"/>
      <c r="L83" s="117"/>
      <c r="M83" s="117"/>
    </row>
    <row r="84">
      <c r="A84" s="116"/>
      <c r="B84" s="117"/>
      <c r="C84" s="117"/>
      <c r="D84" s="229"/>
      <c r="E84" s="117"/>
      <c r="F84" s="229"/>
      <c r="G84" s="116"/>
      <c r="H84" s="148"/>
      <c r="I84" s="149"/>
      <c r="J84" s="150"/>
      <c r="K84" s="117"/>
      <c r="L84" s="117"/>
      <c r="M84" s="117"/>
    </row>
    <row r="85">
      <c r="A85" s="116"/>
      <c r="B85" s="117"/>
      <c r="C85" s="117"/>
      <c r="D85" s="229"/>
      <c r="E85" s="117"/>
      <c r="F85" s="229"/>
      <c r="G85" s="116"/>
      <c r="H85" s="148"/>
      <c r="I85" s="149"/>
      <c r="J85" s="150"/>
      <c r="K85" s="117"/>
      <c r="L85" s="117"/>
      <c r="M85" s="117"/>
    </row>
    <row r="86">
      <c r="A86" s="116"/>
      <c r="B86" s="117"/>
      <c r="C86" s="117"/>
      <c r="D86" s="229"/>
      <c r="E86" s="117"/>
      <c r="F86" s="229"/>
      <c r="G86" s="116"/>
      <c r="H86" s="148"/>
      <c r="I86" s="149"/>
      <c r="J86" s="150"/>
      <c r="K86" s="117"/>
      <c r="L86" s="117"/>
      <c r="M86" s="117"/>
    </row>
    <row r="87">
      <c r="A87" s="116"/>
      <c r="B87" s="117"/>
      <c r="C87" s="117"/>
      <c r="D87" s="229"/>
      <c r="E87" s="117"/>
      <c r="F87" s="229"/>
      <c r="G87" s="116"/>
      <c r="H87" s="148"/>
      <c r="I87" s="149"/>
      <c r="J87" s="150"/>
      <c r="K87" s="117"/>
      <c r="L87" s="117"/>
      <c r="M87" s="117"/>
    </row>
    <row r="88">
      <c r="A88" s="116"/>
      <c r="B88" s="117"/>
      <c r="C88" s="117"/>
      <c r="D88" s="229"/>
      <c r="E88" s="117"/>
      <c r="F88" s="229"/>
      <c r="G88" s="116"/>
      <c r="H88" s="148"/>
      <c r="I88" s="149"/>
      <c r="J88" s="150"/>
      <c r="K88" s="117"/>
      <c r="L88" s="117"/>
      <c r="M88" s="117"/>
    </row>
    <row r="89">
      <c r="A89" s="116"/>
      <c r="B89" s="117"/>
      <c r="C89" s="117"/>
      <c r="D89" s="229"/>
      <c r="E89" s="117"/>
      <c r="F89" s="229"/>
      <c r="G89" s="116"/>
      <c r="H89" s="148"/>
      <c r="I89" s="149"/>
      <c r="J89" s="150"/>
      <c r="K89" s="117"/>
      <c r="L89" s="117"/>
      <c r="M89" s="117"/>
    </row>
    <row r="90">
      <c r="A90" s="116"/>
      <c r="B90" s="117"/>
      <c r="C90" s="117"/>
      <c r="D90" s="229"/>
      <c r="E90" s="117"/>
      <c r="F90" s="229"/>
      <c r="G90" s="116"/>
      <c r="H90" s="148"/>
      <c r="I90" s="149"/>
      <c r="J90" s="150"/>
      <c r="K90" s="117"/>
      <c r="L90" s="117"/>
      <c r="M90" s="117"/>
    </row>
    <row r="91">
      <c r="A91" s="116"/>
      <c r="B91" s="117"/>
      <c r="C91" s="117"/>
      <c r="D91" s="229"/>
      <c r="E91" s="117"/>
      <c r="F91" s="229"/>
      <c r="G91" s="116"/>
      <c r="H91" s="148"/>
      <c r="I91" s="149"/>
      <c r="J91" s="150"/>
      <c r="K91" s="117"/>
      <c r="L91" s="117"/>
      <c r="M91" s="117"/>
    </row>
    <row r="92">
      <c r="A92" s="116"/>
      <c r="B92" s="117"/>
      <c r="C92" s="117"/>
      <c r="D92" s="229"/>
      <c r="E92" s="117"/>
      <c r="F92" s="229"/>
      <c r="G92" s="116"/>
      <c r="H92" s="148"/>
      <c r="I92" s="149"/>
      <c r="J92" s="150"/>
      <c r="K92" s="117"/>
      <c r="L92" s="117"/>
      <c r="M92" s="117"/>
    </row>
    <row r="93">
      <c r="A93" s="116"/>
      <c r="B93" s="117"/>
      <c r="C93" s="117"/>
      <c r="D93" s="229"/>
      <c r="E93" s="117"/>
      <c r="F93" s="229"/>
      <c r="G93" s="116"/>
      <c r="H93" s="148"/>
      <c r="I93" s="149"/>
      <c r="J93" s="150"/>
      <c r="K93" s="117"/>
      <c r="L93" s="117"/>
      <c r="M93" s="117"/>
    </row>
    <row r="94">
      <c r="A94" s="116"/>
      <c r="B94" s="117"/>
      <c r="C94" s="117"/>
      <c r="D94" s="229"/>
      <c r="E94" s="117"/>
      <c r="F94" s="229"/>
      <c r="G94" s="116"/>
      <c r="H94" s="148"/>
      <c r="I94" s="149"/>
      <c r="J94" s="150"/>
      <c r="K94" s="117"/>
      <c r="L94" s="117"/>
      <c r="M94" s="117"/>
    </row>
    <row r="95">
      <c r="A95" s="116"/>
      <c r="B95" s="117"/>
      <c r="C95" s="117"/>
      <c r="D95" s="229"/>
      <c r="E95" s="117"/>
      <c r="F95" s="229"/>
      <c r="G95" s="116"/>
      <c r="H95" s="148"/>
      <c r="I95" s="149"/>
      <c r="J95" s="150"/>
      <c r="K95" s="117"/>
      <c r="L95" s="117"/>
      <c r="M95" s="117"/>
    </row>
    <row r="96">
      <c r="A96" s="116"/>
      <c r="B96" s="117"/>
      <c r="C96" s="117"/>
      <c r="D96" s="229"/>
      <c r="E96" s="117"/>
      <c r="F96" s="229"/>
      <c r="G96" s="116"/>
      <c r="H96" s="148"/>
      <c r="I96" s="149"/>
      <c r="J96" s="150"/>
      <c r="K96" s="117"/>
      <c r="L96" s="117"/>
      <c r="M96" s="117"/>
    </row>
    <row r="97">
      <c r="A97" s="116"/>
      <c r="B97" s="117"/>
      <c r="C97" s="117"/>
      <c r="D97" s="229"/>
      <c r="E97" s="117"/>
      <c r="F97" s="229"/>
      <c r="G97" s="116"/>
      <c r="H97" s="148"/>
      <c r="I97" s="149"/>
      <c r="J97" s="150"/>
      <c r="K97" s="117"/>
      <c r="L97" s="117"/>
      <c r="M97" s="117"/>
    </row>
    <row r="98">
      <c r="A98" s="116"/>
      <c r="B98" s="117"/>
      <c r="C98" s="117"/>
      <c r="D98" s="229"/>
      <c r="E98" s="117"/>
      <c r="F98" s="229"/>
      <c r="G98" s="116"/>
      <c r="H98" s="148"/>
      <c r="I98" s="149"/>
      <c r="J98" s="150"/>
      <c r="K98" s="117"/>
      <c r="L98" s="117"/>
      <c r="M98" s="117"/>
    </row>
    <row r="99">
      <c r="A99" s="116"/>
      <c r="B99" s="117"/>
      <c r="C99" s="117"/>
      <c r="D99" s="229"/>
      <c r="E99" s="117"/>
      <c r="F99" s="229"/>
      <c r="G99" s="116"/>
      <c r="H99" s="148"/>
      <c r="I99" s="149"/>
      <c r="J99" s="150"/>
      <c r="K99" s="117"/>
      <c r="L99" s="117"/>
      <c r="M99" s="117"/>
    </row>
    <row r="100">
      <c r="A100" s="116"/>
      <c r="B100" s="117"/>
      <c r="C100" s="117"/>
      <c r="D100" s="229"/>
      <c r="E100" s="117"/>
      <c r="F100" s="229"/>
      <c r="G100" s="116"/>
      <c r="H100" s="148"/>
      <c r="I100" s="149"/>
      <c r="J100" s="150"/>
      <c r="K100" s="117"/>
      <c r="L100" s="117"/>
      <c r="M100" s="117"/>
    </row>
    <row r="101">
      <c r="A101" s="116"/>
      <c r="B101" s="117"/>
      <c r="C101" s="117"/>
      <c r="D101" s="229"/>
      <c r="E101" s="117"/>
      <c r="F101" s="229"/>
      <c r="G101" s="116"/>
      <c r="H101" s="148"/>
      <c r="I101" s="149"/>
      <c r="J101" s="150"/>
      <c r="K101" s="117"/>
      <c r="L101" s="117"/>
      <c r="M101" s="117"/>
    </row>
    <row r="102">
      <c r="A102" s="116"/>
      <c r="B102" s="117"/>
      <c r="C102" s="117"/>
      <c r="D102" s="229"/>
      <c r="E102" s="117"/>
      <c r="F102" s="229"/>
      <c r="G102" s="116"/>
      <c r="H102" s="148"/>
      <c r="I102" s="149"/>
      <c r="J102" s="150"/>
      <c r="K102" s="117"/>
      <c r="L102" s="117"/>
      <c r="M102" s="117"/>
    </row>
    <row r="103">
      <c r="A103" s="116"/>
      <c r="B103" s="117"/>
      <c r="C103" s="117"/>
      <c r="D103" s="229"/>
      <c r="E103" s="117"/>
      <c r="F103" s="229"/>
      <c r="G103" s="116"/>
      <c r="H103" s="148"/>
      <c r="I103" s="149"/>
      <c r="J103" s="150"/>
      <c r="K103" s="117"/>
      <c r="L103" s="117"/>
      <c r="M103" s="117"/>
    </row>
    <row r="104">
      <c r="A104" s="116"/>
      <c r="B104" s="117"/>
      <c r="C104" s="117"/>
      <c r="D104" s="229"/>
      <c r="E104" s="117"/>
      <c r="F104" s="229"/>
      <c r="G104" s="116"/>
      <c r="H104" s="148"/>
      <c r="I104" s="149"/>
      <c r="J104" s="150"/>
      <c r="K104" s="117"/>
      <c r="L104" s="117"/>
      <c r="M104" s="117"/>
    </row>
    <row r="105">
      <c r="A105" s="116"/>
      <c r="B105" s="117"/>
      <c r="C105" s="117"/>
      <c r="D105" s="229"/>
      <c r="E105" s="117"/>
      <c r="F105" s="229"/>
      <c r="G105" s="116"/>
      <c r="H105" s="148"/>
      <c r="I105" s="149"/>
      <c r="J105" s="150"/>
      <c r="K105" s="117"/>
      <c r="L105" s="117"/>
      <c r="M105" s="117"/>
    </row>
    <row r="106">
      <c r="A106" s="116"/>
      <c r="B106" s="117"/>
      <c r="C106" s="117"/>
      <c r="D106" s="229"/>
      <c r="E106" s="117"/>
      <c r="F106" s="229"/>
      <c r="G106" s="116"/>
      <c r="H106" s="148"/>
      <c r="I106" s="149"/>
      <c r="J106" s="150"/>
      <c r="K106" s="117"/>
      <c r="L106" s="117"/>
      <c r="M106" s="117"/>
    </row>
    <row r="107">
      <c r="A107" s="116"/>
      <c r="B107" s="117"/>
      <c r="C107" s="117"/>
      <c r="D107" s="229"/>
      <c r="E107" s="117"/>
      <c r="F107" s="229"/>
      <c r="G107" s="116"/>
      <c r="H107" s="148"/>
      <c r="I107" s="149"/>
      <c r="J107" s="150"/>
      <c r="K107" s="117"/>
      <c r="L107" s="117"/>
      <c r="M107" s="117"/>
    </row>
    <row r="108">
      <c r="A108" s="116"/>
      <c r="B108" s="117"/>
      <c r="C108" s="117"/>
      <c r="D108" s="229"/>
      <c r="E108" s="117"/>
      <c r="F108" s="229"/>
      <c r="G108" s="116"/>
      <c r="H108" s="148"/>
      <c r="I108" s="149"/>
      <c r="J108" s="150"/>
      <c r="K108" s="117"/>
      <c r="L108" s="117"/>
      <c r="M108" s="117"/>
    </row>
    <row r="109">
      <c r="A109" s="116"/>
      <c r="B109" s="117"/>
      <c r="C109" s="117"/>
      <c r="D109" s="229"/>
      <c r="E109" s="117"/>
      <c r="F109" s="229"/>
      <c r="G109" s="116"/>
      <c r="H109" s="148"/>
      <c r="I109" s="149"/>
      <c r="J109" s="150"/>
      <c r="K109" s="117"/>
      <c r="L109" s="117"/>
      <c r="M109" s="117"/>
    </row>
    <row r="110">
      <c r="A110" s="116"/>
      <c r="B110" s="117"/>
      <c r="C110" s="117"/>
      <c r="D110" s="229"/>
      <c r="E110" s="117"/>
      <c r="F110" s="229"/>
      <c r="G110" s="116"/>
      <c r="H110" s="148"/>
      <c r="I110" s="149"/>
      <c r="J110" s="150"/>
      <c r="K110" s="117"/>
      <c r="L110" s="117"/>
      <c r="M110" s="117"/>
    </row>
    <row r="111">
      <c r="A111" s="116"/>
      <c r="B111" s="117"/>
      <c r="C111" s="117"/>
      <c r="D111" s="229"/>
      <c r="E111" s="117"/>
      <c r="F111" s="229"/>
      <c r="G111" s="116"/>
      <c r="H111" s="148"/>
      <c r="I111" s="149"/>
      <c r="J111" s="150"/>
      <c r="K111" s="117"/>
      <c r="L111" s="117"/>
      <c r="M111" s="117"/>
    </row>
    <row r="112">
      <c r="A112" s="116"/>
      <c r="B112" s="117"/>
      <c r="C112" s="117"/>
      <c r="D112" s="229"/>
      <c r="E112" s="117"/>
      <c r="F112" s="229"/>
      <c r="G112" s="116"/>
      <c r="H112" s="148"/>
      <c r="I112" s="149"/>
      <c r="J112" s="150"/>
      <c r="K112" s="117"/>
      <c r="L112" s="117"/>
      <c r="M112" s="117"/>
    </row>
    <row r="113">
      <c r="A113" s="116"/>
      <c r="B113" s="117"/>
      <c r="C113" s="117"/>
      <c r="D113" s="229"/>
      <c r="E113" s="117"/>
      <c r="F113" s="229"/>
      <c r="G113" s="116"/>
      <c r="H113" s="148"/>
      <c r="I113" s="149"/>
      <c r="J113" s="150"/>
      <c r="K113" s="117"/>
      <c r="L113" s="117"/>
      <c r="M113" s="117"/>
    </row>
    <row r="114">
      <c r="A114" s="116"/>
      <c r="B114" s="117"/>
      <c r="C114" s="117"/>
      <c r="D114" s="229"/>
      <c r="E114" s="117"/>
      <c r="F114" s="229"/>
      <c r="G114" s="116"/>
      <c r="H114" s="148"/>
      <c r="I114" s="149"/>
      <c r="J114" s="150"/>
      <c r="K114" s="117"/>
      <c r="L114" s="117"/>
      <c r="M114" s="117"/>
    </row>
    <row r="115">
      <c r="A115" s="116"/>
      <c r="B115" s="117"/>
      <c r="C115" s="117"/>
      <c r="D115" s="229"/>
      <c r="E115" s="117"/>
      <c r="F115" s="229"/>
      <c r="G115" s="116"/>
      <c r="H115" s="148"/>
      <c r="I115" s="149"/>
      <c r="J115" s="150"/>
      <c r="K115" s="117"/>
      <c r="L115" s="117"/>
      <c r="M115" s="117"/>
    </row>
    <row r="116">
      <c r="A116" s="116"/>
      <c r="B116" s="117"/>
      <c r="C116" s="117"/>
      <c r="D116" s="229"/>
      <c r="E116" s="117"/>
      <c r="F116" s="229"/>
      <c r="G116" s="116"/>
      <c r="H116" s="148"/>
      <c r="I116" s="149"/>
      <c r="J116" s="150"/>
      <c r="K116" s="117"/>
      <c r="L116" s="117"/>
      <c r="M116" s="117"/>
    </row>
    <row r="117">
      <c r="A117" s="116"/>
      <c r="B117" s="117"/>
      <c r="C117" s="117"/>
      <c r="D117" s="229"/>
      <c r="E117" s="117"/>
      <c r="F117" s="229"/>
      <c r="G117" s="116"/>
      <c r="H117" s="148"/>
      <c r="I117" s="149"/>
      <c r="J117" s="150"/>
      <c r="K117" s="117"/>
      <c r="L117" s="117"/>
      <c r="M117" s="117"/>
    </row>
    <row r="118">
      <c r="A118" s="116"/>
      <c r="B118" s="117"/>
      <c r="C118" s="117"/>
      <c r="D118" s="229"/>
      <c r="E118" s="117"/>
      <c r="F118" s="229"/>
      <c r="G118" s="116"/>
      <c r="H118" s="148"/>
      <c r="I118" s="149"/>
      <c r="J118" s="150"/>
      <c r="K118" s="117"/>
      <c r="L118" s="117"/>
      <c r="M118" s="117"/>
    </row>
    <row r="119">
      <c r="A119" s="116"/>
      <c r="B119" s="117"/>
      <c r="C119" s="117"/>
      <c r="D119" s="229"/>
      <c r="E119" s="117"/>
      <c r="F119" s="229"/>
      <c r="G119" s="116"/>
      <c r="H119" s="148"/>
      <c r="I119" s="149"/>
      <c r="J119" s="150"/>
      <c r="K119" s="117"/>
      <c r="L119" s="117"/>
      <c r="M119" s="117"/>
    </row>
    <row r="120">
      <c r="A120" s="116"/>
      <c r="B120" s="117"/>
      <c r="C120" s="117"/>
      <c r="D120" s="229"/>
      <c r="E120" s="117"/>
      <c r="F120" s="229"/>
      <c r="G120" s="116"/>
      <c r="H120" s="148"/>
      <c r="I120" s="149"/>
      <c r="J120" s="150"/>
      <c r="K120" s="117"/>
      <c r="L120" s="117"/>
      <c r="M120" s="117"/>
    </row>
    <row r="121">
      <c r="A121" s="116"/>
      <c r="B121" s="117"/>
      <c r="C121" s="117"/>
      <c r="D121" s="229"/>
      <c r="E121" s="117"/>
      <c r="F121" s="229"/>
      <c r="G121" s="116"/>
      <c r="H121" s="148"/>
      <c r="I121" s="149"/>
      <c r="J121" s="150"/>
      <c r="K121" s="117"/>
      <c r="L121" s="117"/>
      <c r="M121" s="117"/>
    </row>
    <row r="122">
      <c r="A122" s="116"/>
      <c r="B122" s="117"/>
      <c r="C122" s="117"/>
      <c r="D122" s="229"/>
      <c r="E122" s="117"/>
      <c r="F122" s="229"/>
      <c r="G122" s="116"/>
      <c r="H122" s="148"/>
      <c r="I122" s="149"/>
      <c r="J122" s="150"/>
      <c r="K122" s="117"/>
      <c r="L122" s="117"/>
      <c r="M122" s="117"/>
    </row>
    <row r="123">
      <c r="A123" s="116"/>
      <c r="B123" s="117"/>
      <c r="C123" s="117"/>
      <c r="D123" s="229"/>
      <c r="E123" s="117"/>
      <c r="F123" s="229"/>
      <c r="G123" s="116"/>
      <c r="H123" s="148"/>
      <c r="I123" s="149"/>
      <c r="J123" s="150"/>
      <c r="K123" s="117"/>
      <c r="L123" s="117"/>
      <c r="M123" s="117"/>
    </row>
    <row r="124">
      <c r="A124" s="116"/>
      <c r="B124" s="117"/>
      <c r="C124" s="117"/>
      <c r="D124" s="229"/>
      <c r="E124" s="117"/>
      <c r="F124" s="229"/>
      <c r="G124" s="116"/>
      <c r="H124" s="148"/>
      <c r="I124" s="149"/>
      <c r="J124" s="150"/>
      <c r="K124" s="117"/>
      <c r="L124" s="117"/>
      <c r="M124" s="117"/>
    </row>
    <row r="125">
      <c r="A125" s="116"/>
      <c r="B125" s="117"/>
      <c r="C125" s="117"/>
      <c r="D125" s="229"/>
      <c r="E125" s="117"/>
      <c r="F125" s="229"/>
      <c r="G125" s="116"/>
      <c r="H125" s="148"/>
      <c r="I125" s="149"/>
      <c r="J125" s="150"/>
      <c r="K125" s="117"/>
      <c r="L125" s="117"/>
      <c r="M125" s="117"/>
    </row>
    <row r="126">
      <c r="A126" s="116"/>
      <c r="B126" s="117"/>
      <c r="C126" s="117"/>
      <c r="D126" s="229"/>
      <c r="E126" s="117"/>
      <c r="F126" s="229"/>
      <c r="G126" s="116"/>
      <c r="H126" s="148"/>
      <c r="I126" s="149"/>
      <c r="J126" s="150"/>
      <c r="K126" s="117"/>
      <c r="L126" s="117"/>
      <c r="M126" s="117"/>
    </row>
    <row r="127">
      <c r="A127" s="116"/>
      <c r="B127" s="117"/>
      <c r="C127" s="117"/>
      <c r="D127" s="229"/>
      <c r="E127" s="117"/>
      <c r="F127" s="229"/>
      <c r="G127" s="116"/>
      <c r="H127" s="148"/>
      <c r="I127" s="149"/>
      <c r="J127" s="150"/>
      <c r="K127" s="117"/>
      <c r="L127" s="117"/>
      <c r="M127" s="117"/>
    </row>
    <row r="128">
      <c r="A128" s="116"/>
      <c r="B128" s="117"/>
      <c r="C128" s="117"/>
      <c r="D128" s="229"/>
      <c r="E128" s="117"/>
      <c r="F128" s="229"/>
      <c r="G128" s="116"/>
      <c r="H128" s="148"/>
      <c r="I128" s="149"/>
      <c r="J128" s="150"/>
      <c r="K128" s="117"/>
      <c r="L128" s="117"/>
      <c r="M128" s="117"/>
    </row>
    <row r="129">
      <c r="A129" s="116"/>
      <c r="B129" s="117"/>
      <c r="C129" s="117"/>
      <c r="D129" s="229"/>
      <c r="E129" s="117"/>
      <c r="F129" s="229"/>
      <c r="G129" s="116"/>
      <c r="H129" s="148"/>
      <c r="I129" s="149"/>
      <c r="J129" s="150"/>
      <c r="K129" s="117"/>
      <c r="L129" s="117"/>
      <c r="M129" s="117"/>
    </row>
    <row r="130">
      <c r="A130" s="116"/>
      <c r="B130" s="117"/>
      <c r="C130" s="117"/>
      <c r="D130" s="229"/>
      <c r="E130" s="117"/>
      <c r="F130" s="229"/>
      <c r="G130" s="116"/>
      <c r="H130" s="148"/>
      <c r="I130" s="149"/>
      <c r="J130" s="150"/>
      <c r="K130" s="117"/>
      <c r="L130" s="117"/>
      <c r="M130" s="117"/>
    </row>
    <row r="131">
      <c r="A131" s="116"/>
      <c r="B131" s="117"/>
      <c r="C131" s="117"/>
      <c r="D131" s="229"/>
      <c r="E131" s="117"/>
      <c r="F131" s="229"/>
      <c r="G131" s="116"/>
      <c r="H131" s="148"/>
      <c r="I131" s="149"/>
      <c r="J131" s="150"/>
      <c r="K131" s="117"/>
      <c r="L131" s="117"/>
      <c r="M131" s="117"/>
    </row>
    <row r="132">
      <c r="A132" s="116"/>
      <c r="B132" s="117"/>
      <c r="C132" s="117"/>
      <c r="D132" s="229"/>
      <c r="E132" s="117"/>
      <c r="F132" s="229"/>
      <c r="G132" s="116"/>
      <c r="H132" s="148"/>
      <c r="I132" s="149"/>
      <c r="J132" s="150"/>
      <c r="K132" s="117"/>
      <c r="L132" s="117"/>
      <c r="M132" s="117"/>
    </row>
    <row r="133">
      <c r="A133" s="116"/>
      <c r="B133" s="117"/>
      <c r="C133" s="117"/>
      <c r="D133" s="229"/>
      <c r="E133" s="117"/>
      <c r="F133" s="229"/>
      <c r="G133" s="116"/>
      <c r="H133" s="148"/>
      <c r="I133" s="149"/>
      <c r="J133" s="150"/>
      <c r="K133" s="117"/>
      <c r="L133" s="117"/>
      <c r="M133" s="117"/>
    </row>
    <row r="134">
      <c r="A134" s="116"/>
      <c r="B134" s="117"/>
      <c r="C134" s="117"/>
      <c r="D134" s="229"/>
      <c r="E134" s="117"/>
      <c r="F134" s="229"/>
      <c r="G134" s="116"/>
      <c r="H134" s="148"/>
      <c r="I134" s="149"/>
      <c r="J134" s="150"/>
      <c r="K134" s="117"/>
      <c r="L134" s="117"/>
      <c r="M134" s="117"/>
    </row>
    <row r="135">
      <c r="A135" s="116"/>
      <c r="B135" s="117"/>
      <c r="C135" s="117"/>
      <c r="D135" s="229"/>
      <c r="E135" s="117"/>
      <c r="F135" s="229"/>
      <c r="G135" s="116"/>
      <c r="H135" s="148"/>
      <c r="I135" s="149"/>
      <c r="J135" s="150"/>
      <c r="K135" s="117"/>
      <c r="L135" s="117"/>
      <c r="M135" s="117"/>
    </row>
    <row r="136">
      <c r="A136" s="116"/>
      <c r="B136" s="117"/>
      <c r="C136" s="117"/>
      <c r="D136" s="229"/>
      <c r="E136" s="117"/>
      <c r="F136" s="229"/>
      <c r="G136" s="116"/>
      <c r="H136" s="148"/>
      <c r="I136" s="149"/>
      <c r="J136" s="150"/>
      <c r="K136" s="117"/>
      <c r="L136" s="117"/>
      <c r="M136" s="117"/>
    </row>
    <row r="137">
      <c r="A137" s="116"/>
      <c r="B137" s="117"/>
      <c r="C137" s="117"/>
      <c r="D137" s="229"/>
      <c r="E137" s="117"/>
      <c r="F137" s="229"/>
      <c r="G137" s="116"/>
      <c r="H137" s="148"/>
      <c r="I137" s="149"/>
      <c r="J137" s="150"/>
      <c r="K137" s="117"/>
      <c r="L137" s="117"/>
      <c r="M137" s="117"/>
    </row>
    <row r="138">
      <c r="A138" s="116"/>
      <c r="B138" s="117"/>
      <c r="C138" s="117"/>
      <c r="D138" s="229"/>
      <c r="E138" s="117"/>
      <c r="F138" s="229"/>
      <c r="G138" s="116"/>
      <c r="H138" s="148"/>
      <c r="I138" s="149"/>
      <c r="J138" s="150"/>
      <c r="K138" s="117"/>
      <c r="L138" s="117"/>
      <c r="M138" s="117"/>
    </row>
    <row r="139">
      <c r="A139" s="116"/>
      <c r="B139" s="117"/>
      <c r="C139" s="117"/>
      <c r="D139" s="229"/>
      <c r="E139" s="117"/>
      <c r="F139" s="229"/>
      <c r="G139" s="116"/>
      <c r="H139" s="148"/>
      <c r="I139" s="149"/>
      <c r="J139" s="150"/>
      <c r="K139" s="117"/>
      <c r="L139" s="117"/>
      <c r="M139" s="117"/>
    </row>
    <row r="140">
      <c r="A140" s="116"/>
      <c r="B140" s="117"/>
      <c r="C140" s="117"/>
      <c r="D140" s="229"/>
      <c r="E140" s="117"/>
      <c r="F140" s="229"/>
      <c r="G140" s="116"/>
      <c r="H140" s="148"/>
      <c r="I140" s="149"/>
      <c r="J140" s="150"/>
      <c r="K140" s="117"/>
      <c r="L140" s="117"/>
      <c r="M140" s="117"/>
    </row>
    <row r="141">
      <c r="A141" s="116"/>
      <c r="B141" s="117"/>
      <c r="C141" s="117"/>
      <c r="D141" s="229"/>
      <c r="E141" s="117"/>
      <c r="F141" s="229"/>
      <c r="G141" s="116"/>
      <c r="H141" s="148"/>
      <c r="I141" s="149"/>
      <c r="J141" s="150"/>
      <c r="K141" s="117"/>
      <c r="L141" s="117"/>
      <c r="M141" s="117"/>
    </row>
    <row r="142">
      <c r="A142" s="116"/>
      <c r="B142" s="117"/>
      <c r="C142" s="117"/>
      <c r="D142" s="229"/>
      <c r="E142" s="117"/>
      <c r="F142" s="229"/>
      <c r="G142" s="116"/>
      <c r="H142" s="148"/>
      <c r="I142" s="149"/>
      <c r="J142" s="150"/>
      <c r="K142" s="117"/>
      <c r="L142" s="117"/>
      <c r="M142" s="117"/>
    </row>
    <row r="143">
      <c r="A143" s="116"/>
      <c r="B143" s="117"/>
      <c r="C143" s="117"/>
      <c r="D143" s="229"/>
      <c r="E143" s="117"/>
      <c r="F143" s="229"/>
      <c r="G143" s="116"/>
      <c r="H143" s="148"/>
      <c r="I143" s="149"/>
      <c r="J143" s="150"/>
      <c r="K143" s="117"/>
      <c r="L143" s="117"/>
      <c r="M143" s="117"/>
    </row>
    <row r="144">
      <c r="A144" s="116"/>
      <c r="B144" s="117"/>
      <c r="C144" s="117"/>
      <c r="D144" s="229"/>
      <c r="E144" s="117"/>
      <c r="F144" s="229"/>
      <c r="G144" s="116"/>
      <c r="H144" s="148"/>
      <c r="I144" s="149"/>
      <c r="J144" s="150"/>
      <c r="K144" s="117"/>
      <c r="L144" s="117"/>
      <c r="M144" s="117"/>
    </row>
    <row r="145">
      <c r="A145" s="116"/>
      <c r="B145" s="117"/>
      <c r="C145" s="117"/>
      <c r="D145" s="229"/>
      <c r="E145" s="117"/>
      <c r="F145" s="229"/>
      <c r="G145" s="116"/>
      <c r="H145" s="148"/>
      <c r="I145" s="149"/>
      <c r="J145" s="150"/>
      <c r="K145" s="117"/>
      <c r="L145" s="117"/>
      <c r="M145" s="117"/>
    </row>
    <row r="146">
      <c r="A146" s="116"/>
      <c r="B146" s="117"/>
      <c r="C146" s="117"/>
      <c r="D146" s="229"/>
      <c r="E146" s="117"/>
      <c r="F146" s="229"/>
      <c r="G146" s="116"/>
      <c r="H146" s="148"/>
      <c r="I146" s="149"/>
      <c r="J146" s="150"/>
      <c r="K146" s="117"/>
      <c r="L146" s="117"/>
      <c r="M146" s="117"/>
    </row>
    <row r="147">
      <c r="A147" s="116"/>
      <c r="B147" s="117"/>
      <c r="C147" s="117"/>
      <c r="D147" s="229"/>
      <c r="E147" s="117"/>
      <c r="F147" s="229"/>
      <c r="G147" s="116"/>
      <c r="H147" s="148"/>
      <c r="I147" s="149"/>
      <c r="J147" s="150"/>
      <c r="K147" s="117"/>
      <c r="L147" s="117"/>
      <c r="M147" s="117"/>
    </row>
    <row r="148">
      <c r="A148" s="116"/>
      <c r="B148" s="117"/>
      <c r="C148" s="117"/>
      <c r="D148" s="229"/>
      <c r="E148" s="117"/>
      <c r="F148" s="229"/>
      <c r="G148" s="116"/>
      <c r="H148" s="148"/>
      <c r="I148" s="149"/>
      <c r="J148" s="150"/>
      <c r="K148" s="117"/>
      <c r="L148" s="117"/>
      <c r="M148" s="117"/>
    </row>
    <row r="149">
      <c r="A149" s="116"/>
      <c r="B149" s="117"/>
      <c r="C149" s="117"/>
      <c r="D149" s="229"/>
      <c r="E149" s="117"/>
      <c r="F149" s="229"/>
      <c r="G149" s="116"/>
      <c r="H149" s="148"/>
      <c r="I149" s="149"/>
      <c r="J149" s="150"/>
      <c r="K149" s="117"/>
      <c r="L149" s="117"/>
      <c r="M149" s="117"/>
    </row>
    <row r="150">
      <c r="A150" s="116"/>
      <c r="B150" s="117"/>
      <c r="C150" s="117"/>
      <c r="D150" s="229"/>
      <c r="E150" s="117"/>
      <c r="F150" s="229"/>
      <c r="G150" s="116"/>
      <c r="H150" s="148"/>
      <c r="I150" s="149"/>
      <c r="J150" s="150"/>
      <c r="K150" s="117"/>
      <c r="L150" s="117"/>
      <c r="M150" s="117"/>
    </row>
    <row r="151">
      <c r="A151" s="116"/>
      <c r="B151" s="117"/>
      <c r="C151" s="117"/>
      <c r="D151" s="229"/>
      <c r="E151" s="117"/>
      <c r="F151" s="229"/>
      <c r="G151" s="116"/>
      <c r="H151" s="148"/>
      <c r="I151" s="149"/>
      <c r="J151" s="150"/>
      <c r="K151" s="117"/>
      <c r="L151" s="117"/>
      <c r="M151" s="117"/>
    </row>
    <row r="152">
      <c r="A152" s="116"/>
      <c r="B152" s="117"/>
      <c r="C152" s="117"/>
      <c r="D152" s="229"/>
      <c r="E152" s="117"/>
      <c r="F152" s="229"/>
      <c r="G152" s="116"/>
      <c r="H152" s="148"/>
      <c r="I152" s="149"/>
      <c r="J152" s="150"/>
      <c r="K152" s="117"/>
      <c r="L152" s="117"/>
      <c r="M152" s="117"/>
    </row>
    <row r="153">
      <c r="A153" s="116"/>
      <c r="B153" s="117"/>
      <c r="C153" s="117"/>
      <c r="D153" s="229"/>
      <c r="E153" s="117"/>
      <c r="F153" s="229"/>
      <c r="G153" s="116"/>
      <c r="H153" s="148"/>
      <c r="I153" s="149"/>
      <c r="J153" s="150"/>
      <c r="K153" s="117"/>
      <c r="L153" s="117"/>
      <c r="M153" s="117"/>
    </row>
    <row r="154">
      <c r="A154" s="116"/>
      <c r="B154" s="117"/>
      <c r="C154" s="117"/>
      <c r="D154" s="229"/>
      <c r="E154" s="117"/>
      <c r="F154" s="229"/>
      <c r="G154" s="116"/>
      <c r="H154" s="148"/>
      <c r="I154" s="149"/>
      <c r="J154" s="150"/>
      <c r="K154" s="117"/>
      <c r="L154" s="117"/>
      <c r="M154" s="117"/>
    </row>
    <row r="155">
      <c r="A155" s="116"/>
      <c r="B155" s="117"/>
      <c r="C155" s="117"/>
      <c r="D155" s="229"/>
      <c r="E155" s="117"/>
      <c r="F155" s="229"/>
      <c r="G155" s="116"/>
      <c r="H155" s="148"/>
      <c r="I155" s="149"/>
      <c r="J155" s="150"/>
      <c r="K155" s="117"/>
      <c r="L155" s="117"/>
      <c r="M155" s="117"/>
    </row>
    <row r="156">
      <c r="A156" s="116"/>
      <c r="B156" s="117"/>
      <c r="C156" s="117"/>
      <c r="D156" s="229"/>
      <c r="E156" s="117"/>
      <c r="F156" s="229"/>
      <c r="G156" s="116"/>
      <c r="H156" s="148"/>
      <c r="I156" s="149"/>
      <c r="J156" s="150"/>
      <c r="K156" s="117"/>
      <c r="L156" s="117"/>
      <c r="M156" s="117"/>
    </row>
    <row r="157">
      <c r="A157" s="116"/>
      <c r="B157" s="117"/>
      <c r="C157" s="117"/>
      <c r="D157" s="229"/>
      <c r="E157" s="117"/>
      <c r="F157" s="229"/>
      <c r="G157" s="116"/>
      <c r="H157" s="148"/>
      <c r="I157" s="149"/>
      <c r="J157" s="150"/>
      <c r="K157" s="117"/>
      <c r="L157" s="117"/>
      <c r="M157" s="117"/>
    </row>
    <row r="158">
      <c r="A158" s="116"/>
      <c r="B158" s="117"/>
      <c r="C158" s="117"/>
      <c r="D158" s="229"/>
      <c r="E158" s="117"/>
      <c r="F158" s="229"/>
      <c r="G158" s="116"/>
      <c r="H158" s="148"/>
      <c r="I158" s="149"/>
      <c r="J158" s="150"/>
      <c r="K158" s="117"/>
      <c r="L158" s="117"/>
      <c r="M158" s="117"/>
    </row>
    <row r="159">
      <c r="A159" s="116"/>
      <c r="B159" s="117"/>
      <c r="C159" s="117"/>
      <c r="D159" s="229"/>
      <c r="E159" s="117"/>
      <c r="F159" s="229"/>
      <c r="G159" s="116"/>
      <c r="H159" s="148"/>
      <c r="I159" s="149"/>
      <c r="J159" s="150"/>
      <c r="K159" s="117"/>
      <c r="L159" s="117"/>
      <c r="M159" s="117"/>
    </row>
    <row r="160">
      <c r="A160" s="116"/>
      <c r="B160" s="117"/>
      <c r="C160" s="117"/>
      <c r="D160" s="229"/>
      <c r="E160" s="117"/>
      <c r="F160" s="229"/>
      <c r="G160" s="116"/>
      <c r="H160" s="148"/>
      <c r="I160" s="149"/>
      <c r="J160" s="150"/>
      <c r="K160" s="117"/>
      <c r="L160" s="117"/>
      <c r="M160" s="117"/>
    </row>
    <row r="161">
      <c r="A161" s="116"/>
      <c r="B161" s="117"/>
      <c r="C161" s="117"/>
      <c r="D161" s="229"/>
      <c r="E161" s="117"/>
      <c r="F161" s="229"/>
      <c r="G161" s="116"/>
      <c r="H161" s="148"/>
      <c r="I161" s="149"/>
      <c r="J161" s="150"/>
      <c r="K161" s="117"/>
      <c r="L161" s="117"/>
      <c r="M161" s="117"/>
    </row>
    <row r="162">
      <c r="A162" s="116"/>
      <c r="B162" s="117"/>
      <c r="C162" s="117"/>
      <c r="D162" s="229"/>
      <c r="E162" s="117"/>
      <c r="F162" s="229"/>
      <c r="G162" s="116"/>
      <c r="H162" s="148"/>
      <c r="I162" s="149"/>
      <c r="J162" s="150"/>
      <c r="K162" s="117"/>
      <c r="L162" s="117"/>
      <c r="M162" s="117"/>
    </row>
    <row r="163">
      <c r="A163" s="116"/>
      <c r="B163" s="117"/>
      <c r="C163" s="117"/>
      <c r="D163" s="229"/>
      <c r="E163" s="117"/>
      <c r="F163" s="229"/>
      <c r="G163" s="116"/>
      <c r="H163" s="148"/>
      <c r="I163" s="149"/>
      <c r="J163" s="150"/>
      <c r="K163" s="117"/>
      <c r="L163" s="117"/>
      <c r="M163" s="117"/>
    </row>
    <row r="164">
      <c r="A164" s="116"/>
      <c r="B164" s="117"/>
      <c r="C164" s="117"/>
      <c r="D164" s="229"/>
      <c r="E164" s="117"/>
      <c r="F164" s="229"/>
      <c r="G164" s="116"/>
      <c r="H164" s="148"/>
      <c r="I164" s="149"/>
      <c r="J164" s="150"/>
      <c r="K164" s="117"/>
      <c r="L164" s="117"/>
      <c r="M164" s="117"/>
    </row>
    <row r="165">
      <c r="A165" s="116"/>
      <c r="B165" s="117"/>
      <c r="C165" s="117"/>
      <c r="D165" s="229"/>
      <c r="E165" s="117"/>
      <c r="F165" s="229"/>
      <c r="G165" s="116"/>
      <c r="H165" s="148"/>
      <c r="I165" s="149"/>
      <c r="J165" s="150"/>
      <c r="K165" s="117"/>
      <c r="L165" s="117"/>
      <c r="M165" s="117"/>
    </row>
    <row r="166">
      <c r="A166" s="116"/>
      <c r="B166" s="117"/>
      <c r="C166" s="117"/>
      <c r="D166" s="229"/>
      <c r="E166" s="117"/>
      <c r="F166" s="229"/>
      <c r="G166" s="116"/>
      <c r="H166" s="148"/>
      <c r="I166" s="149"/>
      <c r="J166" s="150"/>
      <c r="K166" s="117"/>
      <c r="L166" s="117"/>
      <c r="M166" s="117"/>
    </row>
    <row r="167">
      <c r="A167" s="116"/>
      <c r="B167" s="117"/>
      <c r="C167" s="117"/>
      <c r="D167" s="229"/>
      <c r="E167" s="117"/>
      <c r="F167" s="229"/>
      <c r="G167" s="116"/>
      <c r="H167" s="148"/>
      <c r="I167" s="149"/>
      <c r="J167" s="150"/>
      <c r="K167" s="117"/>
      <c r="L167" s="117"/>
      <c r="M167" s="117"/>
    </row>
    <row r="168">
      <c r="A168" s="116"/>
      <c r="B168" s="117"/>
      <c r="C168" s="117"/>
      <c r="D168" s="229"/>
      <c r="E168" s="117"/>
      <c r="F168" s="229"/>
      <c r="G168" s="116"/>
      <c r="H168" s="148"/>
      <c r="I168" s="149"/>
      <c r="J168" s="150"/>
      <c r="K168" s="117"/>
      <c r="L168" s="117"/>
      <c r="M168" s="117"/>
    </row>
    <row r="169">
      <c r="A169" s="116"/>
      <c r="B169" s="117"/>
      <c r="C169" s="117"/>
      <c r="D169" s="229"/>
      <c r="E169" s="117"/>
      <c r="F169" s="229"/>
      <c r="G169" s="116"/>
      <c r="H169" s="148"/>
      <c r="I169" s="149"/>
      <c r="J169" s="150"/>
      <c r="K169" s="117"/>
      <c r="L169" s="117"/>
      <c r="M169" s="117"/>
    </row>
    <row r="170">
      <c r="A170" s="116"/>
      <c r="B170" s="117"/>
      <c r="C170" s="117"/>
      <c r="D170" s="229"/>
      <c r="E170" s="117"/>
      <c r="F170" s="229"/>
      <c r="G170" s="116"/>
      <c r="H170" s="148"/>
      <c r="I170" s="149"/>
      <c r="J170" s="150"/>
      <c r="K170" s="117"/>
      <c r="L170" s="117"/>
      <c r="M170" s="117"/>
    </row>
    <row r="171">
      <c r="A171" s="116"/>
      <c r="B171" s="117"/>
      <c r="C171" s="117"/>
      <c r="D171" s="229"/>
      <c r="E171" s="117"/>
      <c r="F171" s="229"/>
      <c r="G171" s="116"/>
      <c r="H171" s="148"/>
      <c r="I171" s="149"/>
      <c r="J171" s="150"/>
      <c r="K171" s="117"/>
      <c r="L171" s="117"/>
      <c r="M171" s="117"/>
    </row>
    <row r="172">
      <c r="A172" s="116"/>
      <c r="B172" s="117"/>
      <c r="C172" s="117"/>
      <c r="D172" s="229"/>
      <c r="E172" s="117"/>
      <c r="F172" s="229"/>
      <c r="G172" s="116"/>
      <c r="H172" s="148"/>
      <c r="I172" s="149"/>
      <c r="J172" s="150"/>
      <c r="K172" s="117"/>
      <c r="L172" s="117"/>
      <c r="M172" s="117"/>
    </row>
    <row r="173">
      <c r="A173" s="116"/>
      <c r="B173" s="117"/>
      <c r="C173" s="117"/>
      <c r="D173" s="229"/>
      <c r="E173" s="117"/>
      <c r="F173" s="229"/>
      <c r="G173" s="116"/>
      <c r="H173" s="148"/>
      <c r="I173" s="149"/>
      <c r="J173" s="150"/>
      <c r="K173" s="117"/>
      <c r="L173" s="117"/>
      <c r="M173" s="117"/>
    </row>
    <row r="174">
      <c r="A174" s="116"/>
      <c r="B174" s="117"/>
      <c r="C174" s="117"/>
      <c r="D174" s="229"/>
      <c r="E174" s="117"/>
      <c r="F174" s="229"/>
      <c r="G174" s="116"/>
      <c r="H174" s="148"/>
      <c r="I174" s="149"/>
      <c r="J174" s="150"/>
      <c r="K174" s="117"/>
      <c r="L174" s="117"/>
      <c r="M174" s="117"/>
    </row>
    <row r="175">
      <c r="A175" s="116"/>
      <c r="B175" s="117"/>
      <c r="C175" s="117"/>
      <c r="D175" s="229"/>
      <c r="E175" s="117"/>
      <c r="F175" s="229"/>
      <c r="G175" s="116"/>
      <c r="H175" s="148"/>
      <c r="I175" s="149"/>
      <c r="J175" s="150"/>
      <c r="K175" s="117"/>
      <c r="L175" s="117"/>
      <c r="M175" s="117"/>
    </row>
    <row r="176">
      <c r="A176" s="116"/>
      <c r="B176" s="117"/>
      <c r="C176" s="117"/>
      <c r="D176" s="229"/>
      <c r="E176" s="117"/>
      <c r="F176" s="229"/>
      <c r="G176" s="116"/>
      <c r="H176" s="148"/>
      <c r="I176" s="149"/>
      <c r="J176" s="150"/>
      <c r="K176" s="117"/>
      <c r="L176" s="117"/>
      <c r="M176" s="117"/>
    </row>
    <row r="177">
      <c r="A177" s="116"/>
      <c r="B177" s="117"/>
      <c r="C177" s="117"/>
      <c r="D177" s="229"/>
      <c r="E177" s="117"/>
      <c r="F177" s="229"/>
      <c r="G177" s="116"/>
      <c r="H177" s="148"/>
      <c r="I177" s="149"/>
      <c r="J177" s="150"/>
      <c r="K177" s="117"/>
      <c r="L177" s="117"/>
      <c r="M177" s="117"/>
    </row>
    <row r="178">
      <c r="A178" s="116"/>
      <c r="B178" s="117"/>
      <c r="C178" s="117"/>
      <c r="D178" s="229"/>
      <c r="E178" s="117"/>
      <c r="F178" s="229"/>
      <c r="G178" s="116"/>
      <c r="H178" s="148"/>
      <c r="I178" s="149"/>
      <c r="J178" s="150"/>
      <c r="K178" s="117"/>
      <c r="L178" s="117"/>
      <c r="M178" s="117"/>
    </row>
    <row r="179">
      <c r="A179" s="116"/>
      <c r="B179" s="117"/>
      <c r="C179" s="117"/>
      <c r="D179" s="229"/>
      <c r="E179" s="117"/>
      <c r="F179" s="229"/>
      <c r="G179" s="116"/>
      <c r="H179" s="148"/>
      <c r="I179" s="149"/>
      <c r="J179" s="150"/>
      <c r="K179" s="117"/>
      <c r="L179" s="117"/>
      <c r="M179" s="117"/>
    </row>
    <row r="180">
      <c r="A180" s="116"/>
      <c r="B180" s="117"/>
      <c r="C180" s="117"/>
      <c r="D180" s="229"/>
      <c r="E180" s="117"/>
      <c r="F180" s="229"/>
      <c r="G180" s="116"/>
      <c r="H180" s="148"/>
      <c r="I180" s="149"/>
      <c r="J180" s="150"/>
      <c r="K180" s="117"/>
      <c r="L180" s="117"/>
      <c r="M180" s="117"/>
    </row>
    <row r="181">
      <c r="A181" s="116"/>
      <c r="B181" s="117"/>
      <c r="C181" s="117"/>
      <c r="D181" s="229"/>
      <c r="E181" s="117"/>
      <c r="F181" s="229"/>
      <c r="G181" s="116"/>
      <c r="H181" s="148"/>
      <c r="I181" s="149"/>
      <c r="J181" s="150"/>
      <c r="K181" s="117"/>
      <c r="L181" s="117"/>
      <c r="M181" s="117"/>
    </row>
    <row r="182">
      <c r="A182" s="116"/>
      <c r="B182" s="117"/>
      <c r="C182" s="117"/>
      <c r="D182" s="229"/>
      <c r="E182" s="117"/>
      <c r="F182" s="229"/>
      <c r="G182" s="116"/>
      <c r="H182" s="148"/>
      <c r="I182" s="149"/>
      <c r="J182" s="150"/>
      <c r="K182" s="117"/>
      <c r="L182" s="117"/>
      <c r="M182" s="117"/>
    </row>
    <row r="183">
      <c r="A183" s="116"/>
      <c r="B183" s="117"/>
      <c r="C183" s="117"/>
      <c r="D183" s="229"/>
      <c r="E183" s="117"/>
      <c r="F183" s="229"/>
      <c r="G183" s="116"/>
      <c r="H183" s="148"/>
      <c r="I183" s="149"/>
      <c r="J183" s="150"/>
      <c r="K183" s="117"/>
      <c r="L183" s="117"/>
      <c r="M183" s="117"/>
    </row>
    <row r="184">
      <c r="A184" s="116"/>
      <c r="B184" s="117"/>
      <c r="C184" s="117"/>
      <c r="D184" s="229"/>
      <c r="E184" s="117"/>
      <c r="F184" s="229"/>
      <c r="G184" s="116"/>
      <c r="H184" s="148"/>
      <c r="I184" s="149"/>
      <c r="J184" s="150"/>
      <c r="K184" s="117"/>
      <c r="L184" s="117"/>
      <c r="M184" s="117"/>
    </row>
    <row r="185">
      <c r="A185" s="116"/>
      <c r="B185" s="117"/>
      <c r="C185" s="117"/>
      <c r="D185" s="229"/>
      <c r="E185" s="117"/>
      <c r="F185" s="229"/>
      <c r="G185" s="116"/>
      <c r="H185" s="148"/>
      <c r="I185" s="149"/>
      <c r="J185" s="150"/>
      <c r="K185" s="117"/>
      <c r="L185" s="117"/>
      <c r="M185" s="117"/>
    </row>
    <row r="186">
      <c r="A186" s="116"/>
      <c r="B186" s="117"/>
      <c r="C186" s="117"/>
      <c r="D186" s="229"/>
      <c r="E186" s="117"/>
      <c r="F186" s="229"/>
      <c r="G186" s="116"/>
      <c r="H186" s="148"/>
      <c r="I186" s="149"/>
      <c r="J186" s="150"/>
      <c r="K186" s="117"/>
      <c r="L186" s="117"/>
      <c r="M186" s="117"/>
    </row>
    <row r="187">
      <c r="A187" s="116"/>
      <c r="B187" s="117"/>
      <c r="C187" s="117"/>
      <c r="D187" s="229"/>
      <c r="E187" s="117"/>
      <c r="F187" s="229"/>
      <c r="G187" s="116"/>
      <c r="H187" s="148"/>
      <c r="I187" s="149"/>
      <c r="J187" s="150"/>
      <c r="K187" s="117"/>
      <c r="L187" s="117"/>
      <c r="M187" s="117"/>
    </row>
    <row r="188">
      <c r="A188" s="116"/>
      <c r="B188" s="117"/>
      <c r="C188" s="117"/>
      <c r="D188" s="229"/>
      <c r="E188" s="117"/>
      <c r="F188" s="229"/>
      <c r="G188" s="116"/>
      <c r="H188" s="148"/>
      <c r="I188" s="149"/>
      <c r="J188" s="150"/>
      <c r="K188" s="117"/>
      <c r="L188" s="117"/>
      <c r="M188" s="117"/>
    </row>
    <row r="189">
      <c r="A189" s="116"/>
      <c r="B189" s="117"/>
      <c r="C189" s="117"/>
      <c r="D189" s="229"/>
      <c r="E189" s="117"/>
      <c r="F189" s="229"/>
      <c r="G189" s="116"/>
      <c r="H189" s="148"/>
      <c r="I189" s="149"/>
      <c r="J189" s="150"/>
      <c r="K189" s="117"/>
      <c r="L189" s="117"/>
      <c r="M189" s="117"/>
    </row>
    <row r="190">
      <c r="A190" s="116"/>
      <c r="B190" s="117"/>
      <c r="C190" s="117"/>
      <c r="D190" s="229"/>
      <c r="E190" s="117"/>
      <c r="F190" s="229"/>
      <c r="G190" s="116"/>
      <c r="H190" s="148"/>
      <c r="I190" s="149"/>
      <c r="J190" s="150"/>
      <c r="K190" s="117"/>
      <c r="L190" s="117"/>
      <c r="M190" s="117"/>
    </row>
    <row r="191">
      <c r="A191" s="116"/>
      <c r="B191" s="117"/>
      <c r="C191" s="117"/>
      <c r="D191" s="229"/>
      <c r="E191" s="117"/>
      <c r="F191" s="229"/>
      <c r="G191" s="116"/>
      <c r="H191" s="148"/>
      <c r="I191" s="149"/>
      <c r="J191" s="150"/>
      <c r="K191" s="117"/>
      <c r="L191" s="117"/>
      <c r="M191" s="117"/>
    </row>
    <row r="192">
      <c r="A192" s="116"/>
      <c r="B192" s="117"/>
      <c r="C192" s="117"/>
      <c r="D192" s="229"/>
      <c r="E192" s="117"/>
      <c r="F192" s="229"/>
      <c r="G192" s="116"/>
      <c r="H192" s="148"/>
      <c r="I192" s="149"/>
      <c r="J192" s="150"/>
      <c r="K192" s="117"/>
      <c r="L192" s="117"/>
      <c r="M192" s="117"/>
    </row>
    <row r="193">
      <c r="A193" s="116"/>
      <c r="B193" s="117"/>
      <c r="C193" s="117"/>
      <c r="D193" s="229"/>
      <c r="E193" s="117"/>
      <c r="F193" s="229"/>
      <c r="G193" s="116"/>
      <c r="H193" s="148"/>
      <c r="I193" s="149"/>
      <c r="J193" s="150"/>
      <c r="K193" s="117"/>
      <c r="L193" s="117"/>
      <c r="M193" s="117"/>
    </row>
    <row r="194">
      <c r="A194" s="116"/>
      <c r="B194" s="117"/>
      <c r="C194" s="117"/>
      <c r="D194" s="229"/>
      <c r="E194" s="117"/>
      <c r="F194" s="229"/>
      <c r="G194" s="116"/>
      <c r="H194" s="148"/>
      <c r="I194" s="149"/>
      <c r="J194" s="150"/>
      <c r="K194" s="117"/>
      <c r="L194" s="117"/>
      <c r="M194" s="117"/>
    </row>
    <row r="195">
      <c r="A195" s="116"/>
      <c r="B195" s="117"/>
      <c r="C195" s="117"/>
      <c r="D195" s="229"/>
      <c r="E195" s="117"/>
      <c r="F195" s="229"/>
      <c r="G195" s="116"/>
      <c r="H195" s="148"/>
      <c r="I195" s="149"/>
      <c r="J195" s="150"/>
      <c r="K195" s="117"/>
      <c r="L195" s="117"/>
      <c r="M195" s="117"/>
    </row>
    <row r="196">
      <c r="A196" s="116"/>
      <c r="B196" s="117"/>
      <c r="C196" s="117"/>
      <c r="D196" s="229"/>
      <c r="E196" s="117"/>
      <c r="F196" s="229"/>
      <c r="G196" s="116"/>
      <c r="H196" s="148"/>
      <c r="I196" s="149"/>
      <c r="J196" s="150"/>
      <c r="K196" s="117"/>
      <c r="L196" s="117"/>
      <c r="M196" s="117"/>
    </row>
    <row r="197">
      <c r="A197" s="116"/>
      <c r="B197" s="117"/>
      <c r="C197" s="117"/>
      <c r="D197" s="229"/>
      <c r="E197" s="117"/>
      <c r="F197" s="229"/>
      <c r="G197" s="116"/>
      <c r="H197" s="148"/>
      <c r="I197" s="149"/>
      <c r="J197" s="150"/>
      <c r="K197" s="117"/>
      <c r="L197" s="117"/>
      <c r="M197" s="117"/>
    </row>
    <row r="198">
      <c r="A198" s="116"/>
      <c r="B198" s="117"/>
      <c r="C198" s="117"/>
      <c r="D198" s="229"/>
      <c r="E198" s="117"/>
      <c r="F198" s="229"/>
      <c r="G198" s="116"/>
      <c r="H198" s="148"/>
      <c r="I198" s="149"/>
      <c r="J198" s="150"/>
      <c r="K198" s="117"/>
      <c r="L198" s="117"/>
      <c r="M198" s="117"/>
    </row>
    <row r="199">
      <c r="A199" s="116"/>
      <c r="B199" s="117"/>
      <c r="C199" s="117"/>
      <c r="D199" s="229"/>
      <c r="E199" s="117"/>
      <c r="F199" s="229"/>
      <c r="G199" s="116"/>
      <c r="H199" s="148"/>
      <c r="I199" s="149"/>
      <c r="J199" s="150"/>
      <c r="K199" s="117"/>
      <c r="L199" s="117"/>
      <c r="M199" s="117"/>
    </row>
    <row r="200">
      <c r="A200" s="116"/>
      <c r="B200" s="117"/>
      <c r="C200" s="117"/>
      <c r="D200" s="229"/>
      <c r="E200" s="117"/>
      <c r="F200" s="229"/>
      <c r="G200" s="116"/>
      <c r="H200" s="148"/>
      <c r="I200" s="149"/>
      <c r="J200" s="150"/>
      <c r="K200" s="117"/>
      <c r="L200" s="117"/>
      <c r="M200" s="117"/>
    </row>
    <row r="201">
      <c r="A201" s="116"/>
      <c r="B201" s="117"/>
      <c r="C201" s="117"/>
      <c r="D201" s="229"/>
      <c r="E201" s="117"/>
      <c r="F201" s="229"/>
      <c r="G201" s="116"/>
      <c r="H201" s="148"/>
      <c r="I201" s="149"/>
      <c r="J201" s="150"/>
      <c r="K201" s="117"/>
      <c r="L201" s="117"/>
      <c r="M201" s="117"/>
    </row>
    <row r="202">
      <c r="A202" s="116"/>
      <c r="B202" s="117"/>
      <c r="C202" s="117"/>
      <c r="D202" s="229"/>
      <c r="E202" s="117"/>
      <c r="F202" s="229"/>
      <c r="G202" s="116"/>
      <c r="H202" s="148"/>
      <c r="I202" s="149"/>
      <c r="J202" s="150"/>
      <c r="K202" s="117"/>
      <c r="L202" s="117"/>
      <c r="M202" s="117"/>
    </row>
    <row r="203">
      <c r="A203" s="116"/>
      <c r="B203" s="117"/>
      <c r="C203" s="117"/>
      <c r="D203" s="229"/>
      <c r="E203" s="117"/>
      <c r="F203" s="229"/>
      <c r="G203" s="116"/>
      <c r="H203" s="148"/>
      <c r="I203" s="149"/>
      <c r="J203" s="150"/>
      <c r="K203" s="117"/>
      <c r="L203" s="117"/>
      <c r="M203" s="117"/>
    </row>
    <row r="204">
      <c r="A204" s="116"/>
      <c r="B204" s="117"/>
      <c r="C204" s="117"/>
      <c r="D204" s="229"/>
      <c r="E204" s="117"/>
      <c r="F204" s="229"/>
      <c r="G204" s="116"/>
      <c r="H204" s="148"/>
      <c r="I204" s="149"/>
      <c r="J204" s="150"/>
      <c r="K204" s="117"/>
      <c r="L204" s="117"/>
      <c r="M204" s="117"/>
    </row>
    <row r="205">
      <c r="A205" s="116"/>
      <c r="B205" s="117"/>
      <c r="C205" s="117"/>
      <c r="D205" s="229"/>
      <c r="E205" s="117"/>
      <c r="F205" s="229"/>
      <c r="G205" s="116"/>
      <c r="H205" s="148"/>
      <c r="I205" s="149"/>
      <c r="J205" s="150"/>
      <c r="K205" s="117"/>
      <c r="L205" s="117"/>
      <c r="M205" s="117"/>
    </row>
    <row r="206">
      <c r="A206" s="116"/>
      <c r="B206" s="117"/>
      <c r="C206" s="117"/>
      <c r="D206" s="229"/>
      <c r="E206" s="117"/>
      <c r="F206" s="229"/>
      <c r="G206" s="116"/>
      <c r="H206" s="148"/>
      <c r="I206" s="149"/>
      <c r="J206" s="150"/>
      <c r="K206" s="117"/>
      <c r="L206" s="117"/>
      <c r="M206" s="117"/>
    </row>
    <row r="207">
      <c r="A207" s="116"/>
      <c r="B207" s="117"/>
      <c r="C207" s="117"/>
      <c r="D207" s="229"/>
      <c r="E207" s="117"/>
      <c r="F207" s="229"/>
      <c r="G207" s="116"/>
      <c r="H207" s="148"/>
      <c r="I207" s="149"/>
      <c r="J207" s="150"/>
      <c r="K207" s="117"/>
      <c r="L207" s="117"/>
      <c r="M207" s="117"/>
    </row>
    <row r="208">
      <c r="A208" s="116"/>
      <c r="B208" s="117"/>
      <c r="C208" s="117"/>
      <c r="D208" s="229"/>
      <c r="E208" s="117"/>
      <c r="F208" s="229"/>
      <c r="G208" s="116"/>
      <c r="H208" s="148"/>
      <c r="I208" s="149"/>
      <c r="J208" s="150"/>
      <c r="K208" s="117"/>
      <c r="L208" s="117"/>
      <c r="M208" s="117"/>
    </row>
    <row r="209">
      <c r="A209" s="116"/>
      <c r="B209" s="117"/>
      <c r="C209" s="117"/>
      <c r="D209" s="229"/>
      <c r="E209" s="117"/>
      <c r="F209" s="229"/>
      <c r="G209" s="116"/>
      <c r="H209" s="148"/>
      <c r="I209" s="149"/>
      <c r="J209" s="150"/>
      <c r="K209" s="117"/>
      <c r="L209" s="117"/>
      <c r="M209" s="117"/>
    </row>
    <row r="210">
      <c r="A210" s="116"/>
      <c r="B210" s="117"/>
      <c r="C210" s="117"/>
      <c r="D210" s="229"/>
      <c r="E210" s="117"/>
      <c r="F210" s="229"/>
      <c r="G210" s="116"/>
      <c r="H210" s="148"/>
      <c r="I210" s="149"/>
      <c r="J210" s="150"/>
      <c r="K210" s="117"/>
      <c r="L210" s="117"/>
      <c r="M210" s="117"/>
    </row>
    <row r="211">
      <c r="A211" s="116"/>
      <c r="B211" s="117"/>
      <c r="C211" s="117"/>
      <c r="D211" s="229"/>
      <c r="E211" s="117"/>
      <c r="F211" s="229"/>
      <c r="G211" s="116"/>
      <c r="H211" s="148"/>
      <c r="I211" s="149"/>
      <c r="J211" s="150"/>
      <c r="K211" s="117"/>
      <c r="L211" s="117"/>
      <c r="M211" s="117"/>
    </row>
    <row r="212">
      <c r="A212" s="116"/>
      <c r="B212" s="117"/>
      <c r="C212" s="117"/>
      <c r="D212" s="229"/>
      <c r="E212" s="117"/>
      <c r="F212" s="229"/>
      <c r="G212" s="116"/>
      <c r="H212" s="148"/>
      <c r="I212" s="149"/>
      <c r="J212" s="150"/>
      <c r="K212" s="117"/>
      <c r="L212" s="117"/>
      <c r="M212" s="117"/>
    </row>
    <row r="213">
      <c r="A213" s="116"/>
      <c r="B213" s="117"/>
      <c r="C213" s="117"/>
      <c r="D213" s="229"/>
      <c r="E213" s="117"/>
      <c r="F213" s="229"/>
      <c r="G213" s="116"/>
      <c r="H213" s="148"/>
      <c r="I213" s="149"/>
      <c r="J213" s="150"/>
      <c r="K213" s="117"/>
      <c r="L213" s="117"/>
      <c r="M213" s="117"/>
    </row>
    <row r="214">
      <c r="A214" s="116"/>
      <c r="B214" s="117"/>
      <c r="C214" s="117"/>
      <c r="D214" s="229"/>
      <c r="E214" s="117"/>
      <c r="F214" s="229"/>
      <c r="G214" s="116"/>
      <c r="H214" s="148"/>
      <c r="I214" s="149"/>
      <c r="J214" s="150"/>
      <c r="K214" s="117"/>
      <c r="L214" s="117"/>
      <c r="M214" s="117"/>
    </row>
    <row r="215">
      <c r="A215" s="116"/>
      <c r="B215" s="117"/>
      <c r="C215" s="117"/>
      <c r="D215" s="229"/>
      <c r="E215" s="117"/>
      <c r="F215" s="229"/>
      <c r="G215" s="116"/>
      <c r="H215" s="148"/>
      <c r="I215" s="149"/>
      <c r="J215" s="150"/>
      <c r="K215" s="117"/>
      <c r="L215" s="117"/>
      <c r="M215" s="117"/>
    </row>
    <row r="216">
      <c r="A216" s="116"/>
      <c r="B216" s="117"/>
      <c r="C216" s="117"/>
      <c r="D216" s="229"/>
      <c r="E216" s="117"/>
      <c r="F216" s="229"/>
      <c r="G216" s="116"/>
      <c r="H216" s="148"/>
      <c r="I216" s="149"/>
      <c r="J216" s="150"/>
      <c r="K216" s="117"/>
      <c r="L216" s="117"/>
      <c r="M216" s="117"/>
    </row>
    <row r="217">
      <c r="A217" s="116"/>
      <c r="B217" s="117"/>
      <c r="C217" s="117"/>
      <c r="D217" s="229"/>
      <c r="E217" s="117"/>
      <c r="F217" s="229"/>
      <c r="G217" s="116"/>
      <c r="H217" s="148"/>
      <c r="I217" s="149"/>
      <c r="J217" s="150"/>
      <c r="K217" s="117"/>
      <c r="L217" s="117"/>
      <c r="M217" s="117"/>
    </row>
    <row r="218">
      <c r="A218" s="116"/>
      <c r="B218" s="117"/>
      <c r="C218" s="117"/>
      <c r="D218" s="229"/>
      <c r="E218" s="117"/>
      <c r="F218" s="229"/>
      <c r="G218" s="116"/>
      <c r="H218" s="148"/>
      <c r="I218" s="149"/>
      <c r="J218" s="150"/>
      <c r="K218" s="117"/>
      <c r="L218" s="117"/>
      <c r="M218" s="117"/>
    </row>
    <row r="219">
      <c r="A219" s="116"/>
      <c r="B219" s="117"/>
      <c r="C219" s="117"/>
      <c r="D219" s="229"/>
      <c r="E219" s="117"/>
      <c r="F219" s="229"/>
      <c r="G219" s="116"/>
      <c r="H219" s="148"/>
      <c r="I219" s="149"/>
      <c r="J219" s="150"/>
      <c r="K219" s="117"/>
      <c r="L219" s="117"/>
      <c r="M219" s="117"/>
    </row>
    <row r="220">
      <c r="A220" s="116"/>
      <c r="B220" s="117"/>
      <c r="C220" s="117"/>
      <c r="D220" s="229"/>
      <c r="E220" s="117"/>
      <c r="F220" s="229"/>
      <c r="G220" s="116"/>
      <c r="H220" s="148"/>
      <c r="I220" s="149"/>
      <c r="J220" s="150"/>
      <c r="K220" s="117"/>
      <c r="L220" s="117"/>
      <c r="M220" s="117"/>
    </row>
    <row r="221">
      <c r="A221" s="116"/>
      <c r="B221" s="117"/>
      <c r="C221" s="117"/>
      <c r="D221" s="229"/>
      <c r="E221" s="117"/>
      <c r="F221" s="229"/>
      <c r="G221" s="116"/>
      <c r="H221" s="148"/>
      <c r="I221" s="149"/>
      <c r="J221" s="150"/>
      <c r="K221" s="117"/>
      <c r="L221" s="117"/>
      <c r="M221" s="117"/>
    </row>
    <row r="222">
      <c r="A222" s="116"/>
      <c r="B222" s="117"/>
      <c r="C222" s="117"/>
      <c r="D222" s="229"/>
      <c r="E222" s="117"/>
      <c r="F222" s="229"/>
      <c r="G222" s="116"/>
      <c r="H222" s="148"/>
      <c r="I222" s="149"/>
      <c r="J222" s="150"/>
      <c r="K222" s="117"/>
      <c r="L222" s="117"/>
      <c r="M222" s="117"/>
    </row>
    <row r="223">
      <c r="A223" s="116"/>
      <c r="B223" s="117"/>
      <c r="C223" s="117"/>
      <c r="D223" s="229"/>
      <c r="E223" s="117"/>
      <c r="F223" s="229"/>
      <c r="G223" s="116"/>
      <c r="H223" s="148"/>
      <c r="I223" s="149"/>
      <c r="J223" s="150"/>
      <c r="K223" s="117"/>
      <c r="L223" s="117"/>
      <c r="M223" s="117"/>
    </row>
    <row r="224">
      <c r="A224" s="116"/>
      <c r="B224" s="117"/>
      <c r="C224" s="117"/>
      <c r="D224" s="229"/>
      <c r="E224" s="117"/>
      <c r="F224" s="229"/>
      <c r="G224" s="116"/>
      <c r="H224" s="148"/>
      <c r="I224" s="149"/>
      <c r="J224" s="150"/>
      <c r="K224" s="117"/>
      <c r="L224" s="117"/>
      <c r="M224" s="117"/>
    </row>
    <row r="225">
      <c r="A225" s="116"/>
      <c r="B225" s="117"/>
      <c r="C225" s="117"/>
      <c r="D225" s="229"/>
      <c r="E225" s="117"/>
      <c r="F225" s="229"/>
      <c r="G225" s="116"/>
      <c r="H225" s="148"/>
      <c r="I225" s="149"/>
      <c r="J225" s="150"/>
      <c r="K225" s="117"/>
      <c r="L225" s="117"/>
      <c r="M225" s="117"/>
    </row>
    <row r="226">
      <c r="A226" s="116"/>
      <c r="B226" s="117"/>
      <c r="C226" s="117"/>
      <c r="D226" s="229"/>
      <c r="E226" s="117"/>
      <c r="F226" s="229"/>
      <c r="G226" s="116"/>
      <c r="H226" s="148"/>
      <c r="I226" s="149"/>
      <c r="J226" s="150"/>
      <c r="K226" s="117"/>
      <c r="L226" s="117"/>
      <c r="M226" s="117"/>
    </row>
    <row r="227">
      <c r="A227" s="116"/>
      <c r="B227" s="117"/>
      <c r="C227" s="117"/>
      <c r="D227" s="229"/>
      <c r="E227" s="117"/>
      <c r="F227" s="229"/>
      <c r="G227" s="116"/>
      <c r="H227" s="148"/>
      <c r="I227" s="149"/>
      <c r="J227" s="150"/>
      <c r="K227" s="117"/>
      <c r="L227" s="117"/>
      <c r="M227" s="117"/>
    </row>
    <row r="228">
      <c r="A228" s="116"/>
      <c r="B228" s="117"/>
      <c r="C228" s="117"/>
      <c r="D228" s="229"/>
      <c r="E228" s="117"/>
      <c r="F228" s="229"/>
      <c r="G228" s="116"/>
      <c r="H228" s="148"/>
      <c r="I228" s="149"/>
      <c r="J228" s="150"/>
      <c r="K228" s="117"/>
      <c r="L228" s="117"/>
      <c r="M228" s="117"/>
    </row>
    <row r="229">
      <c r="A229" s="116"/>
      <c r="B229" s="117"/>
      <c r="C229" s="117"/>
      <c r="D229" s="229"/>
      <c r="E229" s="117"/>
      <c r="F229" s="229"/>
      <c r="G229" s="116"/>
      <c r="H229" s="148"/>
      <c r="I229" s="149"/>
      <c r="J229" s="150"/>
      <c r="K229" s="117"/>
      <c r="L229" s="117"/>
      <c r="M229" s="117"/>
    </row>
    <row r="230">
      <c r="A230" s="116"/>
      <c r="B230" s="117"/>
      <c r="C230" s="117"/>
      <c r="D230" s="229"/>
      <c r="E230" s="117"/>
      <c r="F230" s="229"/>
      <c r="G230" s="116"/>
      <c r="H230" s="148"/>
      <c r="I230" s="149"/>
      <c r="J230" s="150"/>
      <c r="K230" s="117"/>
      <c r="L230" s="117"/>
      <c r="M230" s="117"/>
    </row>
    <row r="231">
      <c r="A231" s="116"/>
      <c r="B231" s="117"/>
      <c r="C231" s="117"/>
      <c r="D231" s="229"/>
      <c r="E231" s="117"/>
      <c r="F231" s="229"/>
      <c r="G231" s="116"/>
      <c r="H231" s="148"/>
      <c r="I231" s="149"/>
      <c r="J231" s="150"/>
      <c r="K231" s="117"/>
      <c r="L231" s="117"/>
      <c r="M231" s="117"/>
    </row>
    <row r="232">
      <c r="A232" s="116"/>
      <c r="B232" s="117"/>
      <c r="C232" s="117"/>
      <c r="D232" s="229"/>
      <c r="E232" s="117"/>
      <c r="F232" s="229"/>
      <c r="G232" s="116"/>
      <c r="H232" s="148"/>
      <c r="I232" s="149"/>
      <c r="J232" s="150"/>
      <c r="K232" s="117"/>
      <c r="L232" s="117"/>
      <c r="M232" s="117"/>
    </row>
    <row r="233">
      <c r="A233" s="116"/>
      <c r="B233" s="117"/>
      <c r="C233" s="117"/>
      <c r="D233" s="229"/>
      <c r="E233" s="117"/>
      <c r="F233" s="229"/>
      <c r="G233" s="116"/>
      <c r="H233" s="148"/>
      <c r="I233" s="149"/>
      <c r="J233" s="150"/>
      <c r="K233" s="117"/>
      <c r="L233" s="117"/>
      <c r="M233" s="117"/>
    </row>
    <row r="234">
      <c r="A234" s="116"/>
      <c r="B234" s="117"/>
      <c r="C234" s="117"/>
      <c r="D234" s="229"/>
      <c r="E234" s="117"/>
      <c r="F234" s="229"/>
      <c r="G234" s="116"/>
      <c r="H234" s="148"/>
      <c r="I234" s="149"/>
      <c r="J234" s="150"/>
      <c r="K234" s="117"/>
      <c r="L234" s="117"/>
      <c r="M234" s="117"/>
    </row>
    <row r="235">
      <c r="A235" s="116"/>
      <c r="B235" s="117"/>
      <c r="C235" s="117"/>
      <c r="D235" s="229"/>
      <c r="E235" s="117"/>
      <c r="F235" s="229"/>
      <c r="G235" s="116"/>
      <c r="H235" s="148"/>
      <c r="I235" s="149"/>
      <c r="J235" s="150"/>
      <c r="K235" s="117"/>
      <c r="L235" s="117"/>
      <c r="M235" s="117"/>
    </row>
    <row r="236">
      <c r="A236" s="116"/>
      <c r="B236" s="117"/>
      <c r="C236" s="117"/>
      <c r="D236" s="229"/>
      <c r="E236" s="117"/>
      <c r="F236" s="229"/>
      <c r="G236" s="116"/>
      <c r="H236" s="148"/>
      <c r="I236" s="149"/>
      <c r="J236" s="150"/>
      <c r="K236" s="117"/>
      <c r="L236" s="117"/>
      <c r="M236" s="117"/>
    </row>
    <row r="237">
      <c r="A237" s="116"/>
      <c r="B237" s="117"/>
      <c r="C237" s="117"/>
      <c r="D237" s="229"/>
      <c r="E237" s="117"/>
      <c r="F237" s="229"/>
      <c r="G237" s="116"/>
      <c r="H237" s="148"/>
      <c r="I237" s="149"/>
      <c r="J237" s="150"/>
      <c r="K237" s="117"/>
      <c r="L237" s="117"/>
      <c r="M237" s="117"/>
    </row>
    <row r="238">
      <c r="A238" s="116"/>
      <c r="B238" s="117"/>
      <c r="C238" s="117"/>
      <c r="D238" s="229"/>
      <c r="E238" s="117"/>
      <c r="F238" s="229"/>
      <c r="G238" s="116"/>
      <c r="H238" s="148"/>
      <c r="I238" s="149"/>
      <c r="J238" s="150"/>
      <c r="K238" s="117"/>
      <c r="L238" s="117"/>
      <c r="M238" s="117"/>
    </row>
    <row r="239">
      <c r="A239" s="116"/>
      <c r="B239" s="117"/>
      <c r="C239" s="117"/>
      <c r="D239" s="229"/>
      <c r="E239" s="117"/>
      <c r="F239" s="229"/>
      <c r="G239" s="116"/>
      <c r="H239" s="148"/>
      <c r="I239" s="149"/>
      <c r="J239" s="150"/>
      <c r="K239" s="117"/>
      <c r="L239" s="117"/>
      <c r="M239" s="117"/>
    </row>
    <row r="240">
      <c r="A240" s="116"/>
      <c r="B240" s="117"/>
      <c r="C240" s="117"/>
      <c r="D240" s="229"/>
      <c r="E240" s="117"/>
      <c r="F240" s="229"/>
      <c r="G240" s="116"/>
      <c r="H240" s="148"/>
      <c r="I240" s="149"/>
      <c r="J240" s="150"/>
      <c r="K240" s="117"/>
      <c r="L240" s="117"/>
      <c r="M240" s="117"/>
    </row>
    <row r="241">
      <c r="A241" s="116"/>
      <c r="B241" s="117"/>
      <c r="C241" s="117"/>
      <c r="D241" s="229"/>
      <c r="E241" s="117"/>
      <c r="F241" s="229"/>
      <c r="G241" s="116"/>
      <c r="H241" s="148"/>
      <c r="I241" s="149"/>
      <c r="J241" s="150"/>
      <c r="K241" s="117"/>
      <c r="L241" s="117"/>
      <c r="M241" s="117"/>
    </row>
    <row r="242">
      <c r="A242" s="116"/>
      <c r="B242" s="117"/>
      <c r="C242" s="117"/>
      <c r="D242" s="229"/>
      <c r="E242" s="117"/>
      <c r="F242" s="229"/>
      <c r="G242" s="116"/>
      <c r="H242" s="148"/>
      <c r="I242" s="149"/>
      <c r="J242" s="150"/>
      <c r="K242" s="117"/>
      <c r="L242" s="117"/>
      <c r="M242" s="117"/>
    </row>
    <row r="243">
      <c r="A243" s="116"/>
      <c r="B243" s="117"/>
      <c r="C243" s="117"/>
      <c r="D243" s="229"/>
      <c r="E243" s="117"/>
      <c r="F243" s="229"/>
      <c r="G243" s="116"/>
      <c r="H243" s="148"/>
      <c r="I243" s="149"/>
      <c r="J243" s="150"/>
      <c r="K243" s="117"/>
      <c r="L243" s="117"/>
      <c r="M243" s="117"/>
    </row>
    <row r="244">
      <c r="A244" s="116"/>
      <c r="B244" s="117"/>
      <c r="C244" s="117"/>
      <c r="D244" s="229"/>
      <c r="E244" s="117"/>
      <c r="F244" s="229"/>
      <c r="G244" s="116"/>
      <c r="H244" s="148"/>
      <c r="I244" s="149"/>
      <c r="J244" s="150"/>
      <c r="K244" s="117"/>
      <c r="L244" s="117"/>
      <c r="M244" s="117"/>
    </row>
    <row r="245">
      <c r="A245" s="116"/>
      <c r="B245" s="117"/>
      <c r="C245" s="117"/>
      <c r="D245" s="229"/>
      <c r="E245" s="117"/>
      <c r="F245" s="229"/>
      <c r="G245" s="116"/>
      <c r="H245" s="148"/>
      <c r="I245" s="149"/>
      <c r="J245" s="150"/>
      <c r="K245" s="117"/>
      <c r="L245" s="117"/>
      <c r="M245" s="117"/>
    </row>
    <row r="246">
      <c r="A246" s="116"/>
      <c r="B246" s="117"/>
      <c r="C246" s="117"/>
      <c r="D246" s="229"/>
      <c r="E246" s="117"/>
      <c r="F246" s="229"/>
      <c r="G246" s="116"/>
      <c r="H246" s="148"/>
      <c r="I246" s="149"/>
      <c r="J246" s="150"/>
      <c r="K246" s="117"/>
      <c r="L246" s="117"/>
      <c r="M246" s="117"/>
    </row>
    <row r="247">
      <c r="A247" s="116"/>
      <c r="B247" s="117"/>
      <c r="C247" s="117"/>
      <c r="D247" s="229"/>
      <c r="E247" s="117"/>
      <c r="F247" s="229"/>
      <c r="G247" s="116"/>
      <c r="H247" s="148"/>
      <c r="I247" s="149"/>
      <c r="J247" s="150"/>
      <c r="K247" s="117"/>
      <c r="L247" s="117"/>
      <c r="M247" s="117"/>
    </row>
    <row r="248">
      <c r="A248" s="116"/>
      <c r="B248" s="117"/>
      <c r="C248" s="117"/>
      <c r="D248" s="229"/>
      <c r="E248" s="117"/>
      <c r="F248" s="229"/>
      <c r="G248" s="116"/>
      <c r="H248" s="148"/>
      <c r="I248" s="149"/>
      <c r="J248" s="150"/>
      <c r="K248" s="117"/>
      <c r="L248" s="117"/>
      <c r="M248" s="117"/>
    </row>
    <row r="249">
      <c r="A249" s="116"/>
      <c r="B249" s="117"/>
      <c r="C249" s="117"/>
      <c r="D249" s="229"/>
      <c r="E249" s="117"/>
      <c r="F249" s="229"/>
      <c r="G249" s="116"/>
      <c r="H249" s="148"/>
      <c r="I249" s="149"/>
      <c r="J249" s="150"/>
      <c r="K249" s="117"/>
      <c r="L249" s="117"/>
      <c r="M249" s="117"/>
    </row>
    <row r="250">
      <c r="A250" s="116"/>
      <c r="B250" s="117"/>
      <c r="C250" s="117"/>
      <c r="D250" s="229"/>
      <c r="E250" s="117"/>
      <c r="F250" s="229"/>
      <c r="G250" s="116"/>
      <c r="H250" s="148"/>
      <c r="I250" s="149"/>
      <c r="J250" s="150"/>
      <c r="K250" s="117"/>
      <c r="L250" s="117"/>
      <c r="M250" s="117"/>
    </row>
    <row r="251">
      <c r="A251" s="116"/>
      <c r="B251" s="117"/>
      <c r="C251" s="117"/>
      <c r="D251" s="229"/>
      <c r="E251" s="117"/>
      <c r="F251" s="229"/>
      <c r="G251" s="116"/>
      <c r="H251" s="148"/>
      <c r="I251" s="149"/>
      <c r="J251" s="150"/>
      <c r="K251" s="117"/>
      <c r="L251" s="117"/>
      <c r="M251" s="117"/>
    </row>
    <row r="252">
      <c r="A252" s="116"/>
      <c r="B252" s="117"/>
      <c r="C252" s="117"/>
      <c r="D252" s="229"/>
      <c r="E252" s="117"/>
      <c r="F252" s="229"/>
      <c r="G252" s="116"/>
      <c r="H252" s="148"/>
      <c r="I252" s="149"/>
      <c r="J252" s="150"/>
      <c r="K252" s="117"/>
      <c r="L252" s="117"/>
      <c r="M252" s="117"/>
    </row>
    <row r="253">
      <c r="A253" s="116"/>
      <c r="B253" s="117"/>
      <c r="C253" s="117"/>
      <c r="D253" s="229"/>
      <c r="E253" s="117"/>
      <c r="F253" s="229"/>
      <c r="G253" s="116"/>
      <c r="H253" s="148"/>
      <c r="I253" s="149"/>
      <c r="J253" s="150"/>
      <c r="K253" s="117"/>
      <c r="L253" s="117"/>
      <c r="M253" s="117"/>
    </row>
    <row r="254">
      <c r="A254" s="116"/>
      <c r="B254" s="117"/>
      <c r="C254" s="117"/>
      <c r="D254" s="229"/>
      <c r="E254" s="117"/>
      <c r="F254" s="229"/>
      <c r="G254" s="116"/>
      <c r="H254" s="148"/>
      <c r="I254" s="149"/>
      <c r="J254" s="150"/>
      <c r="K254" s="117"/>
      <c r="L254" s="117"/>
      <c r="M254" s="117"/>
    </row>
    <row r="255">
      <c r="A255" s="116"/>
      <c r="B255" s="117"/>
      <c r="C255" s="117"/>
      <c r="D255" s="229"/>
      <c r="E255" s="117"/>
      <c r="F255" s="229"/>
      <c r="G255" s="116"/>
      <c r="H255" s="148"/>
      <c r="I255" s="149"/>
      <c r="J255" s="150"/>
      <c r="K255" s="117"/>
      <c r="L255" s="117"/>
      <c r="M255" s="117"/>
    </row>
    <row r="256">
      <c r="A256" s="116"/>
      <c r="B256" s="117"/>
      <c r="C256" s="117"/>
      <c r="D256" s="229"/>
      <c r="E256" s="117"/>
      <c r="F256" s="229"/>
      <c r="G256" s="116"/>
      <c r="H256" s="148"/>
      <c r="I256" s="149"/>
      <c r="J256" s="150"/>
      <c r="K256" s="117"/>
      <c r="L256" s="117"/>
      <c r="M256" s="117"/>
    </row>
    <row r="257">
      <c r="A257" s="116"/>
      <c r="B257" s="117"/>
      <c r="C257" s="117"/>
      <c r="D257" s="229"/>
      <c r="E257" s="117"/>
      <c r="F257" s="229"/>
      <c r="G257" s="116"/>
      <c r="H257" s="148"/>
      <c r="I257" s="149"/>
      <c r="J257" s="150"/>
      <c r="K257" s="117"/>
      <c r="L257" s="117"/>
      <c r="M257" s="117"/>
    </row>
    <row r="258">
      <c r="A258" s="116"/>
      <c r="B258" s="117"/>
      <c r="C258" s="117"/>
      <c r="D258" s="229"/>
      <c r="E258" s="117"/>
      <c r="F258" s="229"/>
      <c r="G258" s="116"/>
      <c r="H258" s="148"/>
      <c r="I258" s="149"/>
      <c r="J258" s="150"/>
      <c r="K258" s="117"/>
      <c r="L258" s="117"/>
      <c r="M258" s="117"/>
    </row>
    <row r="259">
      <c r="A259" s="116"/>
      <c r="B259" s="117"/>
      <c r="C259" s="117"/>
      <c r="D259" s="229"/>
      <c r="E259" s="117"/>
      <c r="F259" s="229"/>
      <c r="G259" s="116"/>
      <c r="H259" s="148"/>
      <c r="I259" s="149"/>
      <c r="J259" s="150"/>
      <c r="K259" s="117"/>
      <c r="L259" s="117"/>
      <c r="M259" s="117"/>
    </row>
    <row r="260">
      <c r="A260" s="116"/>
      <c r="B260" s="117"/>
      <c r="C260" s="117"/>
      <c r="D260" s="229"/>
      <c r="E260" s="117"/>
      <c r="F260" s="229"/>
      <c r="G260" s="116"/>
      <c r="H260" s="148"/>
      <c r="I260" s="149"/>
      <c r="J260" s="150"/>
      <c r="K260" s="117"/>
      <c r="L260" s="117"/>
      <c r="M260" s="117"/>
    </row>
    <row r="261">
      <c r="A261" s="116"/>
      <c r="B261" s="117"/>
      <c r="C261" s="117"/>
      <c r="D261" s="229"/>
      <c r="E261" s="117"/>
      <c r="F261" s="229"/>
      <c r="G261" s="116"/>
      <c r="H261" s="148"/>
      <c r="I261" s="149"/>
      <c r="J261" s="150"/>
      <c r="K261" s="117"/>
      <c r="L261" s="117"/>
      <c r="M261" s="117"/>
    </row>
    <row r="262">
      <c r="A262" s="116"/>
      <c r="B262" s="117"/>
      <c r="C262" s="117"/>
      <c r="D262" s="229"/>
      <c r="E262" s="117"/>
      <c r="F262" s="229"/>
      <c r="G262" s="116"/>
      <c r="H262" s="148"/>
      <c r="I262" s="149"/>
      <c r="J262" s="150"/>
      <c r="K262" s="117"/>
      <c r="L262" s="117"/>
      <c r="M262" s="117"/>
    </row>
    <row r="263">
      <c r="A263" s="116"/>
      <c r="B263" s="117"/>
      <c r="C263" s="117"/>
      <c r="D263" s="229"/>
      <c r="E263" s="117"/>
      <c r="F263" s="229"/>
      <c r="G263" s="116"/>
      <c r="H263" s="148"/>
      <c r="I263" s="149"/>
      <c r="J263" s="150"/>
      <c r="K263" s="117"/>
      <c r="L263" s="117"/>
      <c r="M263" s="117"/>
    </row>
    <row r="264">
      <c r="A264" s="116"/>
      <c r="B264" s="117"/>
      <c r="C264" s="117"/>
      <c r="D264" s="229"/>
      <c r="E264" s="117"/>
      <c r="F264" s="229"/>
      <c r="G264" s="116"/>
      <c r="H264" s="148"/>
      <c r="I264" s="149"/>
      <c r="J264" s="150"/>
      <c r="K264" s="117"/>
      <c r="L264" s="117"/>
      <c r="M264" s="117"/>
    </row>
    <row r="265">
      <c r="A265" s="116"/>
      <c r="B265" s="117"/>
      <c r="C265" s="117"/>
      <c r="D265" s="229"/>
      <c r="E265" s="117"/>
      <c r="F265" s="229"/>
      <c r="G265" s="116"/>
      <c r="H265" s="148"/>
      <c r="I265" s="149"/>
      <c r="J265" s="150"/>
      <c r="K265" s="117"/>
      <c r="L265" s="117"/>
      <c r="M265" s="117"/>
    </row>
    <row r="266">
      <c r="A266" s="116"/>
      <c r="B266" s="117"/>
      <c r="C266" s="117"/>
      <c r="D266" s="229"/>
      <c r="E266" s="117"/>
      <c r="F266" s="229"/>
      <c r="G266" s="116"/>
      <c r="H266" s="148"/>
      <c r="I266" s="149"/>
      <c r="J266" s="150"/>
      <c r="K266" s="117"/>
      <c r="L266" s="117"/>
      <c r="M266" s="117"/>
    </row>
    <row r="267">
      <c r="A267" s="116"/>
      <c r="B267" s="117"/>
      <c r="C267" s="117"/>
      <c r="D267" s="229"/>
      <c r="E267" s="117"/>
      <c r="F267" s="229"/>
      <c r="G267" s="116"/>
      <c r="H267" s="148"/>
      <c r="I267" s="149"/>
      <c r="J267" s="150"/>
      <c r="K267" s="117"/>
      <c r="L267" s="117"/>
      <c r="M267" s="117"/>
    </row>
    <row r="268">
      <c r="A268" s="116"/>
      <c r="B268" s="117"/>
      <c r="C268" s="117"/>
      <c r="D268" s="229"/>
      <c r="E268" s="117"/>
      <c r="F268" s="229"/>
      <c r="G268" s="116"/>
      <c r="H268" s="148"/>
      <c r="I268" s="149"/>
      <c r="J268" s="150"/>
      <c r="K268" s="117"/>
      <c r="L268" s="117"/>
      <c r="M268" s="117"/>
    </row>
    <row r="269">
      <c r="A269" s="116"/>
      <c r="B269" s="117"/>
      <c r="C269" s="117"/>
      <c r="D269" s="229"/>
      <c r="E269" s="117"/>
      <c r="F269" s="229"/>
      <c r="G269" s="116"/>
      <c r="H269" s="148"/>
      <c r="I269" s="149"/>
      <c r="J269" s="150"/>
      <c r="K269" s="117"/>
      <c r="L269" s="117"/>
      <c r="M269" s="117"/>
    </row>
    <row r="270">
      <c r="A270" s="116"/>
      <c r="B270" s="117"/>
      <c r="C270" s="117"/>
      <c r="D270" s="229"/>
      <c r="E270" s="117"/>
      <c r="F270" s="229"/>
      <c r="G270" s="116"/>
      <c r="H270" s="148"/>
      <c r="I270" s="149"/>
      <c r="J270" s="150"/>
      <c r="K270" s="117"/>
      <c r="L270" s="117"/>
      <c r="M270" s="117"/>
    </row>
    <row r="271">
      <c r="A271" s="116"/>
      <c r="B271" s="117"/>
      <c r="C271" s="117"/>
      <c r="D271" s="229"/>
      <c r="E271" s="117"/>
      <c r="F271" s="229"/>
      <c r="G271" s="116"/>
      <c r="H271" s="148"/>
      <c r="I271" s="149"/>
      <c r="J271" s="150"/>
      <c r="K271" s="117"/>
      <c r="L271" s="117"/>
      <c r="M271" s="117"/>
    </row>
    <row r="272">
      <c r="A272" s="116"/>
      <c r="B272" s="117"/>
      <c r="C272" s="117"/>
      <c r="D272" s="229"/>
      <c r="E272" s="117"/>
      <c r="F272" s="229"/>
      <c r="G272" s="116"/>
      <c r="H272" s="148"/>
      <c r="I272" s="149"/>
      <c r="J272" s="150"/>
      <c r="K272" s="117"/>
      <c r="L272" s="117"/>
      <c r="M272" s="117"/>
    </row>
    <row r="273">
      <c r="A273" s="116"/>
      <c r="B273" s="117"/>
      <c r="C273" s="117"/>
      <c r="D273" s="229"/>
      <c r="E273" s="117"/>
      <c r="F273" s="229"/>
      <c r="G273" s="116"/>
      <c r="H273" s="148"/>
      <c r="I273" s="149"/>
      <c r="J273" s="150"/>
      <c r="K273" s="117"/>
      <c r="L273" s="117"/>
      <c r="M273" s="117"/>
    </row>
    <row r="274">
      <c r="A274" s="116"/>
      <c r="B274" s="117"/>
      <c r="C274" s="117"/>
      <c r="D274" s="229"/>
      <c r="E274" s="117"/>
      <c r="F274" s="229"/>
      <c r="G274" s="116"/>
      <c r="H274" s="148"/>
      <c r="I274" s="149"/>
      <c r="J274" s="150"/>
      <c r="K274" s="117"/>
      <c r="L274" s="117"/>
      <c r="M274" s="117"/>
    </row>
    <row r="275">
      <c r="A275" s="116"/>
      <c r="B275" s="117"/>
      <c r="C275" s="117"/>
      <c r="D275" s="229"/>
      <c r="E275" s="117"/>
      <c r="F275" s="229"/>
      <c r="G275" s="116"/>
      <c r="H275" s="148"/>
      <c r="I275" s="149"/>
      <c r="J275" s="150"/>
      <c r="K275" s="117"/>
      <c r="L275" s="117"/>
      <c r="M275" s="117"/>
    </row>
    <row r="276">
      <c r="A276" s="116"/>
      <c r="B276" s="117"/>
      <c r="C276" s="117"/>
      <c r="D276" s="229"/>
      <c r="E276" s="117"/>
      <c r="F276" s="229"/>
      <c r="G276" s="116"/>
      <c r="H276" s="148"/>
      <c r="I276" s="149"/>
      <c r="J276" s="150"/>
      <c r="K276" s="117"/>
      <c r="L276" s="117"/>
      <c r="M276" s="117"/>
    </row>
    <row r="277">
      <c r="A277" s="116"/>
      <c r="B277" s="117"/>
      <c r="C277" s="117"/>
      <c r="D277" s="229"/>
      <c r="E277" s="117"/>
      <c r="F277" s="229"/>
      <c r="G277" s="116"/>
      <c r="H277" s="148"/>
      <c r="I277" s="149"/>
      <c r="J277" s="150"/>
      <c r="K277" s="117"/>
      <c r="L277" s="117"/>
      <c r="M277" s="117"/>
    </row>
    <row r="278">
      <c r="A278" s="116"/>
      <c r="B278" s="117"/>
      <c r="C278" s="117"/>
      <c r="D278" s="229"/>
      <c r="E278" s="117"/>
      <c r="F278" s="229"/>
      <c r="G278" s="116"/>
      <c r="H278" s="148"/>
      <c r="I278" s="149"/>
      <c r="J278" s="150"/>
      <c r="K278" s="117"/>
      <c r="L278" s="117"/>
      <c r="M278" s="117"/>
    </row>
    <row r="279">
      <c r="A279" s="116"/>
      <c r="B279" s="117"/>
      <c r="C279" s="117"/>
      <c r="D279" s="229"/>
      <c r="E279" s="117"/>
      <c r="F279" s="229"/>
      <c r="G279" s="116"/>
      <c r="H279" s="148"/>
      <c r="I279" s="149"/>
      <c r="J279" s="150"/>
      <c r="K279" s="117"/>
      <c r="L279" s="117"/>
      <c r="M279" s="117"/>
    </row>
    <row r="280">
      <c r="A280" s="116"/>
      <c r="B280" s="117"/>
      <c r="C280" s="117"/>
      <c r="D280" s="229"/>
      <c r="E280" s="117"/>
      <c r="F280" s="229"/>
      <c r="G280" s="116"/>
      <c r="H280" s="148"/>
      <c r="I280" s="149"/>
      <c r="J280" s="150"/>
      <c r="K280" s="117"/>
      <c r="L280" s="117"/>
      <c r="M280" s="117"/>
    </row>
    <row r="281">
      <c r="A281" s="116"/>
      <c r="B281" s="117"/>
      <c r="C281" s="117"/>
      <c r="D281" s="229"/>
      <c r="E281" s="117"/>
      <c r="F281" s="229"/>
      <c r="G281" s="116"/>
      <c r="H281" s="148"/>
      <c r="I281" s="149"/>
      <c r="J281" s="150"/>
      <c r="K281" s="117"/>
      <c r="L281" s="117"/>
      <c r="M281" s="117"/>
    </row>
    <row r="282">
      <c r="A282" s="116"/>
      <c r="B282" s="117"/>
      <c r="C282" s="117"/>
      <c r="D282" s="229"/>
      <c r="E282" s="117"/>
      <c r="F282" s="229"/>
      <c r="G282" s="116"/>
      <c r="H282" s="148"/>
      <c r="I282" s="149"/>
      <c r="J282" s="150"/>
      <c r="K282" s="117"/>
      <c r="L282" s="117"/>
      <c r="M282" s="117"/>
    </row>
    <row r="283">
      <c r="A283" s="116"/>
      <c r="B283" s="117"/>
      <c r="C283" s="117"/>
      <c r="D283" s="229"/>
      <c r="E283" s="117"/>
      <c r="F283" s="229"/>
      <c r="G283" s="116"/>
      <c r="H283" s="148"/>
      <c r="I283" s="149"/>
      <c r="J283" s="150"/>
      <c r="K283" s="117"/>
      <c r="L283" s="117"/>
      <c r="M283" s="117"/>
    </row>
    <row r="284">
      <c r="A284" s="116"/>
      <c r="B284" s="117"/>
      <c r="C284" s="117"/>
      <c r="D284" s="229"/>
      <c r="E284" s="117"/>
      <c r="F284" s="229"/>
      <c r="G284" s="116"/>
      <c r="H284" s="148"/>
      <c r="I284" s="149"/>
      <c r="J284" s="150"/>
      <c r="K284" s="117"/>
      <c r="L284" s="117"/>
      <c r="M284" s="117"/>
    </row>
    <row r="285">
      <c r="A285" s="116"/>
      <c r="B285" s="117"/>
      <c r="C285" s="117"/>
      <c r="D285" s="229"/>
      <c r="E285" s="117"/>
      <c r="F285" s="229"/>
      <c r="G285" s="116"/>
      <c r="H285" s="148"/>
      <c r="I285" s="149"/>
      <c r="J285" s="150"/>
      <c r="K285" s="117"/>
      <c r="L285" s="117"/>
      <c r="M285" s="117"/>
    </row>
    <row r="286">
      <c r="A286" s="116"/>
      <c r="B286" s="117"/>
      <c r="C286" s="117"/>
      <c r="D286" s="229"/>
      <c r="E286" s="117"/>
      <c r="F286" s="229"/>
      <c r="G286" s="116"/>
      <c r="H286" s="148"/>
      <c r="I286" s="149"/>
      <c r="J286" s="150"/>
      <c r="K286" s="117"/>
      <c r="L286" s="117"/>
      <c r="M286" s="117"/>
    </row>
    <row r="287">
      <c r="A287" s="116"/>
      <c r="B287" s="117"/>
      <c r="C287" s="117"/>
      <c r="D287" s="229"/>
      <c r="E287" s="117"/>
      <c r="F287" s="229"/>
      <c r="G287" s="116"/>
      <c r="H287" s="148"/>
      <c r="I287" s="149"/>
      <c r="J287" s="150"/>
      <c r="K287" s="117"/>
      <c r="L287" s="117"/>
      <c r="M287" s="117"/>
    </row>
    <row r="288">
      <c r="A288" s="116"/>
      <c r="B288" s="117"/>
      <c r="C288" s="117"/>
      <c r="D288" s="229"/>
      <c r="E288" s="117"/>
      <c r="F288" s="229"/>
      <c r="G288" s="116"/>
      <c r="H288" s="148"/>
      <c r="I288" s="149"/>
      <c r="J288" s="150"/>
      <c r="K288" s="117"/>
      <c r="L288" s="117"/>
      <c r="M288" s="117"/>
    </row>
    <row r="289">
      <c r="A289" s="116"/>
      <c r="B289" s="117"/>
      <c r="C289" s="117"/>
      <c r="D289" s="229"/>
      <c r="E289" s="117"/>
      <c r="F289" s="229"/>
      <c r="G289" s="116"/>
      <c r="H289" s="148"/>
      <c r="I289" s="149"/>
      <c r="J289" s="150"/>
      <c r="K289" s="117"/>
      <c r="L289" s="117"/>
      <c r="M289" s="117"/>
    </row>
    <row r="290">
      <c r="A290" s="116"/>
      <c r="B290" s="117"/>
      <c r="C290" s="117"/>
      <c r="D290" s="229"/>
      <c r="E290" s="117"/>
      <c r="F290" s="229"/>
      <c r="G290" s="116"/>
      <c r="H290" s="148"/>
      <c r="I290" s="149"/>
      <c r="J290" s="150"/>
      <c r="K290" s="117"/>
      <c r="L290" s="117"/>
      <c r="M290" s="117"/>
    </row>
    <row r="291">
      <c r="A291" s="116"/>
      <c r="B291" s="117"/>
      <c r="C291" s="117"/>
      <c r="D291" s="229"/>
      <c r="E291" s="117"/>
      <c r="F291" s="229"/>
      <c r="G291" s="116"/>
      <c r="H291" s="148"/>
      <c r="I291" s="149"/>
      <c r="J291" s="150"/>
      <c r="K291" s="117"/>
      <c r="L291" s="117"/>
      <c r="M291" s="117"/>
    </row>
    <row r="292">
      <c r="A292" s="116"/>
      <c r="B292" s="117"/>
      <c r="C292" s="117"/>
      <c r="D292" s="229"/>
      <c r="E292" s="117"/>
      <c r="F292" s="229"/>
      <c r="G292" s="116"/>
      <c r="H292" s="148"/>
      <c r="I292" s="149"/>
      <c r="J292" s="150"/>
      <c r="K292" s="117"/>
      <c r="L292" s="117"/>
      <c r="M292" s="117"/>
    </row>
    <row r="293">
      <c r="A293" s="116"/>
      <c r="B293" s="117"/>
      <c r="C293" s="117"/>
      <c r="D293" s="229"/>
      <c r="E293" s="117"/>
      <c r="F293" s="229"/>
      <c r="G293" s="116"/>
      <c r="H293" s="148"/>
      <c r="I293" s="149"/>
      <c r="J293" s="150"/>
      <c r="K293" s="117"/>
      <c r="L293" s="117"/>
      <c r="M293" s="117"/>
    </row>
    <row r="294">
      <c r="A294" s="116"/>
      <c r="B294" s="117"/>
      <c r="C294" s="117"/>
      <c r="D294" s="229"/>
      <c r="E294" s="117"/>
      <c r="F294" s="229"/>
      <c r="G294" s="116"/>
      <c r="H294" s="148"/>
      <c r="I294" s="149"/>
      <c r="J294" s="150"/>
      <c r="K294" s="117"/>
      <c r="L294" s="117"/>
      <c r="M294" s="117"/>
    </row>
    <row r="295">
      <c r="A295" s="116"/>
      <c r="B295" s="117"/>
      <c r="C295" s="117"/>
      <c r="D295" s="229"/>
      <c r="E295" s="117"/>
      <c r="F295" s="229"/>
      <c r="G295" s="116"/>
      <c r="H295" s="148"/>
      <c r="I295" s="149"/>
      <c r="J295" s="150"/>
      <c r="K295" s="117"/>
      <c r="L295" s="117"/>
      <c r="M295" s="117"/>
    </row>
    <row r="296">
      <c r="A296" s="116"/>
      <c r="B296" s="117"/>
      <c r="C296" s="117"/>
      <c r="D296" s="229"/>
      <c r="E296" s="117"/>
      <c r="F296" s="229"/>
      <c r="G296" s="116"/>
      <c r="H296" s="148"/>
      <c r="I296" s="149"/>
      <c r="J296" s="150"/>
      <c r="K296" s="117"/>
      <c r="L296" s="117"/>
      <c r="M296" s="117"/>
    </row>
    <row r="297">
      <c r="A297" s="116"/>
      <c r="B297" s="117"/>
      <c r="C297" s="117"/>
      <c r="D297" s="229"/>
      <c r="E297" s="117"/>
      <c r="F297" s="229"/>
      <c r="G297" s="116"/>
      <c r="H297" s="148"/>
      <c r="I297" s="149"/>
      <c r="J297" s="150"/>
      <c r="K297" s="117"/>
      <c r="L297" s="117"/>
      <c r="M297" s="117"/>
    </row>
    <row r="298">
      <c r="A298" s="116"/>
      <c r="B298" s="117"/>
      <c r="C298" s="117"/>
      <c r="D298" s="229"/>
      <c r="E298" s="117"/>
      <c r="F298" s="229"/>
      <c r="G298" s="116"/>
      <c r="H298" s="148"/>
      <c r="I298" s="149"/>
      <c r="J298" s="150"/>
      <c r="K298" s="117"/>
      <c r="L298" s="117"/>
      <c r="M298" s="117"/>
    </row>
    <row r="299">
      <c r="A299" s="116"/>
      <c r="B299" s="117"/>
      <c r="C299" s="117"/>
      <c r="D299" s="229"/>
      <c r="E299" s="117"/>
      <c r="F299" s="229"/>
      <c r="G299" s="116"/>
      <c r="H299" s="148"/>
      <c r="I299" s="149"/>
      <c r="J299" s="150"/>
      <c r="K299" s="117"/>
      <c r="L299" s="117"/>
      <c r="M299" s="117"/>
    </row>
    <row r="300">
      <c r="A300" s="116"/>
      <c r="B300" s="117"/>
      <c r="C300" s="117"/>
      <c r="D300" s="229"/>
      <c r="E300" s="117"/>
      <c r="F300" s="229"/>
      <c r="G300" s="116"/>
      <c r="H300" s="148"/>
      <c r="I300" s="149"/>
      <c r="J300" s="150"/>
      <c r="K300" s="117"/>
      <c r="L300" s="117"/>
      <c r="M300" s="117"/>
    </row>
    <row r="301">
      <c r="A301" s="116"/>
      <c r="B301" s="117"/>
      <c r="C301" s="117"/>
      <c r="D301" s="229"/>
      <c r="E301" s="117"/>
      <c r="F301" s="229"/>
      <c r="G301" s="116"/>
      <c r="H301" s="148"/>
      <c r="I301" s="149"/>
      <c r="J301" s="150"/>
      <c r="K301" s="117"/>
      <c r="L301" s="117"/>
      <c r="M301" s="117"/>
    </row>
    <row r="302">
      <c r="A302" s="116"/>
      <c r="B302" s="117"/>
      <c r="C302" s="117"/>
      <c r="D302" s="229"/>
      <c r="E302" s="117"/>
      <c r="F302" s="229"/>
      <c r="G302" s="116"/>
      <c r="H302" s="148"/>
      <c r="I302" s="149"/>
      <c r="J302" s="150"/>
      <c r="K302" s="117"/>
      <c r="L302" s="117"/>
      <c r="M302" s="117"/>
    </row>
    <row r="303">
      <c r="A303" s="116"/>
      <c r="B303" s="117"/>
      <c r="C303" s="117"/>
      <c r="D303" s="229"/>
      <c r="E303" s="117"/>
      <c r="F303" s="229"/>
      <c r="G303" s="116"/>
      <c r="H303" s="148"/>
      <c r="I303" s="149"/>
      <c r="J303" s="150"/>
      <c r="K303" s="117"/>
      <c r="L303" s="117"/>
      <c r="M303" s="117"/>
    </row>
    <row r="304">
      <c r="A304" s="116"/>
      <c r="B304" s="117"/>
      <c r="C304" s="117"/>
      <c r="D304" s="229"/>
      <c r="E304" s="117"/>
      <c r="F304" s="229"/>
      <c r="G304" s="116"/>
      <c r="H304" s="148"/>
      <c r="I304" s="149"/>
      <c r="J304" s="150"/>
      <c r="K304" s="117"/>
      <c r="L304" s="117"/>
      <c r="M304" s="117"/>
    </row>
    <row r="305">
      <c r="A305" s="116"/>
      <c r="B305" s="117"/>
      <c r="C305" s="117"/>
      <c r="D305" s="229"/>
      <c r="E305" s="117"/>
      <c r="F305" s="229"/>
      <c r="G305" s="116"/>
      <c r="H305" s="148"/>
      <c r="I305" s="149"/>
      <c r="J305" s="150"/>
      <c r="K305" s="117"/>
      <c r="L305" s="117"/>
      <c r="M305" s="117"/>
    </row>
    <row r="306">
      <c r="A306" s="116"/>
      <c r="B306" s="117"/>
      <c r="C306" s="117"/>
      <c r="D306" s="229"/>
      <c r="E306" s="117"/>
      <c r="F306" s="229"/>
      <c r="G306" s="116"/>
      <c r="H306" s="148"/>
      <c r="I306" s="149"/>
      <c r="J306" s="150"/>
      <c r="K306" s="117"/>
      <c r="L306" s="117"/>
      <c r="M306" s="117"/>
    </row>
    <row r="307">
      <c r="A307" s="116"/>
      <c r="B307" s="117"/>
      <c r="C307" s="117"/>
      <c r="D307" s="229"/>
      <c r="E307" s="117"/>
      <c r="F307" s="229"/>
      <c r="G307" s="116"/>
      <c r="H307" s="148"/>
      <c r="I307" s="149"/>
      <c r="J307" s="150"/>
      <c r="K307" s="117"/>
      <c r="L307" s="117"/>
      <c r="M307" s="117"/>
    </row>
    <row r="308">
      <c r="A308" s="116"/>
      <c r="B308" s="117"/>
      <c r="C308" s="117"/>
      <c r="D308" s="229"/>
      <c r="E308" s="117"/>
      <c r="F308" s="229"/>
      <c r="G308" s="116"/>
      <c r="H308" s="148"/>
      <c r="I308" s="149"/>
      <c r="J308" s="150"/>
      <c r="K308" s="117"/>
      <c r="L308" s="117"/>
      <c r="M308" s="117"/>
    </row>
    <row r="309">
      <c r="A309" s="116"/>
      <c r="B309" s="117"/>
      <c r="C309" s="117"/>
      <c r="D309" s="229"/>
      <c r="E309" s="117"/>
      <c r="F309" s="229"/>
      <c r="G309" s="116"/>
      <c r="H309" s="148"/>
      <c r="I309" s="149"/>
      <c r="J309" s="150"/>
      <c r="K309" s="117"/>
      <c r="L309" s="117"/>
      <c r="M309" s="117"/>
    </row>
    <row r="310">
      <c r="A310" s="116"/>
      <c r="B310" s="117"/>
      <c r="C310" s="117"/>
      <c r="D310" s="229"/>
      <c r="E310" s="117"/>
      <c r="F310" s="229"/>
      <c r="G310" s="116"/>
      <c r="H310" s="148"/>
      <c r="I310" s="149"/>
      <c r="J310" s="150"/>
      <c r="K310" s="117"/>
      <c r="L310" s="117"/>
      <c r="M310" s="117"/>
    </row>
    <row r="311">
      <c r="A311" s="116"/>
      <c r="B311" s="117"/>
      <c r="C311" s="117"/>
      <c r="D311" s="229"/>
      <c r="E311" s="117"/>
      <c r="F311" s="229"/>
      <c r="G311" s="116"/>
      <c r="H311" s="148"/>
      <c r="I311" s="149"/>
      <c r="J311" s="150"/>
      <c r="K311" s="117"/>
      <c r="L311" s="117"/>
      <c r="M311" s="117"/>
    </row>
    <row r="312">
      <c r="A312" s="116"/>
      <c r="B312" s="117"/>
      <c r="C312" s="117"/>
      <c r="D312" s="229"/>
      <c r="E312" s="117"/>
      <c r="F312" s="229"/>
      <c r="G312" s="116"/>
      <c r="H312" s="148"/>
      <c r="I312" s="149"/>
      <c r="J312" s="150"/>
      <c r="K312" s="117"/>
      <c r="L312" s="117"/>
      <c r="M312" s="117"/>
    </row>
    <row r="313">
      <c r="A313" s="116"/>
      <c r="B313" s="117"/>
      <c r="C313" s="117"/>
      <c r="D313" s="229"/>
      <c r="E313" s="117"/>
      <c r="F313" s="229"/>
      <c r="G313" s="116"/>
      <c r="H313" s="148"/>
      <c r="I313" s="149"/>
      <c r="J313" s="150"/>
      <c r="K313" s="117"/>
      <c r="L313" s="117"/>
      <c r="M313" s="117"/>
    </row>
    <row r="314">
      <c r="A314" s="116"/>
      <c r="B314" s="117"/>
      <c r="C314" s="117"/>
      <c r="D314" s="229"/>
      <c r="E314" s="117"/>
      <c r="F314" s="229"/>
      <c r="G314" s="116"/>
      <c r="H314" s="148"/>
      <c r="I314" s="149"/>
      <c r="J314" s="150"/>
      <c r="K314" s="117"/>
      <c r="L314" s="117"/>
      <c r="M314" s="117"/>
    </row>
    <row r="315">
      <c r="A315" s="116"/>
      <c r="B315" s="117"/>
      <c r="C315" s="117"/>
      <c r="D315" s="229"/>
      <c r="E315" s="117"/>
      <c r="F315" s="229"/>
      <c r="G315" s="116"/>
      <c r="H315" s="148"/>
      <c r="I315" s="149"/>
      <c r="J315" s="150"/>
      <c r="K315" s="117"/>
      <c r="L315" s="117"/>
      <c r="M315" s="117"/>
    </row>
    <row r="316">
      <c r="A316" s="116"/>
      <c r="B316" s="117"/>
      <c r="C316" s="117"/>
      <c r="D316" s="229"/>
      <c r="E316" s="117"/>
      <c r="F316" s="229"/>
      <c r="G316" s="116"/>
      <c r="H316" s="148"/>
      <c r="I316" s="149"/>
      <c r="J316" s="150"/>
      <c r="K316" s="117"/>
      <c r="L316" s="117"/>
      <c r="M316" s="117"/>
    </row>
    <row r="317">
      <c r="A317" s="116"/>
      <c r="B317" s="117"/>
      <c r="C317" s="117"/>
      <c r="D317" s="229"/>
      <c r="E317" s="117"/>
      <c r="F317" s="229"/>
      <c r="G317" s="116"/>
      <c r="H317" s="148"/>
      <c r="I317" s="149"/>
      <c r="J317" s="150"/>
      <c r="K317" s="117"/>
      <c r="L317" s="117"/>
      <c r="M317" s="117"/>
    </row>
    <row r="318">
      <c r="A318" s="116"/>
      <c r="B318" s="117"/>
      <c r="C318" s="117"/>
      <c r="D318" s="229"/>
      <c r="E318" s="117"/>
      <c r="F318" s="229"/>
      <c r="G318" s="116"/>
      <c r="H318" s="148"/>
      <c r="I318" s="149"/>
      <c r="J318" s="150"/>
      <c r="K318" s="117"/>
      <c r="L318" s="117"/>
      <c r="M318" s="117"/>
    </row>
    <row r="319">
      <c r="A319" s="116"/>
      <c r="B319" s="117"/>
      <c r="C319" s="117"/>
      <c r="D319" s="229"/>
      <c r="E319" s="117"/>
      <c r="F319" s="229"/>
      <c r="G319" s="116"/>
      <c r="H319" s="148"/>
      <c r="I319" s="149"/>
      <c r="J319" s="150"/>
      <c r="K319" s="117"/>
      <c r="L319" s="117"/>
      <c r="M319" s="117"/>
    </row>
    <row r="320">
      <c r="A320" s="116"/>
      <c r="B320" s="117"/>
      <c r="C320" s="117"/>
      <c r="D320" s="229"/>
      <c r="E320" s="117"/>
      <c r="F320" s="229"/>
      <c r="G320" s="116"/>
      <c r="H320" s="148"/>
      <c r="I320" s="149"/>
      <c r="J320" s="150"/>
      <c r="K320" s="117"/>
      <c r="L320" s="117"/>
      <c r="M320" s="117"/>
    </row>
    <row r="321">
      <c r="A321" s="116"/>
      <c r="B321" s="117"/>
      <c r="C321" s="117"/>
      <c r="D321" s="229"/>
      <c r="E321" s="117"/>
      <c r="F321" s="229"/>
      <c r="G321" s="116"/>
      <c r="H321" s="148"/>
      <c r="I321" s="149"/>
      <c r="J321" s="150"/>
      <c r="K321" s="117"/>
      <c r="L321" s="117"/>
      <c r="M321" s="117"/>
    </row>
    <row r="322">
      <c r="A322" s="116"/>
      <c r="B322" s="117"/>
      <c r="C322" s="117"/>
      <c r="D322" s="229"/>
      <c r="E322" s="117"/>
      <c r="F322" s="229"/>
      <c r="G322" s="116"/>
      <c r="H322" s="148"/>
      <c r="I322" s="149"/>
      <c r="J322" s="150"/>
      <c r="K322" s="117"/>
      <c r="L322" s="117"/>
      <c r="M322" s="117"/>
    </row>
    <row r="323">
      <c r="A323" s="116"/>
      <c r="B323" s="117"/>
      <c r="C323" s="117"/>
      <c r="D323" s="229"/>
      <c r="E323" s="117"/>
      <c r="F323" s="229"/>
      <c r="G323" s="116"/>
      <c r="H323" s="148"/>
      <c r="I323" s="149"/>
      <c r="J323" s="150"/>
      <c r="K323" s="117"/>
      <c r="L323" s="117"/>
      <c r="M323" s="117"/>
    </row>
    <row r="324">
      <c r="A324" s="116"/>
      <c r="B324" s="117"/>
      <c r="C324" s="117"/>
      <c r="D324" s="229"/>
      <c r="E324" s="117"/>
      <c r="F324" s="229"/>
      <c r="G324" s="116"/>
      <c r="H324" s="148"/>
      <c r="I324" s="149"/>
      <c r="J324" s="150"/>
      <c r="K324" s="117"/>
      <c r="L324" s="117"/>
      <c r="M324" s="117"/>
    </row>
    <row r="325">
      <c r="A325" s="116"/>
      <c r="B325" s="117"/>
      <c r="C325" s="117"/>
      <c r="D325" s="229"/>
      <c r="E325" s="117"/>
      <c r="F325" s="229"/>
      <c r="G325" s="116"/>
      <c r="H325" s="148"/>
      <c r="I325" s="149"/>
      <c r="J325" s="150"/>
      <c r="K325" s="117"/>
      <c r="L325" s="117"/>
      <c r="M325" s="117"/>
    </row>
    <row r="326">
      <c r="A326" s="116"/>
      <c r="B326" s="117"/>
      <c r="C326" s="117"/>
      <c r="D326" s="229"/>
      <c r="E326" s="117"/>
      <c r="F326" s="229"/>
      <c r="G326" s="116"/>
      <c r="H326" s="148"/>
      <c r="I326" s="149"/>
      <c r="J326" s="150"/>
      <c r="K326" s="117"/>
      <c r="L326" s="117"/>
      <c r="M326" s="117"/>
    </row>
    <row r="327">
      <c r="A327" s="116"/>
      <c r="B327" s="117"/>
      <c r="C327" s="117"/>
      <c r="D327" s="229"/>
      <c r="E327" s="117"/>
      <c r="F327" s="229"/>
      <c r="G327" s="116"/>
      <c r="H327" s="148"/>
      <c r="I327" s="149"/>
      <c r="J327" s="150"/>
      <c r="K327" s="117"/>
      <c r="L327" s="117"/>
      <c r="M327" s="117"/>
    </row>
    <row r="328">
      <c r="A328" s="116"/>
      <c r="B328" s="117"/>
      <c r="C328" s="117"/>
      <c r="D328" s="229"/>
      <c r="E328" s="117"/>
      <c r="F328" s="229"/>
      <c r="G328" s="116"/>
      <c r="H328" s="148"/>
      <c r="I328" s="149"/>
      <c r="J328" s="150"/>
      <c r="K328" s="117"/>
      <c r="L328" s="117"/>
      <c r="M328" s="117"/>
    </row>
    <row r="329">
      <c r="A329" s="116"/>
      <c r="B329" s="117"/>
      <c r="C329" s="117"/>
      <c r="D329" s="229"/>
      <c r="E329" s="117"/>
      <c r="F329" s="229"/>
      <c r="G329" s="116"/>
      <c r="H329" s="148"/>
      <c r="I329" s="149"/>
      <c r="J329" s="150"/>
      <c r="K329" s="117"/>
      <c r="L329" s="117"/>
      <c r="M329" s="117"/>
    </row>
    <row r="330">
      <c r="A330" s="116"/>
      <c r="B330" s="117"/>
      <c r="C330" s="117"/>
      <c r="D330" s="229"/>
      <c r="E330" s="117"/>
      <c r="F330" s="229"/>
      <c r="G330" s="116"/>
      <c r="H330" s="148"/>
      <c r="I330" s="149"/>
      <c r="J330" s="150"/>
      <c r="K330" s="117"/>
      <c r="L330" s="117"/>
      <c r="M330" s="117"/>
    </row>
    <row r="331">
      <c r="A331" s="116"/>
      <c r="B331" s="117"/>
      <c r="C331" s="117"/>
      <c r="D331" s="229"/>
      <c r="E331" s="117"/>
      <c r="F331" s="229"/>
      <c r="G331" s="116"/>
      <c r="H331" s="148"/>
      <c r="I331" s="149"/>
      <c r="J331" s="150"/>
      <c r="K331" s="117"/>
      <c r="L331" s="117"/>
      <c r="M331" s="117"/>
    </row>
    <row r="332">
      <c r="A332" s="116"/>
      <c r="B332" s="117"/>
      <c r="C332" s="117"/>
      <c r="D332" s="229"/>
      <c r="E332" s="117"/>
      <c r="F332" s="229"/>
      <c r="G332" s="116"/>
      <c r="H332" s="148"/>
      <c r="I332" s="149"/>
      <c r="J332" s="150"/>
      <c r="K332" s="117"/>
      <c r="L332" s="117"/>
      <c r="M332" s="117"/>
    </row>
    <row r="333">
      <c r="A333" s="116"/>
      <c r="B333" s="117"/>
      <c r="C333" s="117"/>
      <c r="D333" s="229"/>
      <c r="E333" s="117"/>
      <c r="F333" s="229"/>
      <c r="G333" s="116"/>
      <c r="H333" s="148"/>
      <c r="I333" s="149"/>
      <c r="J333" s="150"/>
      <c r="K333" s="117"/>
      <c r="L333" s="117"/>
      <c r="M333" s="117"/>
    </row>
    <row r="334">
      <c r="A334" s="116"/>
      <c r="B334" s="117"/>
      <c r="C334" s="117"/>
      <c r="D334" s="229"/>
      <c r="E334" s="117"/>
      <c r="F334" s="229"/>
      <c r="G334" s="116"/>
      <c r="H334" s="148"/>
      <c r="I334" s="149"/>
      <c r="J334" s="150"/>
      <c r="K334" s="117"/>
      <c r="L334" s="117"/>
      <c r="M334" s="117"/>
    </row>
    <row r="335">
      <c r="A335" s="116"/>
      <c r="B335" s="117"/>
      <c r="C335" s="117"/>
      <c r="D335" s="229"/>
      <c r="E335" s="117"/>
      <c r="F335" s="229"/>
      <c r="G335" s="116"/>
      <c r="H335" s="148"/>
      <c r="I335" s="149"/>
      <c r="J335" s="150"/>
      <c r="K335" s="117"/>
      <c r="L335" s="117"/>
      <c r="M335" s="117"/>
    </row>
    <row r="336">
      <c r="A336" s="116"/>
      <c r="B336" s="117"/>
      <c r="C336" s="117"/>
      <c r="D336" s="229"/>
      <c r="E336" s="117"/>
      <c r="F336" s="229"/>
      <c r="G336" s="116"/>
      <c r="H336" s="148"/>
      <c r="I336" s="149"/>
      <c r="J336" s="150"/>
      <c r="K336" s="117"/>
      <c r="L336" s="117"/>
      <c r="M336" s="117"/>
    </row>
    <row r="337">
      <c r="A337" s="116"/>
      <c r="B337" s="117"/>
      <c r="C337" s="117"/>
      <c r="D337" s="229"/>
      <c r="E337" s="117"/>
      <c r="F337" s="229"/>
      <c r="G337" s="116"/>
      <c r="H337" s="148"/>
      <c r="I337" s="149"/>
      <c r="J337" s="150"/>
      <c r="K337" s="117"/>
      <c r="L337" s="117"/>
      <c r="M337" s="117"/>
    </row>
    <row r="338">
      <c r="A338" s="116"/>
      <c r="B338" s="117"/>
      <c r="C338" s="117"/>
      <c r="D338" s="229"/>
      <c r="E338" s="117"/>
      <c r="F338" s="229"/>
      <c r="G338" s="116"/>
      <c r="H338" s="148"/>
      <c r="I338" s="149"/>
      <c r="J338" s="150"/>
      <c r="K338" s="117"/>
      <c r="L338" s="117"/>
      <c r="M338" s="117"/>
    </row>
    <row r="339">
      <c r="A339" s="116"/>
      <c r="B339" s="117"/>
      <c r="C339" s="117"/>
      <c r="D339" s="229"/>
      <c r="E339" s="117"/>
      <c r="F339" s="229"/>
      <c r="G339" s="116"/>
      <c r="H339" s="148"/>
      <c r="I339" s="149"/>
      <c r="J339" s="150"/>
      <c r="K339" s="117"/>
      <c r="L339" s="117"/>
      <c r="M339" s="117"/>
    </row>
    <row r="340">
      <c r="A340" s="116"/>
      <c r="B340" s="117"/>
      <c r="C340" s="117"/>
      <c r="D340" s="229"/>
      <c r="E340" s="117"/>
      <c r="F340" s="229"/>
      <c r="G340" s="116"/>
      <c r="H340" s="148"/>
      <c r="I340" s="149"/>
      <c r="J340" s="150"/>
      <c r="K340" s="117"/>
      <c r="L340" s="117"/>
      <c r="M340" s="117"/>
    </row>
    <row r="341">
      <c r="A341" s="116"/>
      <c r="B341" s="117"/>
      <c r="C341" s="117"/>
      <c r="D341" s="229"/>
      <c r="E341" s="117"/>
      <c r="F341" s="229"/>
      <c r="G341" s="116"/>
      <c r="H341" s="148"/>
      <c r="I341" s="149"/>
      <c r="J341" s="150"/>
      <c r="K341" s="117"/>
      <c r="L341" s="117"/>
      <c r="M341" s="117"/>
    </row>
    <row r="342">
      <c r="A342" s="116"/>
      <c r="B342" s="117"/>
      <c r="C342" s="117"/>
      <c r="D342" s="229"/>
      <c r="E342" s="117"/>
      <c r="F342" s="229"/>
      <c r="G342" s="116"/>
      <c r="H342" s="148"/>
      <c r="I342" s="149"/>
      <c r="J342" s="150"/>
      <c r="K342" s="117"/>
      <c r="L342" s="117"/>
      <c r="M342" s="117"/>
    </row>
    <row r="343">
      <c r="A343" s="116"/>
      <c r="B343" s="117"/>
      <c r="C343" s="117"/>
      <c r="D343" s="229"/>
      <c r="E343" s="117"/>
      <c r="F343" s="229"/>
      <c r="G343" s="116"/>
      <c r="H343" s="148"/>
      <c r="I343" s="149"/>
      <c r="J343" s="150"/>
      <c r="K343" s="117"/>
      <c r="L343" s="117"/>
      <c r="M343" s="117"/>
    </row>
    <row r="344">
      <c r="A344" s="116"/>
      <c r="B344" s="117"/>
      <c r="C344" s="117"/>
      <c r="D344" s="229"/>
      <c r="E344" s="117"/>
      <c r="F344" s="229"/>
      <c r="G344" s="116"/>
      <c r="H344" s="148"/>
      <c r="I344" s="149"/>
      <c r="J344" s="150"/>
      <c r="K344" s="117"/>
      <c r="L344" s="117"/>
      <c r="M344" s="117"/>
    </row>
    <row r="345">
      <c r="A345" s="116"/>
      <c r="B345" s="117"/>
      <c r="C345" s="117"/>
      <c r="D345" s="229"/>
      <c r="E345" s="117"/>
      <c r="F345" s="229"/>
      <c r="G345" s="116"/>
      <c r="H345" s="148"/>
      <c r="I345" s="149"/>
      <c r="J345" s="150"/>
      <c r="K345" s="117"/>
      <c r="L345" s="117"/>
      <c r="M345" s="117"/>
    </row>
    <row r="346">
      <c r="A346" s="116"/>
      <c r="B346" s="117"/>
      <c r="C346" s="117"/>
      <c r="D346" s="229"/>
      <c r="E346" s="117"/>
      <c r="F346" s="229"/>
      <c r="G346" s="116"/>
      <c r="H346" s="148"/>
      <c r="I346" s="149"/>
      <c r="J346" s="150"/>
      <c r="K346" s="117"/>
      <c r="L346" s="117"/>
      <c r="M346" s="117"/>
    </row>
    <row r="347">
      <c r="A347" s="116"/>
      <c r="B347" s="117"/>
      <c r="C347" s="117"/>
      <c r="D347" s="229"/>
      <c r="E347" s="117"/>
      <c r="F347" s="229"/>
      <c r="G347" s="116"/>
      <c r="H347" s="148"/>
      <c r="I347" s="149"/>
      <c r="J347" s="150"/>
      <c r="K347" s="117"/>
      <c r="L347" s="117"/>
      <c r="M347" s="117"/>
    </row>
    <row r="348">
      <c r="A348" s="116"/>
      <c r="B348" s="117"/>
      <c r="C348" s="117"/>
      <c r="D348" s="229"/>
      <c r="E348" s="117"/>
      <c r="F348" s="229"/>
      <c r="G348" s="116"/>
      <c r="H348" s="148"/>
      <c r="I348" s="149"/>
      <c r="J348" s="150"/>
      <c r="K348" s="117"/>
      <c r="L348" s="117"/>
      <c r="M348" s="117"/>
    </row>
    <row r="349">
      <c r="A349" s="116"/>
      <c r="B349" s="117"/>
      <c r="C349" s="117"/>
      <c r="D349" s="229"/>
      <c r="E349" s="117"/>
      <c r="F349" s="229"/>
      <c r="G349" s="116"/>
      <c r="H349" s="148"/>
      <c r="I349" s="149"/>
      <c r="J349" s="150"/>
      <c r="K349" s="117"/>
      <c r="L349" s="117"/>
      <c r="M349" s="117"/>
    </row>
    <row r="350">
      <c r="A350" s="116"/>
      <c r="B350" s="117"/>
      <c r="C350" s="117"/>
      <c r="D350" s="229"/>
      <c r="E350" s="117"/>
      <c r="F350" s="229"/>
      <c r="G350" s="116"/>
      <c r="H350" s="148"/>
      <c r="I350" s="149"/>
      <c r="J350" s="150"/>
      <c r="K350" s="117"/>
      <c r="L350" s="117"/>
      <c r="M350" s="117"/>
    </row>
    <row r="351">
      <c r="A351" s="116"/>
      <c r="B351" s="117"/>
      <c r="C351" s="117"/>
      <c r="D351" s="229"/>
      <c r="E351" s="117"/>
      <c r="F351" s="229"/>
      <c r="G351" s="116"/>
      <c r="H351" s="148"/>
      <c r="I351" s="149"/>
      <c r="J351" s="150"/>
      <c r="K351" s="117"/>
      <c r="L351" s="117"/>
      <c r="M351" s="117"/>
    </row>
    <row r="352">
      <c r="A352" s="116"/>
      <c r="B352" s="117"/>
      <c r="C352" s="117"/>
      <c r="D352" s="229"/>
      <c r="E352" s="117"/>
      <c r="F352" s="229"/>
      <c r="G352" s="116"/>
      <c r="H352" s="148"/>
      <c r="I352" s="149"/>
      <c r="J352" s="150"/>
      <c r="K352" s="117"/>
      <c r="L352" s="117"/>
      <c r="M352" s="117"/>
    </row>
    <row r="353">
      <c r="A353" s="116"/>
      <c r="B353" s="117"/>
      <c r="C353" s="117"/>
      <c r="D353" s="229"/>
      <c r="E353" s="117"/>
      <c r="F353" s="229"/>
      <c r="G353" s="116"/>
      <c r="H353" s="148"/>
      <c r="I353" s="149"/>
      <c r="J353" s="150"/>
      <c r="K353" s="117"/>
      <c r="L353" s="117"/>
      <c r="M353" s="117"/>
    </row>
    <row r="354">
      <c r="A354" s="116"/>
      <c r="B354" s="117"/>
      <c r="C354" s="117"/>
      <c r="D354" s="229"/>
      <c r="E354" s="117"/>
      <c r="F354" s="229"/>
      <c r="G354" s="116"/>
      <c r="H354" s="148"/>
      <c r="I354" s="149"/>
      <c r="J354" s="150"/>
      <c r="K354" s="117"/>
      <c r="L354" s="117"/>
      <c r="M354" s="117"/>
    </row>
    <row r="355">
      <c r="A355" s="116"/>
      <c r="B355" s="117"/>
      <c r="C355" s="117"/>
      <c r="D355" s="229"/>
      <c r="E355" s="117"/>
      <c r="F355" s="229"/>
      <c r="G355" s="116"/>
      <c r="H355" s="148"/>
      <c r="I355" s="149"/>
      <c r="J355" s="150"/>
      <c r="K355" s="117"/>
      <c r="L355" s="117"/>
      <c r="M355" s="117"/>
    </row>
    <row r="356">
      <c r="A356" s="116"/>
      <c r="B356" s="117"/>
      <c r="C356" s="117"/>
      <c r="D356" s="229"/>
      <c r="E356" s="117"/>
      <c r="F356" s="229"/>
      <c r="G356" s="116"/>
      <c r="H356" s="148"/>
      <c r="I356" s="149"/>
      <c r="J356" s="150"/>
      <c r="K356" s="117"/>
      <c r="L356" s="117"/>
      <c r="M356" s="117"/>
    </row>
    <row r="357">
      <c r="A357" s="116"/>
      <c r="B357" s="117"/>
      <c r="C357" s="117"/>
      <c r="D357" s="229"/>
      <c r="E357" s="117"/>
      <c r="F357" s="229"/>
      <c r="G357" s="116"/>
      <c r="H357" s="148"/>
      <c r="I357" s="149"/>
      <c r="J357" s="150"/>
      <c r="K357" s="117"/>
      <c r="L357" s="117"/>
      <c r="M357" s="117"/>
    </row>
    <row r="358">
      <c r="A358" s="116"/>
      <c r="B358" s="117"/>
      <c r="C358" s="117"/>
      <c r="D358" s="229"/>
      <c r="E358" s="117"/>
      <c r="F358" s="229"/>
      <c r="G358" s="116"/>
      <c r="H358" s="148"/>
      <c r="I358" s="149"/>
      <c r="J358" s="150"/>
      <c r="K358" s="117"/>
      <c r="L358" s="117"/>
      <c r="M358" s="117"/>
    </row>
    <row r="359">
      <c r="A359" s="116"/>
      <c r="B359" s="117"/>
      <c r="C359" s="117"/>
      <c r="D359" s="229"/>
      <c r="E359" s="117"/>
      <c r="F359" s="229"/>
      <c r="G359" s="116"/>
      <c r="H359" s="148"/>
      <c r="I359" s="149"/>
      <c r="J359" s="150"/>
      <c r="K359" s="117"/>
      <c r="L359" s="117"/>
      <c r="M359" s="117"/>
    </row>
    <row r="360">
      <c r="A360" s="116"/>
      <c r="B360" s="117"/>
      <c r="C360" s="117"/>
      <c r="D360" s="229"/>
      <c r="E360" s="117"/>
      <c r="F360" s="229"/>
      <c r="G360" s="116"/>
      <c r="H360" s="148"/>
      <c r="I360" s="149"/>
      <c r="J360" s="150"/>
      <c r="K360" s="117"/>
      <c r="L360" s="117"/>
      <c r="M360" s="117"/>
    </row>
    <row r="361">
      <c r="A361" s="116"/>
      <c r="B361" s="117"/>
      <c r="C361" s="117"/>
      <c r="D361" s="229"/>
      <c r="E361" s="117"/>
      <c r="F361" s="229"/>
      <c r="G361" s="116"/>
      <c r="H361" s="148"/>
      <c r="I361" s="149"/>
      <c r="J361" s="150"/>
      <c r="K361" s="117"/>
      <c r="L361" s="117"/>
      <c r="M361" s="117"/>
    </row>
    <row r="362">
      <c r="A362" s="116"/>
      <c r="B362" s="117"/>
      <c r="C362" s="117"/>
      <c r="D362" s="229"/>
      <c r="E362" s="117"/>
      <c r="F362" s="229"/>
      <c r="G362" s="116"/>
      <c r="H362" s="148"/>
      <c r="I362" s="149"/>
      <c r="J362" s="150"/>
      <c r="K362" s="117"/>
      <c r="L362" s="117"/>
      <c r="M362" s="117"/>
    </row>
    <row r="363">
      <c r="A363" s="116"/>
      <c r="B363" s="117"/>
      <c r="C363" s="117"/>
      <c r="D363" s="229"/>
      <c r="E363" s="117"/>
      <c r="F363" s="229"/>
      <c r="G363" s="116"/>
      <c r="H363" s="148"/>
      <c r="I363" s="149"/>
      <c r="J363" s="150"/>
      <c r="K363" s="117"/>
      <c r="L363" s="117"/>
      <c r="M363" s="117"/>
    </row>
    <row r="364">
      <c r="A364" s="116"/>
      <c r="B364" s="117"/>
      <c r="C364" s="117"/>
      <c r="D364" s="229"/>
      <c r="E364" s="117"/>
      <c r="F364" s="229"/>
      <c r="G364" s="116"/>
      <c r="H364" s="148"/>
      <c r="I364" s="149"/>
      <c r="J364" s="150"/>
      <c r="K364" s="117"/>
      <c r="L364" s="117"/>
      <c r="M364" s="117"/>
    </row>
    <row r="365">
      <c r="A365" s="116"/>
      <c r="B365" s="117"/>
      <c r="C365" s="117"/>
      <c r="D365" s="229"/>
      <c r="E365" s="117"/>
      <c r="F365" s="229"/>
      <c r="G365" s="116"/>
      <c r="H365" s="148"/>
      <c r="I365" s="149"/>
      <c r="J365" s="150"/>
      <c r="K365" s="117"/>
      <c r="L365" s="117"/>
      <c r="M365" s="117"/>
    </row>
    <row r="366">
      <c r="A366" s="116"/>
      <c r="B366" s="117"/>
      <c r="C366" s="117"/>
      <c r="D366" s="229"/>
      <c r="E366" s="117"/>
      <c r="F366" s="229"/>
      <c r="G366" s="116"/>
      <c r="H366" s="148"/>
      <c r="I366" s="149"/>
      <c r="J366" s="150"/>
      <c r="K366" s="117"/>
      <c r="L366" s="117"/>
      <c r="M366" s="117"/>
    </row>
    <row r="367">
      <c r="A367" s="116"/>
      <c r="B367" s="117"/>
      <c r="C367" s="117"/>
      <c r="D367" s="229"/>
      <c r="E367" s="117"/>
      <c r="F367" s="229"/>
      <c r="G367" s="116"/>
      <c r="H367" s="148"/>
      <c r="I367" s="149"/>
      <c r="J367" s="150"/>
      <c r="K367" s="117"/>
      <c r="L367" s="117"/>
      <c r="M367" s="117"/>
    </row>
    <row r="368">
      <c r="A368" s="116"/>
      <c r="B368" s="117"/>
      <c r="C368" s="117"/>
      <c r="D368" s="229"/>
      <c r="E368" s="117"/>
      <c r="F368" s="229"/>
      <c r="G368" s="116"/>
      <c r="H368" s="148"/>
      <c r="I368" s="149"/>
      <c r="J368" s="150"/>
      <c r="K368" s="117"/>
      <c r="L368" s="117"/>
      <c r="M368" s="117"/>
    </row>
    <row r="369">
      <c r="A369" s="116"/>
      <c r="B369" s="117"/>
      <c r="C369" s="117"/>
      <c r="D369" s="229"/>
      <c r="E369" s="117"/>
      <c r="F369" s="229"/>
      <c r="G369" s="116"/>
      <c r="H369" s="148"/>
      <c r="I369" s="149"/>
      <c r="J369" s="150"/>
      <c r="K369" s="117"/>
      <c r="L369" s="117"/>
      <c r="M369" s="117"/>
    </row>
    <row r="370">
      <c r="A370" s="116"/>
      <c r="B370" s="117"/>
      <c r="C370" s="117"/>
      <c r="D370" s="229"/>
      <c r="E370" s="117"/>
      <c r="F370" s="229"/>
      <c r="G370" s="116"/>
      <c r="H370" s="148"/>
      <c r="I370" s="149"/>
      <c r="J370" s="150"/>
      <c r="K370" s="117"/>
      <c r="L370" s="117"/>
      <c r="M370" s="117"/>
    </row>
    <row r="371">
      <c r="A371" s="116"/>
      <c r="B371" s="117"/>
      <c r="C371" s="117"/>
      <c r="D371" s="229"/>
      <c r="E371" s="117"/>
      <c r="F371" s="229"/>
      <c r="G371" s="116"/>
      <c r="H371" s="148"/>
      <c r="I371" s="149"/>
      <c r="J371" s="150"/>
      <c r="K371" s="117"/>
      <c r="L371" s="117"/>
      <c r="M371" s="117"/>
    </row>
    <row r="372">
      <c r="A372" s="116"/>
      <c r="B372" s="117"/>
      <c r="C372" s="117"/>
      <c r="D372" s="229"/>
      <c r="E372" s="117"/>
      <c r="F372" s="229"/>
      <c r="G372" s="116"/>
      <c r="H372" s="148"/>
      <c r="I372" s="149"/>
      <c r="J372" s="150"/>
      <c r="K372" s="117"/>
      <c r="L372" s="117"/>
      <c r="M372" s="117"/>
    </row>
    <row r="373">
      <c r="A373" s="116"/>
      <c r="B373" s="117"/>
      <c r="C373" s="117"/>
      <c r="D373" s="229"/>
      <c r="E373" s="117"/>
      <c r="F373" s="229"/>
      <c r="G373" s="116"/>
      <c r="H373" s="148"/>
      <c r="I373" s="149"/>
      <c r="J373" s="150"/>
      <c r="K373" s="117"/>
      <c r="L373" s="117"/>
      <c r="M373" s="117"/>
    </row>
    <row r="374">
      <c r="A374" s="116"/>
      <c r="B374" s="117"/>
      <c r="C374" s="117"/>
      <c r="D374" s="229"/>
      <c r="E374" s="117"/>
      <c r="F374" s="229"/>
      <c r="G374" s="116"/>
      <c r="H374" s="148"/>
      <c r="I374" s="149"/>
      <c r="J374" s="150"/>
      <c r="K374" s="117"/>
      <c r="L374" s="117"/>
      <c r="M374" s="117"/>
    </row>
    <row r="375">
      <c r="A375" s="116"/>
      <c r="B375" s="117"/>
      <c r="C375" s="117"/>
      <c r="D375" s="229"/>
      <c r="E375" s="117"/>
      <c r="F375" s="229"/>
      <c r="G375" s="116"/>
      <c r="H375" s="148"/>
      <c r="I375" s="149"/>
      <c r="J375" s="150"/>
      <c r="K375" s="117"/>
      <c r="L375" s="117"/>
      <c r="M375" s="117"/>
    </row>
    <row r="376">
      <c r="A376" s="116"/>
      <c r="B376" s="117"/>
      <c r="C376" s="117"/>
      <c r="D376" s="229"/>
      <c r="E376" s="117"/>
      <c r="F376" s="229"/>
      <c r="G376" s="116"/>
      <c r="H376" s="148"/>
      <c r="I376" s="149"/>
      <c r="J376" s="150"/>
      <c r="K376" s="117"/>
      <c r="L376" s="117"/>
      <c r="M376" s="117"/>
    </row>
    <row r="377">
      <c r="A377" s="116"/>
      <c r="B377" s="117"/>
      <c r="C377" s="117"/>
      <c r="D377" s="229"/>
      <c r="E377" s="117"/>
      <c r="F377" s="229"/>
      <c r="G377" s="116"/>
      <c r="H377" s="148"/>
      <c r="I377" s="149"/>
      <c r="J377" s="150"/>
      <c r="K377" s="117"/>
      <c r="L377" s="117"/>
      <c r="M377" s="117"/>
    </row>
    <row r="378">
      <c r="A378" s="116"/>
      <c r="B378" s="117"/>
      <c r="C378" s="117"/>
      <c r="D378" s="229"/>
      <c r="E378" s="117"/>
      <c r="F378" s="229"/>
      <c r="G378" s="116"/>
      <c r="H378" s="148"/>
      <c r="I378" s="149"/>
      <c r="J378" s="150"/>
      <c r="K378" s="117"/>
      <c r="L378" s="117"/>
      <c r="M378" s="117"/>
    </row>
    <row r="379">
      <c r="A379" s="116"/>
      <c r="B379" s="117"/>
      <c r="C379" s="117"/>
      <c r="D379" s="229"/>
      <c r="E379" s="117"/>
      <c r="F379" s="229"/>
      <c r="G379" s="116"/>
      <c r="H379" s="148"/>
      <c r="I379" s="149"/>
      <c r="J379" s="150"/>
      <c r="K379" s="117"/>
      <c r="L379" s="117"/>
      <c r="M379" s="117"/>
    </row>
    <row r="380">
      <c r="A380" s="116"/>
      <c r="B380" s="117"/>
      <c r="C380" s="117"/>
      <c r="D380" s="229"/>
      <c r="E380" s="117"/>
      <c r="F380" s="229"/>
      <c r="G380" s="116"/>
      <c r="H380" s="148"/>
      <c r="I380" s="149"/>
      <c r="J380" s="150"/>
      <c r="K380" s="117"/>
      <c r="L380" s="117"/>
      <c r="M380" s="117"/>
    </row>
    <row r="381">
      <c r="A381" s="116"/>
      <c r="B381" s="117"/>
      <c r="C381" s="117"/>
      <c r="D381" s="229"/>
      <c r="E381" s="117"/>
      <c r="F381" s="229"/>
      <c r="G381" s="116"/>
      <c r="H381" s="148"/>
      <c r="I381" s="149"/>
      <c r="J381" s="150"/>
      <c r="K381" s="117"/>
      <c r="L381" s="117"/>
      <c r="M381" s="117"/>
    </row>
    <row r="382">
      <c r="A382" s="116"/>
      <c r="B382" s="117"/>
      <c r="C382" s="117"/>
      <c r="D382" s="229"/>
      <c r="E382" s="117"/>
      <c r="F382" s="229"/>
      <c r="G382" s="116"/>
      <c r="H382" s="148"/>
      <c r="I382" s="149"/>
      <c r="J382" s="150"/>
      <c r="K382" s="117"/>
      <c r="L382" s="117"/>
      <c r="M382" s="117"/>
    </row>
    <row r="383">
      <c r="A383" s="116"/>
      <c r="B383" s="117"/>
      <c r="C383" s="117"/>
      <c r="D383" s="229"/>
      <c r="E383" s="117"/>
      <c r="F383" s="229"/>
      <c r="G383" s="116"/>
      <c r="H383" s="148"/>
      <c r="I383" s="149"/>
      <c r="J383" s="150"/>
      <c r="K383" s="117"/>
      <c r="L383" s="117"/>
      <c r="M383" s="117"/>
    </row>
    <row r="384">
      <c r="A384" s="116"/>
      <c r="B384" s="117"/>
      <c r="C384" s="117"/>
      <c r="D384" s="229"/>
      <c r="E384" s="117"/>
      <c r="F384" s="229"/>
      <c r="G384" s="116"/>
      <c r="H384" s="148"/>
      <c r="I384" s="149"/>
      <c r="J384" s="150"/>
      <c r="K384" s="117"/>
      <c r="L384" s="117"/>
      <c r="M384" s="117"/>
    </row>
    <row r="385">
      <c r="A385" s="116"/>
      <c r="B385" s="117"/>
      <c r="C385" s="117"/>
      <c r="D385" s="229"/>
      <c r="E385" s="117"/>
      <c r="F385" s="229"/>
      <c r="G385" s="116"/>
      <c r="H385" s="148"/>
      <c r="I385" s="149"/>
      <c r="J385" s="150"/>
      <c r="K385" s="117"/>
      <c r="L385" s="117"/>
      <c r="M385" s="117"/>
    </row>
    <row r="386">
      <c r="A386" s="116"/>
      <c r="B386" s="117"/>
      <c r="C386" s="117"/>
      <c r="D386" s="229"/>
      <c r="E386" s="117"/>
      <c r="F386" s="229"/>
      <c r="G386" s="116"/>
      <c r="H386" s="148"/>
      <c r="I386" s="149"/>
      <c r="J386" s="150"/>
      <c r="K386" s="117"/>
      <c r="L386" s="117"/>
      <c r="M386" s="117"/>
    </row>
    <row r="387">
      <c r="A387" s="116"/>
      <c r="B387" s="117"/>
      <c r="C387" s="117"/>
      <c r="D387" s="229"/>
      <c r="E387" s="117"/>
      <c r="F387" s="229"/>
      <c r="G387" s="116"/>
      <c r="H387" s="148"/>
      <c r="I387" s="149"/>
      <c r="J387" s="150"/>
      <c r="K387" s="117"/>
      <c r="L387" s="117"/>
      <c r="M387" s="117"/>
    </row>
    <row r="388">
      <c r="A388" s="116"/>
      <c r="B388" s="117"/>
      <c r="C388" s="117"/>
      <c r="D388" s="229"/>
      <c r="E388" s="117"/>
      <c r="F388" s="229"/>
      <c r="G388" s="116"/>
      <c r="H388" s="148"/>
      <c r="I388" s="149"/>
      <c r="J388" s="150"/>
      <c r="K388" s="117"/>
      <c r="L388" s="117"/>
      <c r="M388" s="117"/>
    </row>
    <row r="389">
      <c r="A389" s="116"/>
      <c r="B389" s="117"/>
      <c r="C389" s="117"/>
      <c r="D389" s="229"/>
      <c r="E389" s="117"/>
      <c r="F389" s="229"/>
      <c r="G389" s="116"/>
      <c r="H389" s="148"/>
      <c r="I389" s="149"/>
      <c r="J389" s="150"/>
      <c r="K389" s="117"/>
      <c r="L389" s="117"/>
      <c r="M389" s="117"/>
    </row>
    <row r="390">
      <c r="A390" s="116"/>
      <c r="B390" s="117"/>
      <c r="C390" s="117"/>
      <c r="D390" s="229"/>
      <c r="E390" s="117"/>
      <c r="F390" s="229"/>
      <c r="G390" s="116"/>
      <c r="H390" s="148"/>
      <c r="I390" s="149"/>
      <c r="J390" s="150"/>
      <c r="K390" s="117"/>
      <c r="L390" s="117"/>
      <c r="M390" s="117"/>
    </row>
    <row r="391">
      <c r="A391" s="116"/>
      <c r="B391" s="117"/>
      <c r="C391" s="117"/>
      <c r="D391" s="229"/>
      <c r="E391" s="117"/>
      <c r="F391" s="229"/>
      <c r="G391" s="116"/>
      <c r="H391" s="148"/>
      <c r="I391" s="149"/>
      <c r="J391" s="150"/>
      <c r="K391" s="117"/>
      <c r="L391" s="117"/>
      <c r="M391" s="117"/>
    </row>
    <row r="392">
      <c r="A392" s="116"/>
      <c r="B392" s="117"/>
      <c r="C392" s="117"/>
      <c r="D392" s="229"/>
      <c r="E392" s="117"/>
      <c r="F392" s="229"/>
      <c r="G392" s="116"/>
      <c r="H392" s="148"/>
      <c r="I392" s="149"/>
      <c r="J392" s="150"/>
      <c r="K392" s="117"/>
      <c r="L392" s="117"/>
      <c r="M392" s="117"/>
    </row>
    <row r="393">
      <c r="A393" s="116"/>
      <c r="B393" s="117"/>
      <c r="C393" s="117"/>
      <c r="D393" s="229"/>
      <c r="E393" s="117"/>
      <c r="F393" s="229"/>
      <c r="G393" s="116"/>
      <c r="H393" s="148"/>
      <c r="I393" s="149"/>
      <c r="J393" s="150"/>
      <c r="K393" s="117"/>
      <c r="L393" s="117"/>
      <c r="M393" s="117"/>
    </row>
    <row r="394">
      <c r="A394" s="116"/>
      <c r="B394" s="117"/>
      <c r="C394" s="117"/>
      <c r="D394" s="229"/>
      <c r="E394" s="117"/>
      <c r="F394" s="229"/>
      <c r="G394" s="116"/>
      <c r="H394" s="148"/>
      <c r="I394" s="149"/>
      <c r="J394" s="150"/>
      <c r="K394" s="117"/>
      <c r="L394" s="117"/>
      <c r="M394" s="117"/>
    </row>
    <row r="395">
      <c r="A395" s="116"/>
      <c r="B395" s="117"/>
      <c r="C395" s="117"/>
      <c r="D395" s="229"/>
      <c r="E395" s="117"/>
      <c r="F395" s="229"/>
      <c r="G395" s="116"/>
      <c r="H395" s="148"/>
      <c r="I395" s="149"/>
      <c r="J395" s="150"/>
      <c r="K395" s="117"/>
      <c r="L395" s="117"/>
      <c r="M395" s="117"/>
    </row>
    <row r="396">
      <c r="A396" s="116"/>
      <c r="B396" s="117"/>
      <c r="C396" s="117"/>
      <c r="D396" s="229"/>
      <c r="E396" s="117"/>
      <c r="F396" s="229"/>
      <c r="G396" s="116"/>
      <c r="H396" s="148"/>
      <c r="I396" s="149"/>
      <c r="J396" s="150"/>
      <c r="K396" s="117"/>
      <c r="L396" s="117"/>
      <c r="M396" s="117"/>
    </row>
    <row r="397">
      <c r="A397" s="116"/>
      <c r="B397" s="117"/>
      <c r="C397" s="117"/>
      <c r="D397" s="229"/>
      <c r="E397" s="117"/>
      <c r="F397" s="229"/>
      <c r="G397" s="116"/>
      <c r="H397" s="148"/>
      <c r="I397" s="149"/>
      <c r="J397" s="150"/>
      <c r="K397" s="117"/>
      <c r="L397" s="117"/>
      <c r="M397" s="117"/>
    </row>
    <row r="398">
      <c r="A398" s="116"/>
      <c r="B398" s="117"/>
      <c r="C398" s="117"/>
      <c r="D398" s="229"/>
      <c r="E398" s="117"/>
      <c r="F398" s="229"/>
      <c r="G398" s="116"/>
      <c r="H398" s="148"/>
      <c r="I398" s="149"/>
      <c r="J398" s="150"/>
      <c r="K398" s="117"/>
      <c r="L398" s="117"/>
      <c r="M398" s="117"/>
    </row>
    <row r="399">
      <c r="A399" s="116"/>
      <c r="B399" s="117"/>
      <c r="C399" s="117"/>
      <c r="D399" s="229"/>
      <c r="E399" s="117"/>
      <c r="F399" s="229"/>
      <c r="G399" s="116"/>
      <c r="H399" s="148"/>
      <c r="I399" s="149"/>
      <c r="J399" s="150"/>
      <c r="K399" s="117"/>
      <c r="L399" s="117"/>
      <c r="M399" s="117"/>
    </row>
    <row r="400">
      <c r="A400" s="116"/>
      <c r="B400" s="117"/>
      <c r="C400" s="117"/>
      <c r="D400" s="229"/>
      <c r="E400" s="117"/>
      <c r="F400" s="229"/>
      <c r="G400" s="116"/>
      <c r="H400" s="148"/>
      <c r="I400" s="149"/>
      <c r="J400" s="150"/>
      <c r="K400" s="117"/>
      <c r="L400" s="117"/>
      <c r="M400" s="117"/>
    </row>
    <row r="401">
      <c r="A401" s="116"/>
      <c r="B401" s="117"/>
      <c r="C401" s="117"/>
      <c r="D401" s="229"/>
      <c r="E401" s="117"/>
      <c r="F401" s="229"/>
      <c r="G401" s="116"/>
      <c r="H401" s="148"/>
      <c r="I401" s="149"/>
      <c r="J401" s="150"/>
      <c r="K401" s="117"/>
      <c r="L401" s="117"/>
      <c r="M401" s="117"/>
    </row>
    <row r="402">
      <c r="A402" s="116"/>
      <c r="B402" s="117"/>
      <c r="C402" s="117"/>
      <c r="D402" s="229"/>
      <c r="E402" s="117"/>
      <c r="F402" s="229"/>
      <c r="G402" s="116"/>
      <c r="H402" s="148"/>
      <c r="I402" s="149"/>
      <c r="J402" s="150"/>
      <c r="K402" s="117"/>
      <c r="L402" s="117"/>
      <c r="M402" s="117"/>
    </row>
    <row r="403">
      <c r="A403" s="116"/>
      <c r="B403" s="117"/>
      <c r="C403" s="117"/>
      <c r="D403" s="229"/>
      <c r="E403" s="117"/>
      <c r="F403" s="229"/>
      <c r="G403" s="116"/>
      <c r="H403" s="148"/>
      <c r="I403" s="149"/>
      <c r="J403" s="150"/>
      <c r="K403" s="117"/>
      <c r="L403" s="117"/>
      <c r="M403" s="117"/>
    </row>
    <row r="404">
      <c r="A404" s="116"/>
      <c r="B404" s="117"/>
      <c r="C404" s="117"/>
      <c r="D404" s="229"/>
      <c r="E404" s="117"/>
      <c r="F404" s="229"/>
      <c r="G404" s="116"/>
      <c r="H404" s="148"/>
      <c r="I404" s="149"/>
      <c r="J404" s="150"/>
      <c r="K404" s="117"/>
      <c r="L404" s="117"/>
      <c r="M404" s="117"/>
    </row>
    <row r="405">
      <c r="A405" s="116"/>
      <c r="B405" s="117"/>
      <c r="C405" s="117"/>
      <c r="D405" s="229"/>
      <c r="E405" s="117"/>
      <c r="F405" s="229"/>
      <c r="G405" s="116"/>
      <c r="H405" s="148"/>
      <c r="I405" s="149"/>
      <c r="J405" s="150"/>
      <c r="K405" s="117"/>
      <c r="L405" s="117"/>
      <c r="M405" s="117"/>
    </row>
    <row r="406">
      <c r="A406" s="116"/>
      <c r="B406" s="117"/>
      <c r="C406" s="117"/>
      <c r="D406" s="229"/>
      <c r="E406" s="117"/>
      <c r="F406" s="229"/>
      <c r="G406" s="116"/>
      <c r="H406" s="148"/>
      <c r="I406" s="149"/>
      <c r="J406" s="150"/>
      <c r="K406" s="117"/>
      <c r="L406" s="117"/>
      <c r="M406" s="117"/>
    </row>
    <row r="407">
      <c r="A407" s="116"/>
      <c r="B407" s="117"/>
      <c r="C407" s="117"/>
      <c r="D407" s="229"/>
      <c r="E407" s="117"/>
      <c r="F407" s="229"/>
      <c r="G407" s="116"/>
      <c r="H407" s="148"/>
      <c r="I407" s="149"/>
      <c r="J407" s="150"/>
      <c r="K407" s="117"/>
      <c r="L407" s="117"/>
      <c r="M407" s="117"/>
    </row>
    <row r="408">
      <c r="A408" s="116"/>
      <c r="B408" s="117"/>
      <c r="C408" s="117"/>
      <c r="D408" s="229"/>
      <c r="E408" s="117"/>
      <c r="F408" s="229"/>
      <c r="G408" s="116"/>
      <c r="H408" s="148"/>
      <c r="I408" s="149"/>
      <c r="J408" s="150"/>
      <c r="K408" s="117"/>
      <c r="L408" s="117"/>
      <c r="M408" s="117"/>
    </row>
    <row r="409">
      <c r="A409" s="116"/>
      <c r="B409" s="117"/>
      <c r="C409" s="117"/>
      <c r="D409" s="229"/>
      <c r="E409" s="117"/>
      <c r="F409" s="229"/>
      <c r="G409" s="116"/>
      <c r="H409" s="148"/>
      <c r="I409" s="149"/>
      <c r="J409" s="150"/>
      <c r="K409" s="117"/>
      <c r="L409" s="117"/>
      <c r="M409" s="117"/>
    </row>
    <row r="410">
      <c r="A410" s="116"/>
      <c r="B410" s="117"/>
      <c r="C410" s="117"/>
      <c r="D410" s="229"/>
      <c r="E410" s="117"/>
      <c r="F410" s="229"/>
      <c r="G410" s="116"/>
      <c r="H410" s="148"/>
      <c r="I410" s="149"/>
      <c r="J410" s="150"/>
      <c r="K410" s="117"/>
      <c r="L410" s="117"/>
      <c r="M410" s="117"/>
    </row>
    <row r="411">
      <c r="A411" s="116"/>
      <c r="B411" s="117"/>
      <c r="C411" s="117"/>
      <c r="D411" s="229"/>
      <c r="E411" s="117"/>
      <c r="F411" s="229"/>
      <c r="G411" s="116"/>
      <c r="H411" s="148"/>
      <c r="I411" s="149"/>
      <c r="J411" s="150"/>
      <c r="K411" s="117"/>
      <c r="L411" s="117"/>
      <c r="M411" s="117"/>
    </row>
    <row r="412">
      <c r="A412" s="116"/>
      <c r="B412" s="117"/>
      <c r="C412" s="117"/>
      <c r="D412" s="229"/>
      <c r="E412" s="117"/>
      <c r="F412" s="229"/>
      <c r="G412" s="116"/>
      <c r="H412" s="148"/>
      <c r="I412" s="149"/>
      <c r="J412" s="150"/>
      <c r="K412" s="117"/>
      <c r="L412" s="117"/>
      <c r="M412" s="117"/>
    </row>
    <row r="413">
      <c r="A413" s="116"/>
      <c r="B413" s="117"/>
      <c r="C413" s="117"/>
      <c r="D413" s="229"/>
      <c r="E413" s="117"/>
      <c r="F413" s="229"/>
      <c r="G413" s="116"/>
      <c r="H413" s="148"/>
      <c r="I413" s="149"/>
      <c r="J413" s="150"/>
      <c r="K413" s="117"/>
      <c r="L413" s="117"/>
      <c r="M413" s="117"/>
    </row>
    <row r="414">
      <c r="A414" s="116"/>
      <c r="B414" s="117"/>
      <c r="C414" s="117"/>
      <c r="D414" s="229"/>
      <c r="E414" s="117"/>
      <c r="F414" s="229"/>
      <c r="G414" s="116"/>
      <c r="H414" s="148"/>
      <c r="I414" s="149"/>
      <c r="J414" s="150"/>
      <c r="K414" s="117"/>
      <c r="L414" s="117"/>
      <c r="M414" s="117"/>
    </row>
    <row r="415">
      <c r="A415" s="116"/>
      <c r="B415" s="117"/>
      <c r="C415" s="117"/>
      <c r="D415" s="229"/>
      <c r="E415" s="117"/>
      <c r="F415" s="229"/>
      <c r="G415" s="116"/>
      <c r="H415" s="148"/>
      <c r="I415" s="149"/>
      <c r="J415" s="150"/>
      <c r="K415" s="117"/>
      <c r="L415" s="117"/>
      <c r="M415" s="117"/>
    </row>
    <row r="416">
      <c r="A416" s="116"/>
      <c r="B416" s="117"/>
      <c r="C416" s="117"/>
      <c r="D416" s="229"/>
      <c r="E416" s="117"/>
      <c r="F416" s="229"/>
      <c r="G416" s="116"/>
      <c r="H416" s="148"/>
      <c r="I416" s="149"/>
      <c r="J416" s="150"/>
      <c r="K416" s="117"/>
      <c r="L416" s="117"/>
      <c r="M416" s="117"/>
    </row>
    <row r="417">
      <c r="A417" s="116"/>
      <c r="B417" s="117"/>
      <c r="C417" s="117"/>
      <c r="D417" s="229"/>
      <c r="E417" s="117"/>
      <c r="F417" s="229"/>
      <c r="G417" s="116"/>
      <c r="H417" s="148"/>
      <c r="I417" s="149"/>
      <c r="J417" s="150"/>
      <c r="K417" s="117"/>
      <c r="L417" s="117"/>
      <c r="M417" s="117"/>
    </row>
    <row r="418">
      <c r="A418" s="116"/>
      <c r="B418" s="117"/>
      <c r="C418" s="117"/>
      <c r="D418" s="229"/>
      <c r="E418" s="117"/>
      <c r="F418" s="229"/>
      <c r="G418" s="116"/>
      <c r="H418" s="148"/>
      <c r="I418" s="149"/>
      <c r="J418" s="150"/>
      <c r="K418" s="117"/>
      <c r="L418" s="117"/>
      <c r="M418" s="117"/>
    </row>
    <row r="419">
      <c r="A419" s="116"/>
      <c r="B419" s="117"/>
      <c r="C419" s="117"/>
      <c r="D419" s="229"/>
      <c r="E419" s="117"/>
      <c r="F419" s="229"/>
      <c r="G419" s="116"/>
      <c r="H419" s="148"/>
      <c r="I419" s="149"/>
      <c r="J419" s="150"/>
      <c r="K419" s="117"/>
      <c r="L419" s="117"/>
      <c r="M419" s="117"/>
    </row>
    <row r="420">
      <c r="A420" s="116"/>
      <c r="B420" s="117"/>
      <c r="C420" s="117"/>
      <c r="D420" s="229"/>
      <c r="E420" s="117"/>
      <c r="F420" s="229"/>
      <c r="G420" s="116"/>
      <c r="H420" s="148"/>
      <c r="I420" s="149"/>
      <c r="J420" s="150"/>
      <c r="K420" s="117"/>
      <c r="L420" s="117"/>
      <c r="M420" s="117"/>
    </row>
    <row r="421">
      <c r="A421" s="116"/>
      <c r="B421" s="117"/>
      <c r="C421" s="117"/>
      <c r="D421" s="229"/>
      <c r="E421" s="117"/>
      <c r="F421" s="229"/>
      <c r="G421" s="116"/>
      <c r="H421" s="148"/>
      <c r="I421" s="149"/>
      <c r="J421" s="150"/>
      <c r="K421" s="117"/>
      <c r="L421" s="117"/>
      <c r="M421" s="117"/>
    </row>
    <row r="422">
      <c r="A422" s="116"/>
      <c r="B422" s="117"/>
      <c r="C422" s="117"/>
      <c r="D422" s="229"/>
      <c r="E422" s="117"/>
      <c r="F422" s="229"/>
      <c r="G422" s="116"/>
      <c r="H422" s="148"/>
      <c r="I422" s="149"/>
      <c r="J422" s="150"/>
      <c r="K422" s="117"/>
      <c r="L422" s="117"/>
      <c r="M422" s="117"/>
    </row>
    <row r="423">
      <c r="A423" s="116"/>
      <c r="B423" s="117"/>
      <c r="C423" s="117"/>
      <c r="D423" s="229"/>
      <c r="E423" s="117"/>
      <c r="F423" s="229"/>
      <c r="G423" s="116"/>
      <c r="H423" s="148"/>
      <c r="I423" s="149"/>
      <c r="J423" s="150"/>
      <c r="K423" s="117"/>
      <c r="L423" s="117"/>
      <c r="M423" s="117"/>
    </row>
    <row r="424">
      <c r="A424" s="116"/>
      <c r="B424" s="117"/>
      <c r="C424" s="117"/>
      <c r="D424" s="229"/>
      <c r="E424" s="117"/>
      <c r="F424" s="229"/>
      <c r="G424" s="116"/>
      <c r="H424" s="148"/>
      <c r="I424" s="149"/>
      <c r="J424" s="150"/>
      <c r="K424" s="117"/>
      <c r="L424" s="117"/>
      <c r="M424" s="117"/>
    </row>
    <row r="425">
      <c r="A425" s="116"/>
      <c r="B425" s="117"/>
      <c r="C425" s="117"/>
      <c r="D425" s="229"/>
      <c r="E425" s="117"/>
      <c r="F425" s="229"/>
      <c r="G425" s="116"/>
      <c r="H425" s="148"/>
      <c r="I425" s="149"/>
      <c r="J425" s="150"/>
      <c r="K425" s="117"/>
      <c r="L425" s="117"/>
      <c r="M425" s="117"/>
    </row>
    <row r="426">
      <c r="A426" s="116"/>
      <c r="B426" s="117"/>
      <c r="C426" s="117"/>
      <c r="D426" s="229"/>
      <c r="E426" s="117"/>
      <c r="F426" s="229"/>
      <c r="G426" s="116"/>
      <c r="H426" s="148"/>
      <c r="I426" s="149"/>
      <c r="J426" s="150"/>
      <c r="K426" s="117"/>
      <c r="L426" s="117"/>
      <c r="M426" s="117"/>
    </row>
    <row r="427">
      <c r="A427" s="116"/>
      <c r="B427" s="117"/>
      <c r="C427" s="117"/>
      <c r="D427" s="229"/>
      <c r="E427" s="117"/>
      <c r="F427" s="229"/>
      <c r="G427" s="116"/>
      <c r="H427" s="148"/>
      <c r="I427" s="149"/>
      <c r="J427" s="150"/>
      <c r="K427" s="117"/>
      <c r="L427" s="117"/>
      <c r="M427" s="117"/>
    </row>
    <row r="428">
      <c r="A428" s="116"/>
      <c r="B428" s="117"/>
      <c r="C428" s="117"/>
      <c r="D428" s="229"/>
      <c r="E428" s="117"/>
      <c r="F428" s="229"/>
      <c r="G428" s="116"/>
      <c r="H428" s="148"/>
      <c r="I428" s="149"/>
      <c r="J428" s="150"/>
      <c r="K428" s="117"/>
      <c r="L428" s="117"/>
      <c r="M428" s="117"/>
    </row>
    <row r="429">
      <c r="A429" s="116"/>
      <c r="B429" s="117"/>
      <c r="C429" s="117"/>
      <c r="D429" s="229"/>
      <c r="E429" s="117"/>
      <c r="F429" s="229"/>
      <c r="G429" s="116"/>
      <c r="H429" s="148"/>
      <c r="I429" s="149"/>
      <c r="J429" s="150"/>
      <c r="K429" s="117"/>
      <c r="L429" s="117"/>
      <c r="M429" s="117"/>
    </row>
    <row r="430">
      <c r="A430" s="116"/>
      <c r="B430" s="117"/>
      <c r="C430" s="117"/>
      <c r="D430" s="229"/>
      <c r="E430" s="117"/>
      <c r="F430" s="229"/>
      <c r="G430" s="116"/>
      <c r="H430" s="148"/>
      <c r="I430" s="149"/>
      <c r="J430" s="150"/>
      <c r="K430" s="117"/>
      <c r="L430" s="117"/>
      <c r="M430" s="117"/>
    </row>
    <row r="431">
      <c r="A431" s="116"/>
      <c r="B431" s="117"/>
      <c r="C431" s="117"/>
      <c r="D431" s="229"/>
      <c r="E431" s="117"/>
      <c r="F431" s="229"/>
      <c r="G431" s="116"/>
      <c r="H431" s="148"/>
      <c r="I431" s="149"/>
      <c r="J431" s="150"/>
      <c r="K431" s="117"/>
      <c r="L431" s="117"/>
      <c r="M431" s="117"/>
    </row>
    <row r="432">
      <c r="A432" s="116"/>
      <c r="B432" s="117"/>
      <c r="C432" s="117"/>
      <c r="D432" s="229"/>
      <c r="E432" s="117"/>
      <c r="F432" s="229"/>
      <c r="G432" s="116"/>
      <c r="H432" s="148"/>
      <c r="I432" s="149"/>
      <c r="J432" s="150"/>
      <c r="K432" s="117"/>
      <c r="L432" s="117"/>
      <c r="M432" s="117"/>
    </row>
    <row r="433">
      <c r="A433" s="116"/>
      <c r="B433" s="117"/>
      <c r="C433" s="117"/>
      <c r="D433" s="229"/>
      <c r="E433" s="117"/>
      <c r="F433" s="229"/>
      <c r="G433" s="116"/>
      <c r="H433" s="148"/>
      <c r="I433" s="149"/>
      <c r="J433" s="150"/>
      <c r="K433" s="117"/>
      <c r="L433" s="117"/>
      <c r="M433" s="117"/>
    </row>
    <row r="434">
      <c r="A434" s="116"/>
      <c r="B434" s="117"/>
      <c r="C434" s="117"/>
      <c r="D434" s="229"/>
      <c r="E434" s="117"/>
      <c r="F434" s="229"/>
      <c r="G434" s="116"/>
      <c r="H434" s="148"/>
      <c r="I434" s="149"/>
      <c r="J434" s="150"/>
      <c r="K434" s="117"/>
      <c r="L434" s="117"/>
      <c r="M434" s="117"/>
    </row>
    <row r="435">
      <c r="A435" s="116"/>
      <c r="B435" s="117"/>
      <c r="C435" s="117"/>
      <c r="D435" s="229"/>
      <c r="E435" s="117"/>
      <c r="F435" s="229"/>
      <c r="G435" s="116"/>
      <c r="H435" s="148"/>
      <c r="I435" s="149"/>
      <c r="J435" s="150"/>
      <c r="K435" s="117"/>
      <c r="L435" s="117"/>
      <c r="M435" s="117"/>
    </row>
    <row r="436">
      <c r="A436" s="116"/>
      <c r="B436" s="117"/>
      <c r="C436" s="117"/>
      <c r="D436" s="229"/>
      <c r="E436" s="117"/>
      <c r="F436" s="229"/>
      <c r="G436" s="116"/>
      <c r="H436" s="148"/>
      <c r="I436" s="149"/>
      <c r="J436" s="150"/>
      <c r="K436" s="117"/>
      <c r="L436" s="117"/>
      <c r="M436" s="117"/>
    </row>
    <row r="437">
      <c r="A437" s="116"/>
      <c r="B437" s="117"/>
      <c r="C437" s="117"/>
      <c r="D437" s="229"/>
      <c r="E437" s="117"/>
      <c r="F437" s="229"/>
      <c r="G437" s="116"/>
      <c r="H437" s="148"/>
      <c r="I437" s="149"/>
      <c r="J437" s="150"/>
      <c r="K437" s="117"/>
      <c r="L437" s="117"/>
      <c r="M437" s="117"/>
    </row>
    <row r="438">
      <c r="A438" s="116"/>
      <c r="B438" s="117"/>
      <c r="C438" s="117"/>
      <c r="D438" s="229"/>
      <c r="E438" s="117"/>
      <c r="F438" s="229"/>
      <c r="G438" s="116"/>
      <c r="H438" s="148"/>
      <c r="I438" s="149"/>
      <c r="J438" s="150"/>
      <c r="K438" s="117"/>
      <c r="L438" s="117"/>
      <c r="M438" s="117"/>
    </row>
    <row r="439">
      <c r="A439" s="116"/>
      <c r="B439" s="117"/>
      <c r="C439" s="117"/>
      <c r="D439" s="229"/>
      <c r="E439" s="117"/>
      <c r="F439" s="229"/>
      <c r="G439" s="116"/>
      <c r="H439" s="148"/>
      <c r="I439" s="149"/>
      <c r="J439" s="150"/>
      <c r="K439" s="117"/>
      <c r="L439" s="117"/>
      <c r="M439" s="117"/>
    </row>
    <row r="440">
      <c r="A440" s="116"/>
      <c r="B440" s="117"/>
      <c r="C440" s="117"/>
      <c r="D440" s="229"/>
      <c r="E440" s="117"/>
      <c r="F440" s="229"/>
      <c r="G440" s="116"/>
      <c r="H440" s="148"/>
      <c r="I440" s="149"/>
      <c r="J440" s="150"/>
      <c r="K440" s="117"/>
      <c r="L440" s="117"/>
      <c r="M440" s="117"/>
    </row>
    <row r="441">
      <c r="A441" s="116"/>
      <c r="B441" s="117"/>
      <c r="C441" s="117"/>
      <c r="D441" s="229"/>
      <c r="E441" s="117"/>
      <c r="F441" s="229"/>
      <c r="G441" s="116"/>
      <c r="H441" s="148"/>
      <c r="I441" s="149"/>
      <c r="J441" s="150"/>
      <c r="K441" s="117"/>
      <c r="L441" s="117"/>
      <c r="M441" s="117"/>
    </row>
    <row r="442">
      <c r="A442" s="116"/>
      <c r="B442" s="117"/>
      <c r="C442" s="117"/>
      <c r="D442" s="229"/>
      <c r="E442" s="117"/>
      <c r="F442" s="229"/>
      <c r="G442" s="116"/>
      <c r="H442" s="148"/>
      <c r="I442" s="149"/>
      <c r="J442" s="150"/>
      <c r="K442" s="117"/>
      <c r="L442" s="117"/>
      <c r="M442" s="117"/>
    </row>
    <row r="443">
      <c r="A443" s="116"/>
      <c r="B443" s="117"/>
      <c r="C443" s="117"/>
      <c r="D443" s="229"/>
      <c r="E443" s="117"/>
      <c r="F443" s="229"/>
      <c r="G443" s="116"/>
      <c r="H443" s="148"/>
      <c r="I443" s="149"/>
      <c r="J443" s="150"/>
      <c r="K443" s="117"/>
      <c r="L443" s="117"/>
      <c r="M443" s="117"/>
    </row>
    <row r="444">
      <c r="A444" s="116"/>
      <c r="B444" s="117"/>
      <c r="C444" s="117"/>
      <c r="D444" s="229"/>
      <c r="E444" s="117"/>
      <c r="F444" s="229"/>
      <c r="G444" s="116"/>
      <c r="H444" s="148"/>
      <c r="I444" s="149"/>
      <c r="J444" s="150"/>
      <c r="K444" s="117"/>
      <c r="L444" s="117"/>
      <c r="M444" s="117"/>
    </row>
    <row r="445">
      <c r="A445" s="116"/>
      <c r="B445" s="117"/>
      <c r="C445" s="117"/>
      <c r="D445" s="229"/>
      <c r="E445" s="117"/>
      <c r="F445" s="229"/>
      <c r="G445" s="116"/>
      <c r="H445" s="148"/>
      <c r="I445" s="149"/>
      <c r="J445" s="150"/>
      <c r="K445" s="117"/>
      <c r="L445" s="117"/>
      <c r="M445" s="117"/>
    </row>
    <row r="446">
      <c r="A446" s="116"/>
      <c r="B446" s="117"/>
      <c r="C446" s="117"/>
      <c r="D446" s="229"/>
      <c r="E446" s="117"/>
      <c r="F446" s="229"/>
      <c r="G446" s="116"/>
      <c r="H446" s="148"/>
      <c r="I446" s="149"/>
      <c r="J446" s="150"/>
      <c r="K446" s="117"/>
      <c r="L446" s="117"/>
      <c r="M446" s="117"/>
    </row>
    <row r="447">
      <c r="A447" s="116"/>
      <c r="B447" s="117"/>
      <c r="C447" s="117"/>
      <c r="D447" s="229"/>
      <c r="E447" s="117"/>
      <c r="F447" s="229"/>
      <c r="G447" s="116"/>
      <c r="H447" s="148"/>
      <c r="I447" s="149"/>
      <c r="J447" s="150"/>
      <c r="K447" s="117"/>
      <c r="L447" s="117"/>
      <c r="M447" s="117"/>
    </row>
    <row r="448">
      <c r="A448" s="116"/>
      <c r="B448" s="117"/>
      <c r="C448" s="117"/>
      <c r="D448" s="229"/>
      <c r="E448" s="117"/>
      <c r="F448" s="229"/>
      <c r="G448" s="116"/>
      <c r="H448" s="148"/>
      <c r="I448" s="149"/>
      <c r="J448" s="150"/>
      <c r="K448" s="117"/>
      <c r="L448" s="117"/>
      <c r="M448" s="117"/>
    </row>
    <row r="449">
      <c r="A449" s="116"/>
      <c r="B449" s="117"/>
      <c r="C449" s="117"/>
      <c r="D449" s="229"/>
      <c r="E449" s="117"/>
      <c r="F449" s="229"/>
      <c r="G449" s="116"/>
      <c r="H449" s="148"/>
      <c r="I449" s="149"/>
      <c r="J449" s="150"/>
      <c r="K449" s="117"/>
      <c r="L449" s="117"/>
      <c r="M449" s="117"/>
    </row>
    <row r="450">
      <c r="A450" s="116"/>
      <c r="B450" s="117"/>
      <c r="C450" s="117"/>
      <c r="D450" s="229"/>
      <c r="E450" s="117"/>
      <c r="F450" s="229"/>
      <c r="G450" s="116"/>
      <c r="H450" s="148"/>
      <c r="I450" s="149"/>
      <c r="J450" s="150"/>
      <c r="K450" s="117"/>
      <c r="L450" s="117"/>
      <c r="M450" s="117"/>
    </row>
    <row r="451">
      <c r="A451" s="116"/>
      <c r="B451" s="117"/>
      <c r="C451" s="117"/>
      <c r="D451" s="229"/>
      <c r="E451" s="117"/>
      <c r="F451" s="229"/>
      <c r="G451" s="116"/>
      <c r="H451" s="148"/>
      <c r="I451" s="149"/>
      <c r="J451" s="150"/>
      <c r="K451" s="117"/>
      <c r="L451" s="117"/>
      <c r="M451" s="117"/>
    </row>
    <row r="452">
      <c r="A452" s="116"/>
      <c r="B452" s="117"/>
      <c r="C452" s="117"/>
      <c r="D452" s="229"/>
      <c r="E452" s="117"/>
      <c r="F452" s="229"/>
      <c r="G452" s="116"/>
      <c r="H452" s="148"/>
      <c r="I452" s="149"/>
      <c r="J452" s="150"/>
      <c r="K452" s="117"/>
      <c r="L452" s="117"/>
      <c r="M452" s="117"/>
    </row>
    <row r="453">
      <c r="A453" s="116"/>
      <c r="B453" s="117"/>
      <c r="C453" s="117"/>
      <c r="D453" s="229"/>
      <c r="E453" s="117"/>
      <c r="F453" s="229"/>
      <c r="G453" s="116"/>
      <c r="H453" s="148"/>
      <c r="I453" s="149"/>
      <c r="J453" s="150"/>
      <c r="K453" s="117"/>
      <c r="L453" s="117"/>
      <c r="M453" s="117"/>
    </row>
    <row r="454">
      <c r="A454" s="116"/>
      <c r="B454" s="117"/>
      <c r="C454" s="117"/>
      <c r="D454" s="229"/>
      <c r="E454" s="117"/>
      <c r="F454" s="229"/>
      <c r="G454" s="116"/>
      <c r="H454" s="148"/>
      <c r="I454" s="149"/>
      <c r="J454" s="150"/>
      <c r="K454" s="117"/>
      <c r="L454" s="117"/>
      <c r="M454" s="117"/>
    </row>
    <row r="455">
      <c r="A455" s="116"/>
      <c r="B455" s="117"/>
      <c r="C455" s="117"/>
      <c r="D455" s="229"/>
      <c r="E455" s="117"/>
      <c r="F455" s="229"/>
      <c r="G455" s="116"/>
      <c r="H455" s="148"/>
      <c r="I455" s="149"/>
      <c r="J455" s="150"/>
      <c r="K455" s="117"/>
      <c r="L455" s="117"/>
      <c r="M455" s="117"/>
    </row>
    <row r="456">
      <c r="A456" s="116"/>
      <c r="B456" s="117"/>
      <c r="C456" s="117"/>
      <c r="D456" s="229"/>
      <c r="E456" s="117"/>
      <c r="F456" s="229"/>
      <c r="G456" s="116"/>
      <c r="H456" s="148"/>
      <c r="I456" s="149"/>
      <c r="J456" s="150"/>
      <c r="K456" s="117"/>
      <c r="L456" s="117"/>
      <c r="M456" s="117"/>
    </row>
    <row r="457">
      <c r="A457" s="116"/>
      <c r="B457" s="117"/>
      <c r="C457" s="117"/>
      <c r="D457" s="229"/>
      <c r="E457" s="117"/>
      <c r="F457" s="229"/>
      <c r="G457" s="116"/>
      <c r="H457" s="148"/>
      <c r="I457" s="149"/>
      <c r="J457" s="150"/>
      <c r="K457" s="117"/>
      <c r="L457" s="117"/>
      <c r="M457" s="117"/>
    </row>
    <row r="458">
      <c r="A458" s="116"/>
      <c r="B458" s="117"/>
      <c r="C458" s="117"/>
      <c r="D458" s="229"/>
      <c r="E458" s="117"/>
      <c r="F458" s="229"/>
      <c r="G458" s="116"/>
      <c r="H458" s="148"/>
      <c r="I458" s="149"/>
      <c r="J458" s="150"/>
      <c r="K458" s="117"/>
      <c r="L458" s="117"/>
      <c r="M458" s="117"/>
    </row>
    <row r="459">
      <c r="A459" s="116"/>
      <c r="B459" s="117"/>
      <c r="C459" s="117"/>
      <c r="D459" s="229"/>
      <c r="E459" s="117"/>
      <c r="F459" s="229"/>
      <c r="G459" s="116"/>
      <c r="H459" s="148"/>
      <c r="I459" s="149"/>
      <c r="J459" s="150"/>
      <c r="K459" s="117"/>
      <c r="L459" s="117"/>
      <c r="M459" s="117"/>
    </row>
    <row r="460">
      <c r="A460" s="116"/>
      <c r="B460" s="117"/>
      <c r="C460" s="117"/>
      <c r="D460" s="229"/>
      <c r="E460" s="117"/>
      <c r="F460" s="229"/>
      <c r="G460" s="116"/>
      <c r="H460" s="148"/>
      <c r="I460" s="149"/>
      <c r="J460" s="150"/>
      <c r="K460" s="117"/>
      <c r="L460" s="117"/>
      <c r="M460" s="117"/>
    </row>
    <row r="461">
      <c r="A461" s="116"/>
      <c r="B461" s="117"/>
      <c r="C461" s="117"/>
      <c r="D461" s="229"/>
      <c r="E461" s="117"/>
      <c r="F461" s="229"/>
      <c r="G461" s="116"/>
      <c r="H461" s="148"/>
      <c r="I461" s="149"/>
      <c r="J461" s="150"/>
      <c r="K461" s="117"/>
      <c r="L461" s="117"/>
      <c r="M461" s="117"/>
    </row>
    <row r="462">
      <c r="A462" s="116"/>
      <c r="B462" s="117"/>
      <c r="C462" s="117"/>
      <c r="D462" s="229"/>
      <c r="E462" s="117"/>
      <c r="F462" s="229"/>
      <c r="G462" s="116"/>
      <c r="H462" s="148"/>
      <c r="I462" s="149"/>
      <c r="J462" s="150"/>
      <c r="K462" s="117"/>
      <c r="L462" s="117"/>
      <c r="M462" s="117"/>
    </row>
    <row r="463">
      <c r="A463" s="116"/>
      <c r="B463" s="117"/>
      <c r="C463" s="117"/>
      <c r="D463" s="229"/>
      <c r="E463" s="117"/>
      <c r="F463" s="229"/>
      <c r="G463" s="116"/>
      <c r="H463" s="148"/>
      <c r="I463" s="149"/>
      <c r="J463" s="150"/>
      <c r="K463" s="117"/>
      <c r="L463" s="117"/>
      <c r="M463" s="117"/>
    </row>
    <row r="464">
      <c r="A464" s="116"/>
      <c r="B464" s="117"/>
      <c r="C464" s="117"/>
      <c r="D464" s="229"/>
      <c r="E464" s="117"/>
      <c r="F464" s="229"/>
      <c r="G464" s="116"/>
      <c r="H464" s="148"/>
      <c r="I464" s="149"/>
      <c r="J464" s="150"/>
      <c r="K464" s="117"/>
      <c r="L464" s="117"/>
      <c r="M464" s="117"/>
    </row>
    <row r="465">
      <c r="A465" s="116"/>
      <c r="B465" s="117"/>
      <c r="C465" s="117"/>
      <c r="D465" s="229"/>
      <c r="E465" s="117"/>
      <c r="F465" s="229"/>
      <c r="G465" s="116"/>
      <c r="H465" s="148"/>
      <c r="I465" s="149"/>
      <c r="J465" s="150"/>
      <c r="K465" s="117"/>
      <c r="L465" s="117"/>
      <c r="M465" s="117"/>
    </row>
    <row r="466">
      <c r="A466" s="116"/>
      <c r="B466" s="117"/>
      <c r="C466" s="117"/>
      <c r="D466" s="229"/>
      <c r="E466" s="117"/>
      <c r="F466" s="229"/>
      <c r="G466" s="116"/>
      <c r="H466" s="148"/>
      <c r="I466" s="149"/>
      <c r="J466" s="150"/>
      <c r="K466" s="117"/>
      <c r="L466" s="117"/>
      <c r="M466" s="117"/>
    </row>
    <row r="467">
      <c r="A467" s="116"/>
      <c r="B467" s="117"/>
      <c r="C467" s="117"/>
      <c r="D467" s="229"/>
      <c r="E467" s="117"/>
      <c r="F467" s="229"/>
      <c r="G467" s="116"/>
      <c r="H467" s="148"/>
      <c r="I467" s="149"/>
      <c r="J467" s="150"/>
      <c r="K467" s="117"/>
      <c r="L467" s="117"/>
      <c r="M467" s="117"/>
    </row>
    <row r="468">
      <c r="A468" s="116"/>
      <c r="B468" s="117"/>
      <c r="C468" s="117"/>
      <c r="D468" s="229"/>
      <c r="E468" s="117"/>
      <c r="F468" s="229"/>
      <c r="G468" s="116"/>
      <c r="H468" s="148"/>
      <c r="I468" s="149"/>
      <c r="J468" s="150"/>
      <c r="K468" s="117"/>
      <c r="L468" s="117"/>
      <c r="M468" s="117"/>
    </row>
    <row r="469">
      <c r="A469" s="116"/>
      <c r="B469" s="117"/>
      <c r="C469" s="117"/>
      <c r="D469" s="229"/>
      <c r="E469" s="117"/>
      <c r="F469" s="229"/>
      <c r="G469" s="116"/>
      <c r="H469" s="148"/>
      <c r="I469" s="149"/>
      <c r="J469" s="150"/>
      <c r="K469" s="117"/>
      <c r="L469" s="117"/>
      <c r="M469" s="117"/>
    </row>
    <row r="470">
      <c r="A470" s="116"/>
      <c r="B470" s="117"/>
      <c r="C470" s="117"/>
      <c r="D470" s="229"/>
      <c r="E470" s="117"/>
      <c r="F470" s="229"/>
      <c r="G470" s="116"/>
      <c r="H470" s="148"/>
      <c r="I470" s="149"/>
      <c r="J470" s="150"/>
      <c r="K470" s="117"/>
      <c r="L470" s="117"/>
      <c r="M470" s="117"/>
    </row>
    <row r="471">
      <c r="A471" s="116"/>
      <c r="B471" s="117"/>
      <c r="C471" s="117"/>
      <c r="D471" s="229"/>
      <c r="E471" s="117"/>
      <c r="F471" s="229"/>
      <c r="G471" s="116"/>
      <c r="H471" s="148"/>
      <c r="I471" s="149"/>
      <c r="J471" s="150"/>
      <c r="K471" s="117"/>
      <c r="L471" s="117"/>
      <c r="M471" s="117"/>
    </row>
    <row r="472">
      <c r="A472" s="116"/>
      <c r="B472" s="117"/>
      <c r="C472" s="117"/>
      <c r="D472" s="229"/>
      <c r="E472" s="117"/>
      <c r="F472" s="229"/>
      <c r="G472" s="116"/>
      <c r="H472" s="148"/>
      <c r="I472" s="149"/>
      <c r="J472" s="150"/>
      <c r="K472" s="117"/>
      <c r="L472" s="117"/>
      <c r="M472" s="117"/>
    </row>
    <row r="473">
      <c r="A473" s="116"/>
      <c r="B473" s="117"/>
      <c r="C473" s="117"/>
      <c r="D473" s="229"/>
      <c r="E473" s="117"/>
      <c r="F473" s="229"/>
      <c r="G473" s="116"/>
      <c r="H473" s="148"/>
      <c r="I473" s="149"/>
      <c r="J473" s="150"/>
      <c r="K473" s="117"/>
      <c r="L473" s="117"/>
      <c r="M473" s="117"/>
    </row>
    <row r="474">
      <c r="A474" s="116"/>
      <c r="B474" s="117"/>
      <c r="C474" s="117"/>
      <c r="D474" s="229"/>
      <c r="E474" s="117"/>
      <c r="F474" s="229"/>
      <c r="G474" s="116"/>
      <c r="H474" s="148"/>
      <c r="I474" s="149"/>
      <c r="J474" s="150"/>
      <c r="K474" s="117"/>
      <c r="L474" s="117"/>
      <c r="M474" s="117"/>
    </row>
    <row r="475">
      <c r="A475" s="116"/>
      <c r="B475" s="117"/>
      <c r="C475" s="117"/>
      <c r="D475" s="229"/>
      <c r="E475" s="117"/>
      <c r="F475" s="229"/>
      <c r="G475" s="116"/>
      <c r="H475" s="148"/>
      <c r="I475" s="149"/>
      <c r="J475" s="150"/>
      <c r="K475" s="117"/>
      <c r="L475" s="117"/>
      <c r="M475" s="117"/>
    </row>
    <row r="476">
      <c r="A476" s="116"/>
      <c r="B476" s="117"/>
      <c r="C476" s="117"/>
      <c r="D476" s="229"/>
      <c r="E476" s="117"/>
      <c r="F476" s="229"/>
      <c r="G476" s="116"/>
      <c r="H476" s="148"/>
      <c r="I476" s="149"/>
      <c r="J476" s="150"/>
      <c r="K476" s="117"/>
      <c r="L476" s="117"/>
      <c r="M476" s="117"/>
    </row>
    <row r="477">
      <c r="A477" s="116"/>
      <c r="B477" s="117"/>
      <c r="C477" s="117"/>
      <c r="D477" s="229"/>
      <c r="E477" s="117"/>
      <c r="F477" s="229"/>
      <c r="G477" s="116"/>
      <c r="H477" s="148"/>
      <c r="I477" s="149"/>
      <c r="J477" s="150"/>
      <c r="K477" s="117"/>
      <c r="L477" s="117"/>
      <c r="M477" s="117"/>
    </row>
    <row r="478">
      <c r="A478" s="116"/>
      <c r="B478" s="117"/>
      <c r="C478" s="117"/>
      <c r="D478" s="229"/>
      <c r="E478" s="117"/>
      <c r="F478" s="229"/>
      <c r="G478" s="116"/>
      <c r="H478" s="148"/>
      <c r="I478" s="149"/>
      <c r="J478" s="150"/>
      <c r="K478" s="117"/>
      <c r="L478" s="117"/>
      <c r="M478" s="117"/>
    </row>
    <row r="479">
      <c r="A479" s="116"/>
      <c r="B479" s="117"/>
      <c r="C479" s="117"/>
      <c r="D479" s="229"/>
      <c r="E479" s="117"/>
      <c r="F479" s="229"/>
      <c r="G479" s="116"/>
      <c r="H479" s="148"/>
      <c r="I479" s="149"/>
      <c r="J479" s="150"/>
      <c r="K479" s="117"/>
      <c r="L479" s="117"/>
      <c r="M479" s="117"/>
    </row>
    <row r="480">
      <c r="A480" s="116"/>
      <c r="B480" s="117"/>
      <c r="C480" s="117"/>
      <c r="D480" s="229"/>
      <c r="E480" s="117"/>
      <c r="F480" s="229"/>
      <c r="G480" s="116"/>
      <c r="H480" s="148"/>
      <c r="I480" s="149"/>
      <c r="J480" s="150"/>
      <c r="K480" s="117"/>
      <c r="L480" s="117"/>
      <c r="M480" s="117"/>
    </row>
    <row r="481">
      <c r="A481" s="116"/>
      <c r="B481" s="117"/>
      <c r="C481" s="117"/>
      <c r="D481" s="229"/>
      <c r="E481" s="117"/>
      <c r="F481" s="229"/>
      <c r="G481" s="116"/>
      <c r="H481" s="148"/>
      <c r="I481" s="149"/>
      <c r="J481" s="150"/>
      <c r="K481" s="117"/>
      <c r="L481" s="117"/>
      <c r="M481" s="117"/>
    </row>
    <row r="482">
      <c r="A482" s="116"/>
      <c r="B482" s="117"/>
      <c r="C482" s="117"/>
      <c r="D482" s="229"/>
      <c r="E482" s="117"/>
      <c r="F482" s="229"/>
      <c r="G482" s="116"/>
      <c r="H482" s="148"/>
      <c r="I482" s="149"/>
      <c r="J482" s="150"/>
      <c r="K482" s="117"/>
      <c r="L482" s="117"/>
      <c r="M482" s="117"/>
    </row>
    <row r="483">
      <c r="A483" s="116"/>
      <c r="B483" s="117"/>
      <c r="C483" s="117"/>
      <c r="D483" s="229"/>
      <c r="E483" s="117"/>
      <c r="F483" s="229"/>
      <c r="G483" s="116"/>
      <c r="H483" s="148"/>
      <c r="I483" s="149"/>
      <c r="J483" s="150"/>
      <c r="K483" s="117"/>
      <c r="L483" s="117"/>
      <c r="M483" s="117"/>
    </row>
    <row r="484">
      <c r="A484" s="116"/>
      <c r="B484" s="117"/>
      <c r="C484" s="117"/>
      <c r="D484" s="229"/>
      <c r="E484" s="117"/>
      <c r="F484" s="229"/>
      <c r="G484" s="116"/>
      <c r="H484" s="148"/>
      <c r="I484" s="149"/>
      <c r="J484" s="150"/>
      <c r="K484" s="117"/>
      <c r="L484" s="117"/>
      <c r="M484" s="117"/>
    </row>
    <row r="485">
      <c r="A485" s="116"/>
      <c r="B485" s="117"/>
      <c r="C485" s="117"/>
      <c r="D485" s="229"/>
      <c r="E485" s="117"/>
      <c r="F485" s="229"/>
      <c r="G485" s="116"/>
      <c r="H485" s="148"/>
      <c r="I485" s="149"/>
      <c r="J485" s="150"/>
      <c r="K485" s="117"/>
      <c r="L485" s="117"/>
      <c r="M485" s="117"/>
    </row>
    <row r="486">
      <c r="A486" s="116"/>
      <c r="B486" s="117"/>
      <c r="C486" s="117"/>
      <c r="D486" s="229"/>
      <c r="E486" s="117"/>
      <c r="F486" s="229"/>
      <c r="G486" s="116"/>
      <c r="H486" s="148"/>
      <c r="I486" s="149"/>
      <c r="J486" s="150"/>
      <c r="K486" s="117"/>
      <c r="L486" s="117"/>
      <c r="M486" s="117"/>
    </row>
    <row r="487">
      <c r="A487" s="116"/>
      <c r="B487" s="117"/>
      <c r="C487" s="117"/>
      <c r="D487" s="229"/>
      <c r="E487" s="117"/>
      <c r="F487" s="229"/>
      <c r="G487" s="116"/>
      <c r="H487" s="148"/>
      <c r="I487" s="149"/>
      <c r="J487" s="150"/>
      <c r="K487" s="117"/>
      <c r="L487" s="117"/>
      <c r="M487" s="117"/>
    </row>
    <row r="488">
      <c r="A488" s="116"/>
      <c r="B488" s="117"/>
      <c r="C488" s="117"/>
      <c r="D488" s="229"/>
      <c r="E488" s="117"/>
      <c r="F488" s="229"/>
      <c r="G488" s="116"/>
      <c r="H488" s="148"/>
      <c r="I488" s="149"/>
      <c r="J488" s="150"/>
      <c r="K488" s="117"/>
      <c r="L488" s="117"/>
      <c r="M488" s="117"/>
    </row>
    <row r="489">
      <c r="A489" s="116"/>
      <c r="B489" s="117"/>
      <c r="C489" s="117"/>
      <c r="D489" s="229"/>
      <c r="E489" s="117"/>
      <c r="F489" s="229"/>
      <c r="G489" s="116"/>
      <c r="H489" s="148"/>
      <c r="I489" s="149"/>
      <c r="J489" s="150"/>
      <c r="K489" s="117"/>
      <c r="L489" s="117"/>
      <c r="M489" s="117"/>
    </row>
    <row r="490">
      <c r="A490" s="116"/>
      <c r="B490" s="117"/>
      <c r="C490" s="117"/>
      <c r="D490" s="229"/>
      <c r="E490" s="117"/>
      <c r="F490" s="229"/>
      <c r="G490" s="116"/>
      <c r="H490" s="148"/>
      <c r="I490" s="149"/>
      <c r="J490" s="150"/>
      <c r="K490" s="117"/>
      <c r="L490" s="117"/>
      <c r="M490" s="117"/>
    </row>
    <row r="491">
      <c r="A491" s="116"/>
      <c r="B491" s="117"/>
      <c r="C491" s="117"/>
      <c r="D491" s="229"/>
      <c r="E491" s="117"/>
      <c r="F491" s="229"/>
      <c r="G491" s="116"/>
      <c r="H491" s="148"/>
      <c r="I491" s="149"/>
      <c r="J491" s="150"/>
      <c r="K491" s="117"/>
      <c r="L491" s="117"/>
      <c r="M491" s="117"/>
    </row>
    <row r="492">
      <c r="A492" s="116"/>
      <c r="B492" s="117"/>
      <c r="C492" s="117"/>
      <c r="D492" s="229"/>
      <c r="E492" s="117"/>
      <c r="F492" s="229"/>
      <c r="G492" s="116"/>
      <c r="H492" s="148"/>
      <c r="I492" s="149"/>
      <c r="J492" s="150"/>
      <c r="K492" s="117"/>
      <c r="L492" s="117"/>
      <c r="M492" s="117"/>
    </row>
    <row r="493">
      <c r="A493" s="116"/>
      <c r="B493" s="117"/>
      <c r="C493" s="117"/>
      <c r="D493" s="229"/>
      <c r="E493" s="117"/>
      <c r="F493" s="229"/>
      <c r="G493" s="116"/>
      <c r="H493" s="148"/>
      <c r="I493" s="149"/>
      <c r="J493" s="150"/>
      <c r="K493" s="117"/>
      <c r="L493" s="117"/>
      <c r="M493" s="117"/>
    </row>
    <row r="494">
      <c r="A494" s="116"/>
      <c r="B494" s="117"/>
      <c r="C494" s="117"/>
      <c r="D494" s="229"/>
      <c r="E494" s="117"/>
      <c r="F494" s="229"/>
      <c r="G494" s="116"/>
      <c r="H494" s="148"/>
      <c r="I494" s="149"/>
      <c r="J494" s="150"/>
      <c r="K494" s="117"/>
      <c r="L494" s="117"/>
      <c r="M494" s="117"/>
    </row>
    <row r="495">
      <c r="A495" s="116"/>
      <c r="B495" s="117"/>
      <c r="C495" s="117"/>
      <c r="D495" s="229"/>
      <c r="E495" s="117"/>
      <c r="F495" s="229"/>
      <c r="G495" s="116"/>
      <c r="H495" s="148"/>
      <c r="I495" s="149"/>
      <c r="J495" s="150"/>
      <c r="K495" s="117"/>
      <c r="L495" s="117"/>
      <c r="M495" s="117"/>
    </row>
    <row r="496">
      <c r="A496" s="116"/>
      <c r="B496" s="117"/>
      <c r="C496" s="117"/>
      <c r="D496" s="229"/>
      <c r="E496" s="117"/>
      <c r="F496" s="229"/>
      <c r="G496" s="116"/>
      <c r="H496" s="148"/>
      <c r="I496" s="149"/>
      <c r="J496" s="150"/>
      <c r="K496" s="117"/>
      <c r="L496" s="117"/>
      <c r="M496" s="117"/>
    </row>
    <row r="497">
      <c r="A497" s="116"/>
      <c r="B497" s="117"/>
      <c r="C497" s="117"/>
      <c r="D497" s="229"/>
      <c r="E497" s="117"/>
      <c r="F497" s="229"/>
      <c r="G497" s="116"/>
      <c r="H497" s="148"/>
      <c r="I497" s="149"/>
      <c r="J497" s="150"/>
      <c r="K497" s="117"/>
      <c r="L497" s="117"/>
      <c r="M497" s="117"/>
    </row>
    <row r="498">
      <c r="A498" s="116"/>
      <c r="B498" s="117"/>
      <c r="C498" s="117"/>
      <c r="D498" s="229"/>
      <c r="E498" s="117"/>
      <c r="F498" s="229"/>
      <c r="G498" s="116"/>
      <c r="H498" s="148"/>
      <c r="I498" s="149"/>
      <c r="J498" s="150"/>
      <c r="K498" s="117"/>
      <c r="L498" s="117"/>
      <c r="M498" s="117"/>
    </row>
    <row r="499">
      <c r="A499" s="116"/>
      <c r="B499" s="117"/>
      <c r="C499" s="117"/>
      <c r="D499" s="229"/>
      <c r="E499" s="117"/>
      <c r="F499" s="229"/>
      <c r="G499" s="116"/>
      <c r="H499" s="148"/>
      <c r="I499" s="149"/>
      <c r="J499" s="150"/>
      <c r="K499" s="117"/>
      <c r="L499" s="117"/>
      <c r="M499" s="117"/>
    </row>
    <row r="500">
      <c r="A500" s="116"/>
      <c r="B500" s="117"/>
      <c r="C500" s="117"/>
      <c r="D500" s="229"/>
      <c r="E500" s="117"/>
      <c r="F500" s="229"/>
      <c r="G500" s="116"/>
      <c r="H500" s="148"/>
      <c r="I500" s="149"/>
      <c r="J500" s="150"/>
      <c r="K500" s="117"/>
      <c r="L500" s="117"/>
      <c r="M500" s="117"/>
    </row>
    <row r="501">
      <c r="A501" s="116"/>
      <c r="B501" s="117"/>
      <c r="C501" s="117"/>
      <c r="D501" s="229"/>
      <c r="E501" s="117"/>
      <c r="F501" s="229"/>
      <c r="G501" s="116"/>
      <c r="H501" s="148"/>
      <c r="I501" s="149"/>
      <c r="J501" s="150"/>
      <c r="K501" s="117"/>
      <c r="L501" s="117"/>
      <c r="M501" s="117"/>
    </row>
    <row r="502">
      <c r="A502" s="116"/>
      <c r="B502" s="117"/>
      <c r="C502" s="117"/>
      <c r="D502" s="229"/>
      <c r="E502" s="117"/>
      <c r="F502" s="229"/>
      <c r="G502" s="116"/>
      <c r="H502" s="148"/>
      <c r="I502" s="149"/>
      <c r="J502" s="150"/>
      <c r="K502" s="117"/>
      <c r="L502" s="117"/>
      <c r="M502" s="117"/>
    </row>
    <row r="503">
      <c r="A503" s="116"/>
      <c r="B503" s="117"/>
      <c r="C503" s="117"/>
      <c r="D503" s="229"/>
      <c r="E503" s="117"/>
      <c r="F503" s="229"/>
      <c r="G503" s="116"/>
      <c r="H503" s="148"/>
      <c r="I503" s="149"/>
      <c r="J503" s="150"/>
      <c r="K503" s="117"/>
      <c r="L503" s="117"/>
      <c r="M503" s="117"/>
    </row>
    <row r="504">
      <c r="A504" s="116"/>
      <c r="B504" s="117"/>
      <c r="C504" s="117"/>
      <c r="D504" s="229"/>
      <c r="E504" s="117"/>
      <c r="F504" s="229"/>
      <c r="G504" s="116"/>
      <c r="H504" s="148"/>
      <c r="I504" s="149"/>
      <c r="J504" s="150"/>
      <c r="K504" s="117"/>
      <c r="L504" s="117"/>
      <c r="M504" s="117"/>
    </row>
    <row r="505">
      <c r="A505" s="116"/>
      <c r="B505" s="117"/>
      <c r="C505" s="117"/>
      <c r="D505" s="229"/>
      <c r="E505" s="117"/>
      <c r="F505" s="229"/>
      <c r="G505" s="116"/>
      <c r="H505" s="148"/>
      <c r="I505" s="149"/>
      <c r="J505" s="150"/>
      <c r="K505" s="117"/>
      <c r="L505" s="117"/>
      <c r="M505" s="117"/>
    </row>
    <row r="506">
      <c r="A506" s="116"/>
      <c r="B506" s="117"/>
      <c r="C506" s="117"/>
      <c r="D506" s="229"/>
      <c r="E506" s="117"/>
      <c r="F506" s="229"/>
      <c r="G506" s="116"/>
      <c r="H506" s="148"/>
      <c r="I506" s="149"/>
      <c r="J506" s="150"/>
      <c r="K506" s="117"/>
      <c r="L506" s="117"/>
      <c r="M506" s="117"/>
    </row>
    <row r="507">
      <c r="A507" s="116"/>
      <c r="B507" s="117"/>
      <c r="C507" s="117"/>
      <c r="D507" s="229"/>
      <c r="E507" s="117"/>
      <c r="F507" s="229"/>
      <c r="G507" s="116"/>
      <c r="H507" s="148"/>
      <c r="I507" s="149"/>
      <c r="J507" s="150"/>
      <c r="K507" s="117"/>
      <c r="L507" s="117"/>
      <c r="M507" s="117"/>
    </row>
    <row r="508">
      <c r="A508" s="116"/>
      <c r="B508" s="117"/>
      <c r="C508" s="117"/>
      <c r="D508" s="229"/>
      <c r="E508" s="117"/>
      <c r="F508" s="229"/>
      <c r="G508" s="116"/>
      <c r="H508" s="148"/>
      <c r="I508" s="149"/>
      <c r="J508" s="150"/>
      <c r="K508" s="117"/>
      <c r="L508" s="117"/>
      <c r="M508" s="117"/>
    </row>
    <row r="509">
      <c r="A509" s="116"/>
      <c r="B509" s="117"/>
      <c r="C509" s="117"/>
      <c r="D509" s="229"/>
      <c r="E509" s="117"/>
      <c r="F509" s="229"/>
      <c r="G509" s="116"/>
      <c r="H509" s="148"/>
      <c r="I509" s="149"/>
      <c r="J509" s="150"/>
      <c r="K509" s="117"/>
      <c r="L509" s="117"/>
      <c r="M509" s="117"/>
    </row>
    <row r="510">
      <c r="A510" s="116"/>
      <c r="B510" s="117"/>
      <c r="C510" s="117"/>
      <c r="D510" s="229"/>
      <c r="E510" s="117"/>
      <c r="F510" s="229"/>
      <c r="G510" s="116"/>
      <c r="H510" s="148"/>
      <c r="I510" s="149"/>
      <c r="J510" s="150"/>
      <c r="K510" s="117"/>
      <c r="L510" s="117"/>
      <c r="M510" s="117"/>
    </row>
    <row r="511">
      <c r="A511" s="116"/>
      <c r="B511" s="117"/>
      <c r="C511" s="117"/>
      <c r="D511" s="229"/>
      <c r="E511" s="117"/>
      <c r="F511" s="229"/>
      <c r="G511" s="116"/>
      <c r="H511" s="148"/>
      <c r="I511" s="149"/>
      <c r="J511" s="150"/>
      <c r="K511" s="117"/>
      <c r="L511" s="117"/>
      <c r="M511" s="117"/>
    </row>
    <row r="512">
      <c r="A512" s="116"/>
      <c r="B512" s="117"/>
      <c r="C512" s="117"/>
      <c r="D512" s="229"/>
      <c r="E512" s="117"/>
      <c r="F512" s="229"/>
      <c r="G512" s="116"/>
      <c r="H512" s="148"/>
      <c r="I512" s="149"/>
      <c r="J512" s="150"/>
      <c r="K512" s="117"/>
      <c r="L512" s="117"/>
      <c r="M512" s="117"/>
    </row>
    <row r="513">
      <c r="A513" s="116"/>
      <c r="B513" s="117"/>
      <c r="C513" s="117"/>
      <c r="D513" s="229"/>
      <c r="E513" s="117"/>
      <c r="F513" s="229"/>
      <c r="G513" s="116"/>
      <c r="H513" s="148"/>
      <c r="I513" s="149"/>
      <c r="J513" s="150"/>
      <c r="K513" s="117"/>
      <c r="L513" s="117"/>
      <c r="M513" s="117"/>
    </row>
    <row r="514">
      <c r="A514" s="116"/>
      <c r="B514" s="117"/>
      <c r="C514" s="117"/>
      <c r="D514" s="229"/>
      <c r="E514" s="117"/>
      <c r="F514" s="229"/>
      <c r="G514" s="116"/>
      <c r="H514" s="148"/>
      <c r="I514" s="149"/>
      <c r="J514" s="150"/>
      <c r="K514" s="117"/>
      <c r="L514" s="117"/>
      <c r="M514" s="117"/>
    </row>
    <row r="515">
      <c r="A515" s="116"/>
      <c r="B515" s="117"/>
      <c r="C515" s="117"/>
      <c r="D515" s="229"/>
      <c r="E515" s="117"/>
      <c r="F515" s="229"/>
      <c r="G515" s="116"/>
      <c r="H515" s="148"/>
      <c r="I515" s="149"/>
      <c r="J515" s="150"/>
      <c r="K515" s="117"/>
      <c r="L515" s="117"/>
      <c r="M515" s="117"/>
    </row>
    <row r="516">
      <c r="A516" s="116"/>
      <c r="B516" s="117"/>
      <c r="C516" s="117"/>
      <c r="D516" s="229"/>
      <c r="E516" s="117"/>
      <c r="F516" s="229"/>
      <c r="G516" s="116"/>
      <c r="H516" s="148"/>
      <c r="I516" s="149"/>
      <c r="J516" s="150"/>
      <c r="K516" s="117"/>
      <c r="L516" s="117"/>
      <c r="M516" s="117"/>
    </row>
    <row r="517">
      <c r="A517" s="116"/>
      <c r="B517" s="117"/>
      <c r="C517" s="117"/>
      <c r="D517" s="229"/>
      <c r="E517" s="117"/>
      <c r="F517" s="229"/>
      <c r="G517" s="116"/>
      <c r="H517" s="148"/>
      <c r="I517" s="149"/>
      <c r="J517" s="150"/>
      <c r="K517" s="117"/>
      <c r="L517" s="117"/>
      <c r="M517" s="117"/>
    </row>
    <row r="518">
      <c r="A518" s="116"/>
      <c r="B518" s="117"/>
      <c r="C518" s="117"/>
      <c r="D518" s="229"/>
      <c r="E518" s="117"/>
      <c r="F518" s="229"/>
      <c r="G518" s="116"/>
      <c r="H518" s="148"/>
      <c r="I518" s="149"/>
      <c r="J518" s="150"/>
      <c r="K518" s="117"/>
      <c r="L518" s="117"/>
      <c r="M518" s="117"/>
    </row>
    <row r="519">
      <c r="A519" s="116"/>
      <c r="B519" s="117"/>
      <c r="C519" s="117"/>
      <c r="D519" s="229"/>
      <c r="E519" s="117"/>
      <c r="F519" s="229"/>
      <c r="G519" s="116"/>
      <c r="H519" s="148"/>
      <c r="I519" s="149"/>
      <c r="J519" s="150"/>
      <c r="K519" s="117"/>
      <c r="L519" s="117"/>
      <c r="M519" s="117"/>
    </row>
    <row r="520">
      <c r="A520" s="116"/>
      <c r="B520" s="117"/>
      <c r="C520" s="117"/>
      <c r="D520" s="229"/>
      <c r="E520" s="117"/>
      <c r="F520" s="229"/>
      <c r="G520" s="116"/>
      <c r="H520" s="148"/>
      <c r="I520" s="149"/>
      <c r="J520" s="150"/>
      <c r="K520" s="117"/>
      <c r="L520" s="117"/>
      <c r="M520" s="117"/>
    </row>
    <row r="521">
      <c r="A521" s="116"/>
      <c r="B521" s="117"/>
      <c r="C521" s="117"/>
      <c r="D521" s="229"/>
      <c r="E521" s="117"/>
      <c r="F521" s="229"/>
      <c r="G521" s="116"/>
      <c r="H521" s="148"/>
      <c r="I521" s="149"/>
      <c r="J521" s="150"/>
      <c r="K521" s="117"/>
      <c r="L521" s="117"/>
      <c r="M521" s="117"/>
    </row>
    <row r="522">
      <c r="A522" s="116"/>
      <c r="B522" s="117"/>
      <c r="C522" s="117"/>
      <c r="D522" s="229"/>
      <c r="E522" s="117"/>
      <c r="F522" s="229"/>
      <c r="G522" s="116"/>
      <c r="H522" s="148"/>
      <c r="I522" s="149"/>
      <c r="J522" s="150"/>
      <c r="K522" s="117"/>
      <c r="L522" s="117"/>
      <c r="M522" s="117"/>
    </row>
    <row r="523">
      <c r="A523" s="116"/>
      <c r="B523" s="117"/>
      <c r="C523" s="117"/>
      <c r="D523" s="229"/>
      <c r="E523" s="117"/>
      <c r="F523" s="229"/>
      <c r="G523" s="116"/>
      <c r="H523" s="148"/>
      <c r="I523" s="149"/>
      <c r="J523" s="150"/>
      <c r="K523" s="117"/>
      <c r="L523" s="117"/>
      <c r="M523" s="117"/>
    </row>
    <row r="524">
      <c r="A524" s="116"/>
      <c r="B524" s="117"/>
      <c r="C524" s="117"/>
      <c r="D524" s="229"/>
      <c r="E524" s="117"/>
      <c r="F524" s="229"/>
      <c r="G524" s="116"/>
      <c r="H524" s="148"/>
      <c r="I524" s="149"/>
      <c r="J524" s="150"/>
      <c r="K524" s="117"/>
      <c r="L524" s="117"/>
      <c r="M524" s="117"/>
    </row>
    <row r="525">
      <c r="A525" s="116"/>
      <c r="B525" s="117"/>
      <c r="C525" s="117"/>
      <c r="D525" s="229"/>
      <c r="E525" s="117"/>
      <c r="F525" s="229"/>
      <c r="G525" s="116"/>
      <c r="H525" s="148"/>
      <c r="I525" s="149"/>
      <c r="J525" s="150"/>
      <c r="K525" s="117"/>
      <c r="L525" s="117"/>
      <c r="M525" s="117"/>
    </row>
    <row r="526">
      <c r="A526" s="116"/>
      <c r="B526" s="117"/>
      <c r="C526" s="117"/>
      <c r="D526" s="229"/>
      <c r="E526" s="117"/>
      <c r="F526" s="229"/>
      <c r="G526" s="116"/>
      <c r="H526" s="148"/>
      <c r="I526" s="149"/>
      <c r="J526" s="150"/>
      <c r="K526" s="117"/>
      <c r="L526" s="117"/>
      <c r="M526" s="117"/>
    </row>
    <row r="527">
      <c r="A527" s="116"/>
      <c r="B527" s="117"/>
      <c r="C527" s="117"/>
      <c r="D527" s="229"/>
      <c r="E527" s="117"/>
      <c r="F527" s="229"/>
      <c r="G527" s="116"/>
      <c r="H527" s="148"/>
      <c r="I527" s="149"/>
      <c r="J527" s="150"/>
      <c r="K527" s="117"/>
      <c r="L527" s="117"/>
      <c r="M527" s="117"/>
    </row>
    <row r="528">
      <c r="A528" s="116"/>
      <c r="B528" s="117"/>
      <c r="C528" s="117"/>
      <c r="D528" s="229"/>
      <c r="E528" s="117"/>
      <c r="F528" s="229"/>
      <c r="G528" s="116"/>
      <c r="H528" s="148"/>
      <c r="I528" s="149"/>
      <c r="J528" s="150"/>
      <c r="K528" s="117"/>
      <c r="L528" s="117"/>
      <c r="M528" s="117"/>
    </row>
    <row r="529">
      <c r="A529" s="116"/>
      <c r="B529" s="117"/>
      <c r="C529" s="117"/>
      <c r="D529" s="229"/>
      <c r="E529" s="117"/>
      <c r="F529" s="229"/>
      <c r="G529" s="116"/>
      <c r="H529" s="148"/>
      <c r="I529" s="149"/>
      <c r="J529" s="150"/>
      <c r="K529" s="117"/>
      <c r="L529" s="117"/>
      <c r="M529" s="117"/>
    </row>
    <row r="530">
      <c r="A530" s="116"/>
      <c r="B530" s="117"/>
      <c r="C530" s="117"/>
      <c r="D530" s="229"/>
      <c r="E530" s="117"/>
      <c r="F530" s="229"/>
      <c r="G530" s="116"/>
      <c r="H530" s="148"/>
      <c r="I530" s="149"/>
      <c r="J530" s="150"/>
      <c r="K530" s="117"/>
      <c r="L530" s="117"/>
      <c r="M530" s="117"/>
    </row>
    <row r="531">
      <c r="A531" s="116"/>
      <c r="B531" s="117"/>
      <c r="C531" s="117"/>
      <c r="D531" s="229"/>
      <c r="E531" s="117"/>
      <c r="F531" s="229"/>
      <c r="G531" s="116"/>
      <c r="H531" s="148"/>
      <c r="I531" s="149"/>
      <c r="J531" s="150"/>
      <c r="K531" s="117"/>
      <c r="L531" s="117"/>
      <c r="M531" s="117"/>
    </row>
    <row r="532">
      <c r="A532" s="116"/>
      <c r="B532" s="117"/>
      <c r="C532" s="117"/>
      <c r="D532" s="229"/>
      <c r="E532" s="117"/>
      <c r="F532" s="229"/>
      <c r="G532" s="116"/>
      <c r="H532" s="148"/>
      <c r="I532" s="149"/>
      <c r="J532" s="150"/>
      <c r="K532" s="117"/>
      <c r="L532" s="117"/>
      <c r="M532" s="117"/>
    </row>
    <row r="533">
      <c r="A533" s="116"/>
      <c r="B533" s="117"/>
      <c r="C533" s="117"/>
      <c r="D533" s="229"/>
      <c r="E533" s="117"/>
      <c r="F533" s="229"/>
      <c r="G533" s="116"/>
      <c r="H533" s="148"/>
      <c r="I533" s="149"/>
      <c r="J533" s="150"/>
      <c r="K533" s="117"/>
      <c r="L533" s="117"/>
      <c r="M533" s="117"/>
    </row>
    <row r="534">
      <c r="A534" s="116"/>
      <c r="B534" s="117"/>
      <c r="C534" s="117"/>
      <c r="D534" s="229"/>
      <c r="E534" s="117"/>
      <c r="F534" s="229"/>
      <c r="G534" s="116"/>
      <c r="H534" s="148"/>
      <c r="I534" s="149"/>
      <c r="J534" s="150"/>
      <c r="K534" s="117"/>
      <c r="L534" s="117"/>
      <c r="M534" s="117"/>
    </row>
    <row r="535">
      <c r="A535" s="116"/>
      <c r="B535" s="117"/>
      <c r="C535" s="117"/>
      <c r="D535" s="229"/>
      <c r="E535" s="117"/>
      <c r="F535" s="229"/>
      <c r="G535" s="116"/>
      <c r="H535" s="148"/>
      <c r="I535" s="149"/>
      <c r="J535" s="150"/>
      <c r="K535" s="117"/>
      <c r="L535" s="117"/>
      <c r="M535" s="117"/>
    </row>
    <row r="536">
      <c r="A536" s="116"/>
      <c r="B536" s="117"/>
      <c r="C536" s="117"/>
      <c r="D536" s="229"/>
      <c r="E536" s="117"/>
      <c r="F536" s="229"/>
      <c r="G536" s="116"/>
      <c r="H536" s="148"/>
      <c r="I536" s="149"/>
      <c r="J536" s="150"/>
      <c r="K536" s="117"/>
      <c r="L536" s="117"/>
      <c r="M536" s="117"/>
    </row>
    <row r="537">
      <c r="A537" s="116"/>
      <c r="B537" s="117"/>
      <c r="C537" s="117"/>
      <c r="D537" s="229"/>
      <c r="E537" s="117"/>
      <c r="F537" s="229"/>
      <c r="G537" s="116"/>
      <c r="H537" s="148"/>
      <c r="I537" s="149"/>
      <c r="J537" s="150"/>
      <c r="K537" s="117"/>
      <c r="L537" s="117"/>
      <c r="M537" s="117"/>
    </row>
    <row r="538">
      <c r="A538" s="116"/>
      <c r="B538" s="117"/>
      <c r="C538" s="117"/>
      <c r="D538" s="229"/>
      <c r="E538" s="117"/>
      <c r="F538" s="229"/>
      <c r="G538" s="116"/>
      <c r="H538" s="148"/>
      <c r="I538" s="149"/>
      <c r="J538" s="150"/>
      <c r="K538" s="117"/>
      <c r="L538" s="117"/>
      <c r="M538" s="117"/>
    </row>
    <row r="539">
      <c r="A539" s="116"/>
      <c r="B539" s="117"/>
      <c r="C539" s="117"/>
      <c r="D539" s="229"/>
      <c r="E539" s="117"/>
      <c r="F539" s="229"/>
      <c r="G539" s="116"/>
      <c r="H539" s="148"/>
      <c r="I539" s="149"/>
      <c r="J539" s="150"/>
      <c r="K539" s="117"/>
      <c r="L539" s="117"/>
      <c r="M539" s="117"/>
    </row>
    <row r="540">
      <c r="A540" s="116"/>
      <c r="B540" s="117"/>
      <c r="C540" s="117"/>
      <c r="D540" s="229"/>
      <c r="E540" s="117"/>
      <c r="F540" s="229"/>
      <c r="G540" s="116"/>
      <c r="H540" s="148"/>
      <c r="I540" s="149"/>
      <c r="J540" s="150"/>
      <c r="K540" s="117"/>
      <c r="L540" s="117"/>
      <c r="M540" s="117"/>
    </row>
    <row r="541">
      <c r="A541" s="116"/>
      <c r="B541" s="117"/>
      <c r="C541" s="117"/>
      <c r="D541" s="229"/>
      <c r="E541" s="117"/>
      <c r="F541" s="229"/>
      <c r="G541" s="116"/>
      <c r="H541" s="148"/>
      <c r="I541" s="149"/>
      <c r="J541" s="150"/>
      <c r="K541" s="117"/>
      <c r="L541" s="117"/>
      <c r="M541" s="117"/>
    </row>
    <row r="542">
      <c r="A542" s="116"/>
      <c r="B542" s="117"/>
      <c r="C542" s="117"/>
      <c r="D542" s="229"/>
      <c r="E542" s="117"/>
      <c r="F542" s="229"/>
      <c r="G542" s="116"/>
      <c r="H542" s="148"/>
      <c r="I542" s="149"/>
      <c r="J542" s="150"/>
      <c r="K542" s="117"/>
      <c r="L542" s="117"/>
      <c r="M542" s="117"/>
    </row>
    <row r="543">
      <c r="A543" s="116"/>
      <c r="B543" s="117"/>
      <c r="C543" s="117"/>
      <c r="D543" s="229"/>
      <c r="E543" s="117"/>
      <c r="F543" s="229"/>
      <c r="G543" s="116"/>
      <c r="H543" s="148"/>
      <c r="I543" s="149"/>
      <c r="J543" s="150"/>
      <c r="K543" s="117"/>
      <c r="L543" s="117"/>
      <c r="M543" s="117"/>
    </row>
    <row r="544">
      <c r="A544" s="116"/>
      <c r="B544" s="117"/>
      <c r="C544" s="117"/>
      <c r="D544" s="229"/>
      <c r="E544" s="117"/>
      <c r="F544" s="229"/>
      <c r="G544" s="116"/>
      <c r="H544" s="148"/>
      <c r="I544" s="149"/>
      <c r="J544" s="150"/>
      <c r="K544" s="117"/>
      <c r="L544" s="117"/>
      <c r="M544" s="117"/>
    </row>
    <row r="545">
      <c r="A545" s="116"/>
      <c r="B545" s="117"/>
      <c r="C545" s="117"/>
      <c r="D545" s="229"/>
      <c r="E545" s="117"/>
      <c r="F545" s="229"/>
      <c r="G545" s="116"/>
      <c r="H545" s="148"/>
      <c r="I545" s="149"/>
      <c r="J545" s="150"/>
      <c r="K545" s="117"/>
      <c r="L545" s="117"/>
      <c r="M545" s="117"/>
    </row>
    <row r="546">
      <c r="A546" s="116"/>
      <c r="B546" s="117"/>
      <c r="C546" s="117"/>
      <c r="D546" s="229"/>
      <c r="E546" s="117"/>
      <c r="F546" s="229"/>
      <c r="G546" s="116"/>
      <c r="H546" s="148"/>
      <c r="I546" s="149"/>
      <c r="J546" s="150"/>
      <c r="K546" s="117"/>
      <c r="L546" s="117"/>
      <c r="M546" s="117"/>
    </row>
    <row r="547">
      <c r="A547" s="116"/>
      <c r="B547" s="117"/>
      <c r="C547" s="117"/>
      <c r="D547" s="229"/>
      <c r="E547" s="117"/>
      <c r="F547" s="229"/>
      <c r="G547" s="116"/>
      <c r="H547" s="148"/>
      <c r="I547" s="149"/>
      <c r="J547" s="150"/>
      <c r="K547" s="117"/>
      <c r="L547" s="117"/>
      <c r="M547" s="117"/>
    </row>
    <row r="548">
      <c r="A548" s="116"/>
      <c r="B548" s="117"/>
      <c r="C548" s="117"/>
      <c r="D548" s="229"/>
      <c r="E548" s="117"/>
      <c r="F548" s="229"/>
      <c r="G548" s="116"/>
      <c r="H548" s="148"/>
      <c r="I548" s="149"/>
      <c r="J548" s="150"/>
      <c r="K548" s="117"/>
      <c r="L548" s="117"/>
      <c r="M548" s="117"/>
    </row>
    <row r="549">
      <c r="A549" s="116"/>
      <c r="B549" s="117"/>
      <c r="C549" s="117"/>
      <c r="D549" s="229"/>
      <c r="E549" s="117"/>
      <c r="F549" s="229"/>
      <c r="G549" s="116"/>
      <c r="H549" s="148"/>
      <c r="I549" s="149"/>
      <c r="J549" s="150"/>
      <c r="K549" s="117"/>
      <c r="L549" s="117"/>
      <c r="M549" s="117"/>
    </row>
    <row r="550">
      <c r="A550" s="116"/>
      <c r="B550" s="117"/>
      <c r="C550" s="117"/>
      <c r="D550" s="229"/>
      <c r="E550" s="117"/>
      <c r="F550" s="229"/>
      <c r="G550" s="116"/>
      <c r="H550" s="148"/>
      <c r="I550" s="149"/>
      <c r="J550" s="150"/>
      <c r="K550" s="117"/>
      <c r="L550" s="117"/>
      <c r="M550" s="117"/>
    </row>
    <row r="551">
      <c r="A551" s="116"/>
      <c r="B551" s="117"/>
      <c r="C551" s="117"/>
      <c r="D551" s="229"/>
      <c r="E551" s="117"/>
      <c r="F551" s="229"/>
      <c r="G551" s="116"/>
      <c r="H551" s="148"/>
      <c r="I551" s="149"/>
      <c r="J551" s="150"/>
      <c r="K551" s="117"/>
      <c r="L551" s="117"/>
      <c r="M551" s="117"/>
    </row>
    <row r="552">
      <c r="A552" s="116"/>
      <c r="B552" s="117"/>
      <c r="C552" s="117"/>
      <c r="D552" s="229"/>
      <c r="E552" s="117"/>
      <c r="F552" s="229"/>
      <c r="G552" s="116"/>
      <c r="H552" s="148"/>
      <c r="I552" s="149"/>
      <c r="J552" s="150"/>
      <c r="K552" s="117"/>
      <c r="L552" s="117"/>
      <c r="M552" s="117"/>
    </row>
    <row r="553">
      <c r="A553" s="116"/>
      <c r="B553" s="117"/>
      <c r="C553" s="117"/>
      <c r="D553" s="229"/>
      <c r="E553" s="117"/>
      <c r="F553" s="229"/>
      <c r="G553" s="116"/>
      <c r="H553" s="148"/>
      <c r="I553" s="149"/>
      <c r="J553" s="150"/>
      <c r="K553" s="117"/>
      <c r="L553" s="117"/>
      <c r="M553" s="117"/>
    </row>
    <row r="554">
      <c r="A554" s="116"/>
      <c r="B554" s="117"/>
      <c r="C554" s="117"/>
      <c r="D554" s="229"/>
      <c r="E554" s="117"/>
      <c r="F554" s="229"/>
      <c r="G554" s="116"/>
      <c r="H554" s="148"/>
      <c r="I554" s="149"/>
      <c r="J554" s="150"/>
      <c r="K554" s="117"/>
      <c r="L554" s="117"/>
      <c r="M554" s="117"/>
    </row>
    <row r="555">
      <c r="A555" s="116"/>
      <c r="B555" s="117"/>
      <c r="C555" s="117"/>
      <c r="D555" s="229"/>
      <c r="E555" s="117"/>
      <c r="F555" s="229"/>
      <c r="G555" s="116"/>
      <c r="H555" s="148"/>
      <c r="I555" s="149"/>
      <c r="J555" s="150"/>
      <c r="K555" s="117"/>
      <c r="L555" s="117"/>
      <c r="M555" s="117"/>
    </row>
    <row r="556">
      <c r="A556" s="116"/>
      <c r="B556" s="117"/>
      <c r="C556" s="117"/>
      <c r="D556" s="229"/>
      <c r="E556" s="117"/>
      <c r="F556" s="229"/>
      <c r="G556" s="116"/>
      <c r="H556" s="148"/>
      <c r="I556" s="149"/>
      <c r="J556" s="150"/>
      <c r="K556" s="117"/>
      <c r="L556" s="117"/>
      <c r="M556" s="117"/>
    </row>
    <row r="557">
      <c r="A557" s="116"/>
      <c r="B557" s="117"/>
      <c r="C557" s="117"/>
      <c r="D557" s="229"/>
      <c r="E557" s="117"/>
      <c r="F557" s="229"/>
      <c r="G557" s="116"/>
      <c r="H557" s="148"/>
      <c r="I557" s="149"/>
      <c r="J557" s="150"/>
      <c r="K557" s="117"/>
      <c r="L557" s="117"/>
      <c r="M557" s="117"/>
    </row>
    <row r="558">
      <c r="A558" s="116"/>
      <c r="B558" s="117"/>
      <c r="C558" s="117"/>
      <c r="D558" s="229"/>
      <c r="E558" s="117"/>
      <c r="F558" s="229"/>
      <c r="G558" s="116"/>
      <c r="H558" s="148"/>
      <c r="I558" s="149"/>
      <c r="J558" s="150"/>
      <c r="K558" s="117"/>
      <c r="L558" s="117"/>
      <c r="M558" s="117"/>
    </row>
    <row r="559">
      <c r="A559" s="116"/>
      <c r="B559" s="117"/>
      <c r="C559" s="117"/>
      <c r="D559" s="229"/>
      <c r="E559" s="117"/>
      <c r="F559" s="229"/>
      <c r="G559" s="116"/>
      <c r="H559" s="148"/>
      <c r="I559" s="149"/>
      <c r="J559" s="150"/>
      <c r="K559" s="117"/>
      <c r="L559" s="117"/>
      <c r="M559" s="117"/>
    </row>
    <row r="560">
      <c r="A560" s="116"/>
      <c r="B560" s="117"/>
      <c r="C560" s="117"/>
      <c r="D560" s="229"/>
      <c r="E560" s="117"/>
      <c r="F560" s="229"/>
      <c r="G560" s="116"/>
      <c r="H560" s="148"/>
      <c r="I560" s="149"/>
      <c r="J560" s="150"/>
      <c r="K560" s="117"/>
      <c r="L560" s="117"/>
      <c r="M560" s="117"/>
    </row>
    <row r="561">
      <c r="A561" s="116"/>
      <c r="B561" s="117"/>
      <c r="C561" s="117"/>
      <c r="D561" s="229"/>
      <c r="E561" s="117"/>
      <c r="F561" s="229"/>
      <c r="G561" s="116"/>
      <c r="H561" s="148"/>
      <c r="I561" s="149"/>
      <c r="J561" s="150"/>
      <c r="K561" s="117"/>
      <c r="L561" s="117"/>
      <c r="M561" s="117"/>
    </row>
    <row r="562">
      <c r="A562" s="116"/>
      <c r="B562" s="117"/>
      <c r="C562" s="117"/>
      <c r="D562" s="229"/>
      <c r="E562" s="117"/>
      <c r="F562" s="229"/>
      <c r="G562" s="116"/>
      <c r="H562" s="148"/>
      <c r="I562" s="149"/>
      <c r="J562" s="150"/>
      <c r="K562" s="117"/>
      <c r="L562" s="117"/>
      <c r="M562" s="117"/>
    </row>
    <row r="563">
      <c r="A563" s="116"/>
      <c r="B563" s="117"/>
      <c r="C563" s="117"/>
      <c r="D563" s="229"/>
      <c r="E563" s="117"/>
      <c r="F563" s="229"/>
      <c r="G563" s="116"/>
      <c r="H563" s="148"/>
      <c r="I563" s="149"/>
      <c r="J563" s="150"/>
      <c r="K563" s="117"/>
      <c r="L563" s="117"/>
      <c r="M563" s="117"/>
    </row>
    <row r="564">
      <c r="A564" s="116"/>
      <c r="B564" s="117"/>
      <c r="C564" s="117"/>
      <c r="D564" s="229"/>
      <c r="E564" s="117"/>
      <c r="F564" s="229"/>
      <c r="G564" s="116"/>
      <c r="H564" s="148"/>
      <c r="I564" s="149"/>
      <c r="J564" s="150"/>
      <c r="K564" s="117"/>
      <c r="L564" s="117"/>
      <c r="M564" s="117"/>
    </row>
    <row r="565">
      <c r="A565" s="116"/>
      <c r="B565" s="117"/>
      <c r="C565" s="117"/>
      <c r="D565" s="229"/>
      <c r="E565" s="117"/>
      <c r="F565" s="229"/>
      <c r="G565" s="116"/>
      <c r="H565" s="148"/>
      <c r="I565" s="149"/>
      <c r="J565" s="150"/>
      <c r="K565" s="117"/>
      <c r="L565" s="117"/>
      <c r="M565" s="117"/>
    </row>
    <row r="566">
      <c r="A566" s="116"/>
      <c r="B566" s="117"/>
      <c r="C566" s="117"/>
      <c r="D566" s="229"/>
      <c r="E566" s="117"/>
      <c r="F566" s="229"/>
      <c r="G566" s="116"/>
      <c r="H566" s="148"/>
      <c r="I566" s="149"/>
      <c r="J566" s="150"/>
      <c r="K566" s="117"/>
      <c r="L566" s="117"/>
      <c r="M566" s="117"/>
    </row>
    <row r="567">
      <c r="A567" s="116"/>
      <c r="B567" s="117"/>
      <c r="C567" s="117"/>
      <c r="D567" s="229"/>
      <c r="E567" s="117"/>
      <c r="F567" s="229"/>
      <c r="G567" s="116"/>
      <c r="H567" s="148"/>
      <c r="I567" s="149"/>
      <c r="J567" s="150"/>
      <c r="K567" s="117"/>
      <c r="L567" s="117"/>
      <c r="M567" s="117"/>
    </row>
    <row r="568">
      <c r="A568" s="116"/>
      <c r="B568" s="117"/>
      <c r="C568" s="117"/>
      <c r="D568" s="229"/>
      <c r="E568" s="117"/>
      <c r="F568" s="229"/>
      <c r="G568" s="116"/>
      <c r="H568" s="148"/>
      <c r="I568" s="149"/>
      <c r="J568" s="150"/>
      <c r="K568" s="117"/>
      <c r="L568" s="117"/>
      <c r="M568" s="117"/>
    </row>
    <row r="569">
      <c r="A569" s="116"/>
      <c r="B569" s="117"/>
      <c r="C569" s="117"/>
      <c r="D569" s="229"/>
      <c r="E569" s="117"/>
      <c r="F569" s="229"/>
      <c r="G569" s="116"/>
      <c r="H569" s="148"/>
      <c r="I569" s="149"/>
      <c r="J569" s="150"/>
      <c r="K569" s="117"/>
      <c r="L569" s="117"/>
      <c r="M569" s="117"/>
    </row>
    <row r="570">
      <c r="A570" s="116"/>
      <c r="B570" s="117"/>
      <c r="C570" s="117"/>
      <c r="D570" s="229"/>
      <c r="E570" s="117"/>
      <c r="F570" s="229"/>
      <c r="G570" s="116"/>
      <c r="H570" s="148"/>
      <c r="I570" s="149"/>
      <c r="J570" s="150"/>
      <c r="K570" s="117"/>
      <c r="L570" s="117"/>
      <c r="M570" s="117"/>
    </row>
    <row r="571">
      <c r="A571" s="116"/>
      <c r="B571" s="117"/>
      <c r="C571" s="117"/>
      <c r="D571" s="229"/>
      <c r="E571" s="117"/>
      <c r="F571" s="229"/>
      <c r="G571" s="116"/>
      <c r="H571" s="148"/>
      <c r="I571" s="149"/>
      <c r="J571" s="150"/>
      <c r="K571" s="117"/>
      <c r="L571" s="117"/>
      <c r="M571" s="117"/>
    </row>
    <row r="572">
      <c r="A572" s="116"/>
      <c r="B572" s="117"/>
      <c r="C572" s="117"/>
      <c r="D572" s="229"/>
      <c r="E572" s="117"/>
      <c r="F572" s="229"/>
      <c r="G572" s="116"/>
      <c r="H572" s="148"/>
      <c r="I572" s="149"/>
      <c r="J572" s="150"/>
      <c r="K572" s="117"/>
      <c r="L572" s="117"/>
      <c r="M572" s="117"/>
    </row>
    <row r="573">
      <c r="A573" s="116"/>
      <c r="B573" s="117"/>
      <c r="C573" s="117"/>
      <c r="D573" s="229"/>
      <c r="E573" s="117"/>
      <c r="F573" s="229"/>
      <c r="G573" s="116"/>
      <c r="H573" s="148"/>
      <c r="I573" s="149"/>
      <c r="J573" s="150"/>
      <c r="K573" s="117"/>
      <c r="L573" s="117"/>
      <c r="M573" s="117"/>
    </row>
    <row r="574">
      <c r="A574" s="116"/>
      <c r="B574" s="117"/>
      <c r="C574" s="117"/>
      <c r="D574" s="229"/>
      <c r="E574" s="117"/>
      <c r="F574" s="229"/>
      <c r="G574" s="116"/>
      <c r="H574" s="148"/>
      <c r="I574" s="149"/>
      <c r="J574" s="150"/>
      <c r="K574" s="117"/>
      <c r="L574" s="117"/>
      <c r="M574" s="117"/>
    </row>
    <row r="575">
      <c r="A575" s="116"/>
      <c r="B575" s="117"/>
      <c r="C575" s="117"/>
      <c r="D575" s="229"/>
      <c r="E575" s="117"/>
      <c r="F575" s="229"/>
      <c r="G575" s="116"/>
      <c r="H575" s="148"/>
      <c r="I575" s="149"/>
      <c r="J575" s="150"/>
      <c r="K575" s="117"/>
      <c r="L575" s="117"/>
      <c r="M575" s="117"/>
    </row>
    <row r="576">
      <c r="A576" s="116"/>
      <c r="B576" s="117"/>
      <c r="C576" s="117"/>
      <c r="D576" s="229"/>
      <c r="E576" s="117"/>
      <c r="F576" s="229"/>
      <c r="G576" s="116"/>
      <c r="H576" s="148"/>
      <c r="I576" s="149"/>
      <c r="J576" s="150"/>
      <c r="K576" s="117"/>
      <c r="L576" s="117"/>
      <c r="M576" s="117"/>
    </row>
    <row r="577">
      <c r="A577" s="116"/>
      <c r="B577" s="117"/>
      <c r="C577" s="117"/>
      <c r="D577" s="229"/>
      <c r="E577" s="117"/>
      <c r="F577" s="229"/>
      <c r="G577" s="116"/>
      <c r="H577" s="148"/>
      <c r="I577" s="149"/>
      <c r="J577" s="150"/>
      <c r="K577" s="117"/>
      <c r="L577" s="117"/>
      <c r="M577" s="117"/>
    </row>
    <row r="578">
      <c r="A578" s="116"/>
      <c r="B578" s="117"/>
      <c r="C578" s="117"/>
      <c r="D578" s="229"/>
      <c r="E578" s="117"/>
      <c r="F578" s="229"/>
      <c r="G578" s="116"/>
      <c r="H578" s="148"/>
      <c r="I578" s="149"/>
      <c r="J578" s="150"/>
      <c r="K578" s="117"/>
      <c r="L578" s="117"/>
      <c r="M578" s="117"/>
    </row>
    <row r="579">
      <c r="A579" s="116"/>
      <c r="B579" s="117"/>
      <c r="C579" s="117"/>
      <c r="D579" s="229"/>
      <c r="E579" s="117"/>
      <c r="F579" s="229"/>
      <c r="G579" s="116"/>
      <c r="H579" s="148"/>
      <c r="I579" s="149"/>
      <c r="J579" s="150"/>
      <c r="K579" s="117"/>
      <c r="L579" s="117"/>
      <c r="M579" s="117"/>
    </row>
    <row r="580">
      <c r="A580" s="116"/>
      <c r="B580" s="117"/>
      <c r="C580" s="117"/>
      <c r="D580" s="229"/>
      <c r="E580" s="117"/>
      <c r="F580" s="229"/>
      <c r="G580" s="116"/>
      <c r="H580" s="148"/>
      <c r="I580" s="149"/>
      <c r="J580" s="150"/>
      <c r="K580" s="117"/>
      <c r="L580" s="117"/>
      <c r="M580" s="117"/>
    </row>
    <row r="581">
      <c r="A581" s="116"/>
      <c r="B581" s="117"/>
      <c r="C581" s="117"/>
      <c r="D581" s="229"/>
      <c r="E581" s="117"/>
      <c r="F581" s="229"/>
      <c r="G581" s="116"/>
      <c r="H581" s="148"/>
      <c r="I581" s="149"/>
      <c r="J581" s="150"/>
      <c r="K581" s="117"/>
      <c r="L581" s="117"/>
      <c r="M581" s="117"/>
    </row>
    <row r="582">
      <c r="A582" s="116"/>
      <c r="B582" s="117"/>
      <c r="C582" s="117"/>
      <c r="D582" s="229"/>
      <c r="E582" s="117"/>
      <c r="F582" s="229"/>
      <c r="G582" s="116"/>
      <c r="H582" s="148"/>
      <c r="I582" s="149"/>
      <c r="J582" s="150"/>
      <c r="K582" s="117"/>
      <c r="L582" s="117"/>
      <c r="M582" s="117"/>
    </row>
    <row r="583">
      <c r="A583" s="116"/>
      <c r="B583" s="117"/>
      <c r="C583" s="117"/>
      <c r="D583" s="229"/>
      <c r="E583" s="117"/>
      <c r="F583" s="229"/>
      <c r="G583" s="116"/>
      <c r="H583" s="148"/>
      <c r="I583" s="149"/>
      <c r="J583" s="150"/>
      <c r="K583" s="117"/>
      <c r="L583" s="117"/>
      <c r="M583" s="117"/>
    </row>
    <row r="584">
      <c r="A584" s="116"/>
      <c r="B584" s="117"/>
      <c r="C584" s="117"/>
      <c r="D584" s="229"/>
      <c r="E584" s="117"/>
      <c r="F584" s="229"/>
      <c r="G584" s="116"/>
      <c r="H584" s="148"/>
      <c r="I584" s="149"/>
      <c r="J584" s="150"/>
      <c r="K584" s="117"/>
      <c r="L584" s="117"/>
      <c r="M584" s="117"/>
    </row>
    <row r="585">
      <c r="A585" s="116"/>
      <c r="B585" s="117"/>
      <c r="C585" s="117"/>
      <c r="D585" s="229"/>
      <c r="E585" s="117"/>
      <c r="F585" s="229"/>
      <c r="G585" s="116"/>
      <c r="H585" s="148"/>
      <c r="I585" s="149"/>
      <c r="J585" s="150"/>
      <c r="K585" s="117"/>
      <c r="L585" s="117"/>
      <c r="M585" s="117"/>
    </row>
    <row r="586">
      <c r="A586" s="116"/>
      <c r="B586" s="117"/>
      <c r="C586" s="117"/>
      <c r="D586" s="229"/>
      <c r="E586" s="117"/>
      <c r="F586" s="229"/>
      <c r="G586" s="116"/>
      <c r="H586" s="148"/>
      <c r="I586" s="149"/>
      <c r="J586" s="150"/>
      <c r="K586" s="117"/>
      <c r="L586" s="117"/>
      <c r="M586" s="117"/>
    </row>
    <row r="587">
      <c r="A587" s="116"/>
      <c r="B587" s="117"/>
      <c r="C587" s="117"/>
      <c r="D587" s="229"/>
      <c r="E587" s="117"/>
      <c r="F587" s="229"/>
      <c r="G587" s="116"/>
      <c r="H587" s="148"/>
      <c r="I587" s="149"/>
      <c r="J587" s="150"/>
      <c r="K587" s="117"/>
      <c r="L587" s="117"/>
      <c r="M587" s="117"/>
    </row>
    <row r="588">
      <c r="A588" s="116"/>
      <c r="B588" s="117"/>
      <c r="C588" s="117"/>
      <c r="D588" s="229"/>
      <c r="E588" s="117"/>
      <c r="F588" s="229"/>
      <c r="G588" s="116"/>
      <c r="H588" s="148"/>
      <c r="I588" s="149"/>
      <c r="J588" s="150"/>
      <c r="K588" s="117"/>
      <c r="L588" s="117"/>
      <c r="M588" s="117"/>
    </row>
    <row r="589">
      <c r="A589" s="116"/>
      <c r="B589" s="117"/>
      <c r="C589" s="117"/>
      <c r="D589" s="229"/>
      <c r="E589" s="117"/>
      <c r="F589" s="229"/>
      <c r="G589" s="116"/>
      <c r="H589" s="148"/>
      <c r="I589" s="149"/>
      <c r="J589" s="150"/>
      <c r="K589" s="117"/>
      <c r="L589" s="117"/>
      <c r="M589" s="117"/>
    </row>
    <row r="590">
      <c r="A590" s="116"/>
      <c r="B590" s="117"/>
      <c r="C590" s="117"/>
      <c r="D590" s="229"/>
      <c r="E590" s="117"/>
      <c r="F590" s="229"/>
      <c r="G590" s="116"/>
      <c r="H590" s="148"/>
      <c r="I590" s="149"/>
      <c r="J590" s="150"/>
      <c r="K590" s="117"/>
      <c r="L590" s="117"/>
      <c r="M590" s="117"/>
    </row>
    <row r="591">
      <c r="A591" s="116"/>
      <c r="B591" s="117"/>
      <c r="C591" s="117"/>
      <c r="D591" s="229"/>
      <c r="E591" s="117"/>
      <c r="F591" s="229"/>
      <c r="G591" s="116"/>
      <c r="H591" s="148"/>
      <c r="I591" s="149"/>
      <c r="J591" s="150"/>
      <c r="K591" s="117"/>
      <c r="L591" s="117"/>
      <c r="M591" s="117"/>
    </row>
    <row r="592">
      <c r="A592" s="116"/>
      <c r="B592" s="117"/>
      <c r="C592" s="117"/>
      <c r="D592" s="229"/>
      <c r="E592" s="117"/>
      <c r="F592" s="229"/>
      <c r="G592" s="116"/>
      <c r="H592" s="148"/>
      <c r="I592" s="149"/>
      <c r="J592" s="150"/>
      <c r="K592" s="117"/>
      <c r="L592" s="117"/>
      <c r="M592" s="117"/>
    </row>
    <row r="593">
      <c r="A593" s="116"/>
      <c r="B593" s="117"/>
      <c r="C593" s="117"/>
      <c r="D593" s="229"/>
      <c r="E593" s="117"/>
      <c r="F593" s="229"/>
      <c r="G593" s="116"/>
      <c r="H593" s="148"/>
      <c r="I593" s="149"/>
      <c r="J593" s="150"/>
      <c r="K593" s="117"/>
      <c r="L593" s="117"/>
      <c r="M593" s="117"/>
    </row>
    <row r="594">
      <c r="A594" s="116"/>
      <c r="B594" s="117"/>
      <c r="C594" s="117"/>
      <c r="D594" s="229"/>
      <c r="E594" s="117"/>
      <c r="F594" s="229"/>
      <c r="G594" s="116"/>
      <c r="H594" s="148"/>
      <c r="I594" s="149"/>
      <c r="J594" s="150"/>
      <c r="K594" s="117"/>
      <c r="L594" s="117"/>
      <c r="M594" s="117"/>
    </row>
    <row r="595">
      <c r="A595" s="116"/>
      <c r="B595" s="117"/>
      <c r="C595" s="117"/>
      <c r="D595" s="229"/>
      <c r="E595" s="117"/>
      <c r="F595" s="229"/>
      <c r="G595" s="116"/>
      <c r="H595" s="148"/>
      <c r="I595" s="149"/>
      <c r="J595" s="150"/>
      <c r="K595" s="117"/>
      <c r="L595" s="117"/>
      <c r="M595" s="117"/>
    </row>
    <row r="596">
      <c r="A596" s="116"/>
      <c r="B596" s="117"/>
      <c r="C596" s="117"/>
      <c r="D596" s="229"/>
      <c r="E596" s="117"/>
      <c r="F596" s="229"/>
      <c r="G596" s="116"/>
      <c r="H596" s="148"/>
      <c r="I596" s="149"/>
      <c r="J596" s="150"/>
      <c r="K596" s="117"/>
      <c r="L596" s="117"/>
      <c r="M596" s="117"/>
    </row>
    <row r="597">
      <c r="A597" s="116"/>
      <c r="B597" s="117"/>
      <c r="C597" s="117"/>
      <c r="D597" s="229"/>
      <c r="E597" s="117"/>
      <c r="F597" s="229"/>
      <c r="G597" s="116"/>
      <c r="H597" s="148"/>
      <c r="I597" s="149"/>
      <c r="J597" s="150"/>
      <c r="K597" s="117"/>
      <c r="L597" s="117"/>
      <c r="M597" s="117"/>
    </row>
    <row r="598">
      <c r="A598" s="116"/>
      <c r="B598" s="117"/>
      <c r="C598" s="117"/>
      <c r="D598" s="229"/>
      <c r="E598" s="117"/>
      <c r="F598" s="229"/>
      <c r="G598" s="116"/>
      <c r="H598" s="148"/>
      <c r="I598" s="149"/>
      <c r="J598" s="150"/>
      <c r="K598" s="117"/>
      <c r="L598" s="117"/>
      <c r="M598" s="117"/>
    </row>
    <row r="599">
      <c r="A599" s="116"/>
      <c r="B599" s="117"/>
      <c r="C599" s="117"/>
      <c r="D599" s="229"/>
      <c r="E599" s="117"/>
      <c r="F599" s="229"/>
      <c r="G599" s="116"/>
      <c r="H599" s="148"/>
      <c r="I599" s="149"/>
      <c r="J599" s="150"/>
      <c r="K599" s="117"/>
      <c r="L599" s="117"/>
      <c r="M599" s="117"/>
    </row>
    <row r="600">
      <c r="A600" s="116"/>
      <c r="B600" s="117"/>
      <c r="C600" s="117"/>
      <c r="D600" s="229"/>
      <c r="E600" s="117"/>
      <c r="F600" s="229"/>
      <c r="G600" s="116"/>
      <c r="H600" s="148"/>
      <c r="I600" s="149"/>
      <c r="J600" s="150"/>
      <c r="K600" s="117"/>
      <c r="L600" s="117"/>
      <c r="M600" s="117"/>
    </row>
    <row r="601">
      <c r="A601" s="116"/>
      <c r="B601" s="117"/>
      <c r="C601" s="117"/>
      <c r="D601" s="229"/>
      <c r="E601" s="117"/>
      <c r="F601" s="229"/>
      <c r="G601" s="116"/>
      <c r="H601" s="148"/>
      <c r="I601" s="149"/>
      <c r="J601" s="150"/>
      <c r="K601" s="117"/>
      <c r="L601" s="117"/>
      <c r="M601" s="117"/>
    </row>
    <row r="602">
      <c r="A602" s="116"/>
      <c r="B602" s="117"/>
      <c r="C602" s="117"/>
      <c r="D602" s="229"/>
      <c r="E602" s="117"/>
      <c r="F602" s="229"/>
      <c r="G602" s="116"/>
      <c r="H602" s="148"/>
      <c r="I602" s="149"/>
      <c r="J602" s="150"/>
      <c r="K602" s="117"/>
      <c r="L602" s="117"/>
      <c r="M602" s="117"/>
    </row>
    <row r="603">
      <c r="A603" s="116"/>
      <c r="B603" s="117"/>
      <c r="C603" s="117"/>
      <c r="D603" s="229"/>
      <c r="E603" s="117"/>
      <c r="F603" s="229"/>
      <c r="G603" s="116"/>
      <c r="H603" s="148"/>
      <c r="I603" s="149"/>
      <c r="J603" s="150"/>
      <c r="K603" s="117"/>
      <c r="L603" s="117"/>
      <c r="M603" s="117"/>
    </row>
    <row r="604">
      <c r="A604" s="116"/>
      <c r="B604" s="117"/>
      <c r="C604" s="117"/>
      <c r="D604" s="229"/>
      <c r="E604" s="117"/>
      <c r="F604" s="229"/>
      <c r="G604" s="116"/>
      <c r="H604" s="148"/>
      <c r="I604" s="149"/>
      <c r="J604" s="150"/>
      <c r="K604" s="117"/>
      <c r="L604" s="117"/>
      <c r="M604" s="117"/>
    </row>
    <row r="605">
      <c r="A605" s="116"/>
      <c r="B605" s="117"/>
      <c r="C605" s="117"/>
      <c r="D605" s="229"/>
      <c r="E605" s="117"/>
      <c r="F605" s="229"/>
      <c r="G605" s="116"/>
      <c r="H605" s="148"/>
      <c r="I605" s="149"/>
      <c r="J605" s="150"/>
      <c r="K605" s="117"/>
      <c r="L605" s="117"/>
      <c r="M605" s="117"/>
    </row>
    <row r="606">
      <c r="A606" s="116"/>
      <c r="B606" s="117"/>
      <c r="C606" s="117"/>
      <c r="D606" s="229"/>
      <c r="E606" s="117"/>
      <c r="F606" s="229"/>
      <c r="G606" s="116"/>
      <c r="H606" s="148"/>
      <c r="I606" s="149"/>
      <c r="J606" s="150"/>
      <c r="K606" s="117"/>
      <c r="L606" s="117"/>
      <c r="M606" s="117"/>
    </row>
    <row r="607">
      <c r="A607" s="116"/>
      <c r="B607" s="117"/>
      <c r="C607" s="117"/>
      <c r="D607" s="229"/>
      <c r="E607" s="117"/>
      <c r="F607" s="229"/>
      <c r="G607" s="116"/>
      <c r="H607" s="148"/>
      <c r="I607" s="149"/>
      <c r="J607" s="150"/>
      <c r="K607" s="117"/>
      <c r="L607" s="117"/>
      <c r="M607" s="117"/>
    </row>
    <row r="608">
      <c r="A608" s="116"/>
      <c r="B608" s="117"/>
      <c r="C608" s="117"/>
      <c r="D608" s="229"/>
      <c r="E608" s="117"/>
      <c r="F608" s="229"/>
      <c r="G608" s="116"/>
      <c r="H608" s="148"/>
      <c r="I608" s="149"/>
      <c r="J608" s="150"/>
      <c r="K608" s="117"/>
      <c r="L608" s="117"/>
      <c r="M608" s="117"/>
    </row>
    <row r="609">
      <c r="A609" s="116"/>
      <c r="B609" s="117"/>
      <c r="C609" s="117"/>
      <c r="D609" s="229"/>
      <c r="E609" s="117"/>
      <c r="F609" s="229"/>
      <c r="G609" s="116"/>
      <c r="H609" s="148"/>
      <c r="I609" s="149"/>
      <c r="J609" s="150"/>
      <c r="K609" s="117"/>
      <c r="L609" s="117"/>
      <c r="M609" s="117"/>
    </row>
    <row r="610">
      <c r="A610" s="116"/>
      <c r="B610" s="117"/>
      <c r="C610" s="117"/>
      <c r="D610" s="229"/>
      <c r="E610" s="117"/>
      <c r="F610" s="229"/>
      <c r="G610" s="116"/>
      <c r="H610" s="148"/>
      <c r="I610" s="149"/>
      <c r="J610" s="150"/>
      <c r="K610" s="117"/>
      <c r="L610" s="117"/>
      <c r="M610" s="117"/>
    </row>
    <row r="611">
      <c r="A611" s="116"/>
      <c r="B611" s="117"/>
      <c r="C611" s="117"/>
      <c r="D611" s="229"/>
      <c r="E611" s="117"/>
      <c r="F611" s="229"/>
      <c r="G611" s="116"/>
      <c r="H611" s="148"/>
      <c r="I611" s="149"/>
      <c r="J611" s="150"/>
      <c r="K611" s="117"/>
      <c r="L611" s="117"/>
      <c r="M611" s="117"/>
    </row>
    <row r="612">
      <c r="A612" s="116"/>
      <c r="B612" s="117"/>
      <c r="C612" s="117"/>
      <c r="D612" s="229"/>
      <c r="E612" s="117"/>
      <c r="F612" s="229"/>
      <c r="G612" s="116"/>
      <c r="H612" s="148"/>
      <c r="I612" s="149"/>
      <c r="J612" s="150"/>
      <c r="K612" s="117"/>
      <c r="L612" s="117"/>
      <c r="M612" s="117"/>
    </row>
    <row r="613">
      <c r="A613" s="116"/>
      <c r="B613" s="117"/>
      <c r="C613" s="117"/>
      <c r="D613" s="229"/>
      <c r="E613" s="117"/>
      <c r="F613" s="229"/>
      <c r="G613" s="116"/>
      <c r="H613" s="148"/>
      <c r="I613" s="149"/>
      <c r="J613" s="150"/>
      <c r="K613" s="117"/>
      <c r="L613" s="117"/>
      <c r="M613" s="117"/>
    </row>
    <row r="614">
      <c r="A614" s="116"/>
      <c r="B614" s="117"/>
      <c r="C614" s="117"/>
      <c r="D614" s="229"/>
      <c r="E614" s="117"/>
      <c r="F614" s="229"/>
      <c r="G614" s="116"/>
      <c r="H614" s="148"/>
      <c r="I614" s="149"/>
      <c r="J614" s="150"/>
      <c r="K614" s="117"/>
      <c r="L614" s="117"/>
      <c r="M614" s="117"/>
    </row>
    <row r="615">
      <c r="A615" s="116"/>
      <c r="B615" s="117"/>
      <c r="C615" s="117"/>
      <c r="D615" s="229"/>
      <c r="E615" s="117"/>
      <c r="F615" s="229"/>
      <c r="G615" s="116"/>
      <c r="H615" s="148"/>
      <c r="I615" s="149"/>
      <c r="J615" s="150"/>
      <c r="K615" s="117"/>
      <c r="L615" s="117"/>
      <c r="M615" s="117"/>
    </row>
    <row r="616">
      <c r="A616" s="116"/>
      <c r="B616" s="117"/>
      <c r="C616" s="117"/>
      <c r="D616" s="229"/>
      <c r="E616" s="117"/>
      <c r="F616" s="229"/>
      <c r="G616" s="116"/>
      <c r="H616" s="148"/>
      <c r="I616" s="149"/>
      <c r="J616" s="150"/>
      <c r="K616" s="117"/>
      <c r="L616" s="117"/>
      <c r="M616" s="117"/>
    </row>
    <row r="617">
      <c r="A617" s="116"/>
      <c r="B617" s="117"/>
      <c r="C617" s="117"/>
      <c r="D617" s="229"/>
      <c r="E617" s="117"/>
      <c r="F617" s="229"/>
      <c r="G617" s="116"/>
      <c r="H617" s="148"/>
      <c r="I617" s="149"/>
      <c r="J617" s="150"/>
      <c r="K617" s="117"/>
      <c r="L617" s="117"/>
      <c r="M617" s="117"/>
    </row>
    <row r="618">
      <c r="A618" s="116"/>
      <c r="B618" s="117"/>
      <c r="C618" s="117"/>
      <c r="D618" s="229"/>
      <c r="E618" s="117"/>
      <c r="F618" s="229"/>
      <c r="G618" s="116"/>
      <c r="H618" s="148"/>
      <c r="I618" s="149"/>
      <c r="J618" s="150"/>
      <c r="K618" s="117"/>
      <c r="L618" s="117"/>
      <c r="M618" s="117"/>
    </row>
    <row r="619">
      <c r="A619" s="116"/>
      <c r="B619" s="117"/>
      <c r="C619" s="117"/>
      <c r="D619" s="229"/>
      <c r="E619" s="117"/>
      <c r="F619" s="229"/>
      <c r="G619" s="116"/>
      <c r="H619" s="148"/>
      <c r="I619" s="149"/>
      <c r="J619" s="150"/>
      <c r="K619" s="117"/>
      <c r="L619" s="117"/>
      <c r="M619" s="117"/>
    </row>
    <row r="620">
      <c r="A620" s="116"/>
      <c r="B620" s="117"/>
      <c r="C620" s="117"/>
      <c r="D620" s="229"/>
      <c r="E620" s="117"/>
      <c r="F620" s="229"/>
      <c r="G620" s="116"/>
      <c r="H620" s="148"/>
      <c r="I620" s="149"/>
      <c r="J620" s="150"/>
      <c r="K620" s="117"/>
      <c r="L620" s="117"/>
      <c r="M620" s="117"/>
    </row>
    <row r="621">
      <c r="A621" s="116"/>
      <c r="B621" s="117"/>
      <c r="C621" s="117"/>
      <c r="D621" s="229"/>
      <c r="E621" s="117"/>
      <c r="F621" s="229"/>
      <c r="G621" s="116"/>
      <c r="H621" s="148"/>
      <c r="I621" s="149"/>
      <c r="J621" s="150"/>
      <c r="K621" s="117"/>
      <c r="L621" s="117"/>
      <c r="M621" s="117"/>
    </row>
    <row r="622">
      <c r="A622" s="116"/>
      <c r="B622" s="117"/>
      <c r="C622" s="117"/>
      <c r="D622" s="229"/>
      <c r="E622" s="117"/>
      <c r="F622" s="229"/>
      <c r="G622" s="116"/>
      <c r="H622" s="148"/>
      <c r="I622" s="149"/>
      <c r="J622" s="150"/>
      <c r="K622" s="117"/>
      <c r="L622" s="117"/>
      <c r="M622" s="117"/>
    </row>
    <row r="623">
      <c r="A623" s="116"/>
      <c r="B623" s="117"/>
      <c r="C623" s="117"/>
      <c r="D623" s="229"/>
      <c r="E623" s="117"/>
      <c r="F623" s="229"/>
      <c r="G623" s="116"/>
      <c r="H623" s="148"/>
      <c r="I623" s="149"/>
      <c r="J623" s="150"/>
      <c r="K623" s="117"/>
      <c r="L623" s="117"/>
      <c r="M623" s="117"/>
    </row>
    <row r="624">
      <c r="A624" s="116"/>
      <c r="B624" s="117"/>
      <c r="C624" s="117"/>
      <c r="D624" s="229"/>
      <c r="E624" s="117"/>
      <c r="F624" s="229"/>
      <c r="G624" s="116"/>
      <c r="H624" s="148"/>
      <c r="I624" s="149"/>
      <c r="J624" s="150"/>
      <c r="K624" s="117"/>
      <c r="L624" s="117"/>
      <c r="M624" s="117"/>
    </row>
    <row r="625">
      <c r="A625" s="116"/>
      <c r="B625" s="117"/>
      <c r="C625" s="117"/>
      <c r="D625" s="229"/>
      <c r="E625" s="117"/>
      <c r="F625" s="229"/>
      <c r="G625" s="116"/>
      <c r="H625" s="148"/>
      <c r="I625" s="149"/>
      <c r="J625" s="150"/>
      <c r="K625" s="117"/>
      <c r="L625" s="117"/>
      <c r="M625" s="117"/>
    </row>
    <row r="626">
      <c r="A626" s="116"/>
      <c r="B626" s="117"/>
      <c r="C626" s="117"/>
      <c r="D626" s="229"/>
      <c r="E626" s="117"/>
      <c r="F626" s="229"/>
      <c r="G626" s="116"/>
      <c r="H626" s="148"/>
      <c r="I626" s="149"/>
      <c r="J626" s="150"/>
      <c r="K626" s="117"/>
      <c r="L626" s="117"/>
      <c r="M626" s="117"/>
    </row>
    <row r="627">
      <c r="A627" s="116"/>
      <c r="B627" s="117"/>
      <c r="C627" s="117"/>
      <c r="D627" s="229"/>
      <c r="E627" s="117"/>
      <c r="F627" s="229"/>
      <c r="G627" s="116"/>
      <c r="H627" s="148"/>
      <c r="I627" s="149"/>
      <c r="J627" s="150"/>
      <c r="K627" s="117"/>
      <c r="L627" s="117"/>
      <c r="M627" s="117"/>
    </row>
    <row r="628">
      <c r="A628" s="116"/>
      <c r="B628" s="117"/>
      <c r="C628" s="117"/>
      <c r="D628" s="229"/>
      <c r="E628" s="117"/>
      <c r="F628" s="229"/>
      <c r="G628" s="116"/>
      <c r="H628" s="148"/>
      <c r="I628" s="149"/>
      <c r="J628" s="150"/>
      <c r="K628" s="117"/>
      <c r="L628" s="117"/>
      <c r="M628" s="117"/>
    </row>
    <row r="629">
      <c r="A629" s="116"/>
      <c r="B629" s="117"/>
      <c r="C629" s="117"/>
      <c r="D629" s="229"/>
      <c r="E629" s="117"/>
      <c r="F629" s="229"/>
      <c r="G629" s="116"/>
      <c r="H629" s="148"/>
      <c r="I629" s="149"/>
      <c r="J629" s="150"/>
      <c r="K629" s="117"/>
      <c r="L629" s="117"/>
      <c r="M629" s="117"/>
    </row>
    <row r="630">
      <c r="A630" s="116"/>
      <c r="B630" s="117"/>
      <c r="C630" s="117"/>
      <c r="D630" s="229"/>
      <c r="E630" s="117"/>
      <c r="F630" s="229"/>
      <c r="G630" s="116"/>
      <c r="H630" s="148"/>
      <c r="I630" s="149"/>
      <c r="J630" s="150"/>
      <c r="K630" s="117"/>
      <c r="L630" s="117"/>
      <c r="M630" s="117"/>
    </row>
    <row r="631">
      <c r="A631" s="116"/>
      <c r="B631" s="117"/>
      <c r="C631" s="117"/>
      <c r="D631" s="229"/>
      <c r="E631" s="117"/>
      <c r="F631" s="229"/>
      <c r="G631" s="116"/>
      <c r="H631" s="148"/>
      <c r="I631" s="149"/>
      <c r="J631" s="150"/>
      <c r="K631" s="117"/>
      <c r="L631" s="117"/>
      <c r="M631" s="117"/>
    </row>
    <row r="632">
      <c r="A632" s="116"/>
      <c r="B632" s="117"/>
      <c r="C632" s="117"/>
      <c r="D632" s="229"/>
      <c r="E632" s="117"/>
      <c r="F632" s="229"/>
      <c r="G632" s="116"/>
      <c r="H632" s="148"/>
      <c r="I632" s="149"/>
      <c r="J632" s="150"/>
      <c r="K632" s="117"/>
      <c r="L632" s="117"/>
      <c r="M632" s="117"/>
    </row>
    <row r="633">
      <c r="A633" s="116"/>
      <c r="B633" s="117"/>
      <c r="C633" s="117"/>
      <c r="D633" s="229"/>
      <c r="E633" s="117"/>
      <c r="F633" s="229"/>
      <c r="G633" s="116"/>
      <c r="H633" s="148"/>
      <c r="I633" s="149"/>
      <c r="J633" s="150"/>
      <c r="K633" s="117"/>
      <c r="L633" s="117"/>
      <c r="M633" s="117"/>
    </row>
    <row r="634">
      <c r="A634" s="116"/>
      <c r="B634" s="117"/>
      <c r="C634" s="117"/>
      <c r="D634" s="229"/>
      <c r="E634" s="117"/>
      <c r="F634" s="229"/>
      <c r="G634" s="116"/>
      <c r="H634" s="148"/>
      <c r="I634" s="149"/>
      <c r="J634" s="150"/>
      <c r="K634" s="117"/>
      <c r="L634" s="117"/>
      <c r="M634" s="117"/>
    </row>
    <row r="635">
      <c r="A635" s="116"/>
      <c r="B635" s="117"/>
      <c r="C635" s="117"/>
      <c r="D635" s="229"/>
      <c r="E635" s="117"/>
      <c r="F635" s="229"/>
      <c r="G635" s="116"/>
      <c r="H635" s="148"/>
      <c r="I635" s="149"/>
      <c r="J635" s="150"/>
      <c r="K635" s="117"/>
      <c r="L635" s="117"/>
      <c r="M635" s="117"/>
    </row>
    <row r="636">
      <c r="A636" s="116"/>
      <c r="B636" s="117"/>
      <c r="C636" s="117"/>
      <c r="D636" s="229"/>
      <c r="E636" s="117"/>
      <c r="F636" s="229"/>
      <c r="G636" s="116"/>
      <c r="H636" s="148"/>
      <c r="I636" s="149"/>
      <c r="J636" s="150"/>
      <c r="K636" s="117"/>
      <c r="L636" s="117"/>
      <c r="M636" s="117"/>
    </row>
    <row r="637">
      <c r="A637" s="116"/>
      <c r="B637" s="117"/>
      <c r="C637" s="117"/>
      <c r="D637" s="229"/>
      <c r="E637" s="117"/>
      <c r="F637" s="229"/>
      <c r="G637" s="116"/>
      <c r="H637" s="148"/>
      <c r="I637" s="149"/>
      <c r="J637" s="150"/>
      <c r="K637" s="117"/>
      <c r="L637" s="117"/>
      <c r="M637" s="117"/>
    </row>
    <row r="638">
      <c r="A638" s="116"/>
      <c r="B638" s="117"/>
      <c r="C638" s="117"/>
      <c r="D638" s="229"/>
      <c r="E638" s="117"/>
      <c r="F638" s="229"/>
      <c r="G638" s="116"/>
      <c r="H638" s="148"/>
      <c r="I638" s="149"/>
      <c r="J638" s="150"/>
      <c r="K638" s="117"/>
      <c r="L638" s="117"/>
      <c r="M638" s="117"/>
    </row>
    <row r="639">
      <c r="A639" s="116"/>
      <c r="B639" s="117"/>
      <c r="C639" s="117"/>
      <c r="D639" s="229"/>
      <c r="E639" s="117"/>
      <c r="F639" s="229"/>
      <c r="G639" s="116"/>
      <c r="H639" s="148"/>
      <c r="I639" s="149"/>
      <c r="J639" s="150"/>
      <c r="K639" s="117"/>
      <c r="L639" s="117"/>
      <c r="M639" s="117"/>
    </row>
    <row r="640">
      <c r="A640" s="116"/>
      <c r="B640" s="117"/>
      <c r="C640" s="117"/>
      <c r="D640" s="229"/>
      <c r="E640" s="117"/>
      <c r="F640" s="229"/>
      <c r="G640" s="116"/>
      <c r="H640" s="148"/>
      <c r="I640" s="149"/>
      <c r="J640" s="150"/>
      <c r="K640" s="117"/>
      <c r="L640" s="117"/>
      <c r="M640" s="117"/>
    </row>
    <row r="641">
      <c r="A641" s="116"/>
      <c r="B641" s="117"/>
      <c r="C641" s="117"/>
      <c r="D641" s="229"/>
      <c r="E641" s="117"/>
      <c r="F641" s="229"/>
      <c r="G641" s="116"/>
      <c r="H641" s="148"/>
      <c r="I641" s="149"/>
      <c r="J641" s="150"/>
      <c r="K641" s="117"/>
      <c r="L641" s="117"/>
      <c r="M641" s="117"/>
    </row>
    <row r="642">
      <c r="A642" s="116"/>
      <c r="B642" s="117"/>
      <c r="C642" s="117"/>
      <c r="D642" s="229"/>
      <c r="E642" s="117"/>
      <c r="F642" s="229"/>
      <c r="G642" s="116"/>
      <c r="H642" s="148"/>
      <c r="I642" s="149"/>
      <c r="J642" s="150"/>
      <c r="K642" s="117"/>
      <c r="L642" s="117"/>
      <c r="M642" s="117"/>
    </row>
    <row r="643">
      <c r="A643" s="116"/>
      <c r="B643" s="117"/>
      <c r="C643" s="117"/>
      <c r="D643" s="229"/>
      <c r="E643" s="117"/>
      <c r="F643" s="229"/>
      <c r="G643" s="116"/>
      <c r="H643" s="148"/>
      <c r="I643" s="149"/>
      <c r="J643" s="150"/>
      <c r="K643" s="117"/>
      <c r="L643" s="117"/>
      <c r="M643" s="117"/>
    </row>
    <row r="644">
      <c r="A644" s="116"/>
      <c r="B644" s="117"/>
      <c r="C644" s="117"/>
      <c r="D644" s="229"/>
      <c r="E644" s="117"/>
      <c r="F644" s="229"/>
      <c r="G644" s="116"/>
      <c r="H644" s="148"/>
      <c r="I644" s="149"/>
      <c r="J644" s="150"/>
      <c r="K644" s="117"/>
      <c r="L644" s="117"/>
      <c r="M644" s="117"/>
    </row>
    <row r="645">
      <c r="A645" s="116"/>
      <c r="B645" s="117"/>
      <c r="C645" s="117"/>
      <c r="D645" s="229"/>
      <c r="E645" s="117"/>
      <c r="F645" s="229"/>
      <c r="G645" s="116"/>
      <c r="H645" s="148"/>
      <c r="I645" s="149"/>
      <c r="J645" s="150"/>
      <c r="K645" s="117"/>
      <c r="L645" s="117"/>
      <c r="M645" s="117"/>
    </row>
    <row r="646">
      <c r="A646" s="116"/>
      <c r="B646" s="117"/>
      <c r="C646" s="117"/>
      <c r="D646" s="229"/>
      <c r="E646" s="117"/>
      <c r="F646" s="229"/>
      <c r="G646" s="116"/>
      <c r="H646" s="148"/>
      <c r="I646" s="149"/>
      <c r="J646" s="150"/>
      <c r="K646" s="117"/>
      <c r="L646" s="117"/>
      <c r="M646" s="117"/>
    </row>
    <row r="647">
      <c r="A647" s="116"/>
      <c r="B647" s="117"/>
      <c r="C647" s="117"/>
      <c r="D647" s="229"/>
      <c r="E647" s="117"/>
      <c r="F647" s="229"/>
      <c r="G647" s="116"/>
      <c r="H647" s="148"/>
      <c r="I647" s="149"/>
      <c r="J647" s="150"/>
      <c r="K647" s="117"/>
      <c r="L647" s="117"/>
      <c r="M647" s="117"/>
    </row>
    <row r="648">
      <c r="A648" s="116"/>
      <c r="B648" s="117"/>
      <c r="C648" s="117"/>
      <c r="D648" s="229"/>
      <c r="E648" s="117"/>
      <c r="F648" s="229"/>
      <c r="G648" s="116"/>
      <c r="H648" s="148"/>
      <c r="I648" s="149"/>
      <c r="J648" s="150"/>
      <c r="K648" s="117"/>
      <c r="L648" s="117"/>
      <c r="M648" s="117"/>
    </row>
    <row r="649">
      <c r="A649" s="116"/>
      <c r="B649" s="117"/>
      <c r="C649" s="117"/>
      <c r="D649" s="229"/>
      <c r="E649" s="117"/>
      <c r="F649" s="229"/>
      <c r="G649" s="116"/>
      <c r="H649" s="148"/>
      <c r="I649" s="149"/>
      <c r="J649" s="150"/>
      <c r="K649" s="117"/>
      <c r="L649" s="117"/>
      <c r="M649" s="117"/>
    </row>
    <row r="650">
      <c r="A650" s="116"/>
      <c r="B650" s="117"/>
      <c r="C650" s="117"/>
      <c r="D650" s="229"/>
      <c r="E650" s="117"/>
      <c r="F650" s="229"/>
      <c r="G650" s="116"/>
      <c r="H650" s="148"/>
      <c r="I650" s="149"/>
      <c r="J650" s="150"/>
      <c r="K650" s="117"/>
      <c r="L650" s="117"/>
      <c r="M650" s="117"/>
    </row>
    <row r="651">
      <c r="A651" s="116"/>
      <c r="B651" s="117"/>
      <c r="C651" s="117"/>
      <c r="D651" s="229"/>
      <c r="E651" s="117"/>
      <c r="F651" s="229"/>
      <c r="G651" s="116"/>
      <c r="H651" s="148"/>
      <c r="I651" s="149"/>
      <c r="J651" s="150"/>
      <c r="K651" s="117"/>
      <c r="L651" s="117"/>
      <c r="M651" s="117"/>
    </row>
    <row r="652">
      <c r="A652" s="116"/>
      <c r="B652" s="117"/>
      <c r="C652" s="117"/>
      <c r="D652" s="229"/>
      <c r="E652" s="117"/>
      <c r="F652" s="229"/>
      <c r="G652" s="116"/>
      <c r="H652" s="148"/>
      <c r="I652" s="149"/>
      <c r="J652" s="150"/>
      <c r="K652" s="117"/>
      <c r="L652" s="117"/>
      <c r="M652" s="117"/>
    </row>
    <row r="653">
      <c r="A653" s="116"/>
      <c r="B653" s="117"/>
      <c r="C653" s="117"/>
      <c r="D653" s="229"/>
      <c r="E653" s="117"/>
      <c r="F653" s="229"/>
      <c r="G653" s="116"/>
      <c r="H653" s="148"/>
      <c r="I653" s="149"/>
      <c r="J653" s="150"/>
      <c r="K653" s="117"/>
      <c r="L653" s="117"/>
      <c r="M653" s="117"/>
    </row>
    <row r="654">
      <c r="A654" s="116"/>
      <c r="B654" s="117"/>
      <c r="C654" s="117"/>
      <c r="D654" s="229"/>
      <c r="E654" s="117"/>
      <c r="F654" s="229"/>
      <c r="G654" s="116"/>
      <c r="H654" s="148"/>
      <c r="I654" s="149"/>
      <c r="J654" s="150"/>
      <c r="K654" s="117"/>
      <c r="L654" s="117"/>
      <c r="M654" s="117"/>
    </row>
    <row r="655">
      <c r="A655" s="116"/>
      <c r="B655" s="117"/>
      <c r="C655" s="117"/>
      <c r="D655" s="229"/>
      <c r="E655" s="117"/>
      <c r="F655" s="229"/>
      <c r="G655" s="116"/>
      <c r="H655" s="148"/>
      <c r="I655" s="149"/>
      <c r="J655" s="150"/>
      <c r="K655" s="117"/>
      <c r="L655" s="117"/>
      <c r="M655" s="117"/>
    </row>
    <row r="656">
      <c r="A656" s="116"/>
      <c r="B656" s="117"/>
      <c r="C656" s="117"/>
      <c r="D656" s="229"/>
      <c r="E656" s="117"/>
      <c r="F656" s="229"/>
      <c r="G656" s="116"/>
      <c r="H656" s="148"/>
      <c r="I656" s="149"/>
      <c r="J656" s="150"/>
      <c r="K656" s="117"/>
      <c r="L656" s="117"/>
      <c r="M656" s="117"/>
    </row>
    <row r="657">
      <c r="A657" s="116"/>
      <c r="B657" s="117"/>
      <c r="C657" s="117"/>
      <c r="D657" s="229"/>
      <c r="E657" s="117"/>
      <c r="F657" s="229"/>
      <c r="G657" s="116"/>
      <c r="H657" s="148"/>
      <c r="I657" s="149"/>
      <c r="J657" s="150"/>
      <c r="K657" s="117"/>
      <c r="L657" s="117"/>
      <c r="M657" s="117"/>
    </row>
    <row r="658">
      <c r="A658" s="116"/>
      <c r="B658" s="117"/>
      <c r="C658" s="117"/>
      <c r="D658" s="229"/>
      <c r="E658" s="117"/>
      <c r="F658" s="229"/>
      <c r="G658" s="116"/>
      <c r="H658" s="148"/>
      <c r="I658" s="149"/>
      <c r="J658" s="150"/>
      <c r="K658" s="117"/>
      <c r="L658" s="117"/>
      <c r="M658" s="117"/>
    </row>
    <row r="659">
      <c r="A659" s="116"/>
      <c r="B659" s="117"/>
      <c r="C659" s="117"/>
      <c r="D659" s="229"/>
      <c r="E659" s="117"/>
      <c r="F659" s="229"/>
      <c r="G659" s="116"/>
      <c r="H659" s="148"/>
      <c r="I659" s="149"/>
      <c r="J659" s="150"/>
      <c r="K659" s="117"/>
      <c r="L659" s="117"/>
      <c r="M659" s="117"/>
    </row>
    <row r="660">
      <c r="A660" s="116"/>
      <c r="B660" s="117"/>
      <c r="C660" s="117"/>
      <c r="D660" s="229"/>
      <c r="E660" s="117"/>
      <c r="F660" s="229"/>
      <c r="G660" s="116"/>
      <c r="H660" s="148"/>
      <c r="I660" s="149"/>
      <c r="J660" s="150"/>
      <c r="K660" s="117"/>
      <c r="L660" s="117"/>
      <c r="M660" s="117"/>
    </row>
    <row r="661">
      <c r="A661" s="116"/>
      <c r="B661" s="117"/>
      <c r="C661" s="117"/>
      <c r="D661" s="229"/>
      <c r="E661" s="117"/>
      <c r="F661" s="229"/>
      <c r="G661" s="116"/>
      <c r="H661" s="148"/>
      <c r="I661" s="149"/>
      <c r="J661" s="150"/>
      <c r="K661" s="117"/>
      <c r="L661" s="117"/>
      <c r="M661" s="117"/>
    </row>
    <row r="662">
      <c r="A662" s="116"/>
      <c r="B662" s="117"/>
      <c r="C662" s="117"/>
      <c r="D662" s="229"/>
      <c r="E662" s="117"/>
      <c r="F662" s="229"/>
      <c r="G662" s="116"/>
      <c r="H662" s="148"/>
      <c r="I662" s="149"/>
      <c r="J662" s="150"/>
      <c r="K662" s="117"/>
      <c r="L662" s="117"/>
      <c r="M662" s="117"/>
    </row>
    <row r="663">
      <c r="A663" s="116"/>
      <c r="B663" s="117"/>
      <c r="C663" s="117"/>
      <c r="D663" s="229"/>
      <c r="E663" s="117"/>
      <c r="F663" s="229"/>
      <c r="G663" s="116"/>
      <c r="H663" s="148"/>
      <c r="I663" s="149"/>
      <c r="J663" s="150"/>
      <c r="K663" s="117"/>
      <c r="L663" s="117"/>
      <c r="M663" s="117"/>
    </row>
    <row r="664">
      <c r="A664" s="116"/>
      <c r="B664" s="117"/>
      <c r="C664" s="117"/>
      <c r="D664" s="229"/>
      <c r="E664" s="117"/>
      <c r="F664" s="229"/>
      <c r="G664" s="116"/>
      <c r="H664" s="148"/>
      <c r="I664" s="149"/>
      <c r="J664" s="150"/>
      <c r="K664" s="117"/>
      <c r="L664" s="117"/>
      <c r="M664" s="117"/>
    </row>
    <row r="665">
      <c r="A665" s="116"/>
      <c r="B665" s="117"/>
      <c r="C665" s="117"/>
      <c r="D665" s="229"/>
      <c r="E665" s="117"/>
      <c r="F665" s="229"/>
      <c r="G665" s="116"/>
      <c r="H665" s="148"/>
      <c r="I665" s="149"/>
      <c r="J665" s="150"/>
      <c r="K665" s="117"/>
      <c r="L665" s="117"/>
      <c r="M665" s="117"/>
    </row>
    <row r="666">
      <c r="A666" s="116"/>
      <c r="B666" s="117"/>
      <c r="C666" s="117"/>
      <c r="D666" s="229"/>
      <c r="E666" s="117"/>
      <c r="F666" s="229"/>
      <c r="G666" s="116"/>
      <c r="H666" s="148"/>
      <c r="I666" s="149"/>
      <c r="J666" s="150"/>
      <c r="K666" s="117"/>
      <c r="L666" s="117"/>
      <c r="M666" s="117"/>
    </row>
    <row r="667">
      <c r="A667" s="116"/>
      <c r="B667" s="117"/>
      <c r="C667" s="117"/>
      <c r="D667" s="229"/>
      <c r="E667" s="117"/>
      <c r="F667" s="229"/>
      <c r="G667" s="116"/>
      <c r="H667" s="148"/>
      <c r="I667" s="149"/>
      <c r="J667" s="150"/>
      <c r="K667" s="117"/>
      <c r="L667" s="117"/>
      <c r="M667" s="117"/>
    </row>
    <row r="668">
      <c r="A668" s="116"/>
      <c r="B668" s="117"/>
      <c r="C668" s="117"/>
      <c r="D668" s="229"/>
      <c r="E668" s="117"/>
      <c r="F668" s="229"/>
      <c r="G668" s="116"/>
      <c r="H668" s="148"/>
      <c r="I668" s="149"/>
      <c r="J668" s="150"/>
      <c r="K668" s="117"/>
      <c r="L668" s="117"/>
      <c r="M668" s="117"/>
    </row>
    <row r="669">
      <c r="A669" s="116"/>
      <c r="B669" s="117"/>
      <c r="C669" s="117"/>
      <c r="D669" s="229"/>
      <c r="E669" s="117"/>
      <c r="F669" s="229"/>
      <c r="G669" s="116"/>
      <c r="H669" s="148"/>
      <c r="I669" s="149"/>
      <c r="J669" s="150"/>
      <c r="K669" s="117"/>
      <c r="L669" s="117"/>
      <c r="M669" s="117"/>
    </row>
    <row r="670">
      <c r="A670" s="116"/>
      <c r="B670" s="117"/>
      <c r="C670" s="117"/>
      <c r="D670" s="229"/>
      <c r="E670" s="117"/>
      <c r="F670" s="229"/>
      <c r="G670" s="116"/>
      <c r="H670" s="148"/>
      <c r="I670" s="149"/>
      <c r="J670" s="150"/>
      <c r="K670" s="117"/>
      <c r="L670" s="117"/>
      <c r="M670" s="117"/>
    </row>
    <row r="671">
      <c r="A671" s="116"/>
      <c r="B671" s="117"/>
      <c r="C671" s="117"/>
      <c r="D671" s="229"/>
      <c r="E671" s="117"/>
      <c r="F671" s="229"/>
      <c r="G671" s="116"/>
      <c r="H671" s="148"/>
      <c r="I671" s="149"/>
      <c r="J671" s="150"/>
      <c r="K671" s="117"/>
      <c r="L671" s="117"/>
      <c r="M671" s="117"/>
    </row>
    <row r="672">
      <c r="A672" s="116"/>
      <c r="B672" s="117"/>
      <c r="C672" s="117"/>
      <c r="D672" s="229"/>
      <c r="E672" s="117"/>
      <c r="F672" s="229"/>
      <c r="G672" s="116"/>
      <c r="H672" s="148"/>
      <c r="I672" s="149"/>
      <c r="J672" s="150"/>
      <c r="K672" s="117"/>
      <c r="L672" s="117"/>
      <c r="M672" s="117"/>
    </row>
    <row r="673">
      <c r="A673" s="116"/>
      <c r="B673" s="117"/>
      <c r="C673" s="117"/>
      <c r="D673" s="229"/>
      <c r="E673" s="117"/>
      <c r="F673" s="229"/>
      <c r="G673" s="116"/>
      <c r="H673" s="148"/>
      <c r="I673" s="149"/>
      <c r="J673" s="150"/>
      <c r="K673" s="117"/>
      <c r="L673" s="117"/>
      <c r="M673" s="117"/>
    </row>
    <row r="674">
      <c r="A674" s="116"/>
      <c r="B674" s="117"/>
      <c r="C674" s="117"/>
      <c r="D674" s="229"/>
      <c r="E674" s="117"/>
      <c r="F674" s="229"/>
      <c r="G674" s="116"/>
      <c r="H674" s="148"/>
      <c r="I674" s="149"/>
      <c r="J674" s="150"/>
      <c r="K674" s="117"/>
      <c r="L674" s="117"/>
      <c r="M674" s="117"/>
    </row>
    <row r="675">
      <c r="A675" s="116"/>
      <c r="B675" s="117"/>
      <c r="C675" s="117"/>
      <c r="D675" s="229"/>
      <c r="E675" s="117"/>
      <c r="F675" s="229"/>
      <c r="G675" s="116"/>
      <c r="H675" s="148"/>
      <c r="I675" s="149"/>
      <c r="J675" s="150"/>
      <c r="K675" s="117"/>
      <c r="L675" s="117"/>
      <c r="M675" s="117"/>
    </row>
    <row r="676">
      <c r="A676" s="116"/>
      <c r="B676" s="117"/>
      <c r="C676" s="117"/>
      <c r="D676" s="229"/>
      <c r="E676" s="117"/>
      <c r="F676" s="229"/>
      <c r="G676" s="116"/>
      <c r="H676" s="148"/>
      <c r="I676" s="149"/>
      <c r="J676" s="150"/>
      <c r="K676" s="117"/>
      <c r="L676" s="117"/>
      <c r="M676" s="117"/>
    </row>
    <row r="677">
      <c r="A677" s="116"/>
      <c r="B677" s="117"/>
      <c r="C677" s="117"/>
      <c r="D677" s="229"/>
      <c r="E677" s="117"/>
      <c r="F677" s="229"/>
      <c r="G677" s="116"/>
      <c r="H677" s="148"/>
      <c r="I677" s="149"/>
      <c r="J677" s="150"/>
      <c r="K677" s="117"/>
      <c r="L677" s="117"/>
      <c r="M677" s="117"/>
    </row>
    <row r="678">
      <c r="A678" s="116"/>
      <c r="B678" s="117"/>
      <c r="C678" s="117"/>
      <c r="D678" s="229"/>
      <c r="E678" s="117"/>
      <c r="F678" s="229"/>
      <c r="G678" s="116"/>
      <c r="H678" s="148"/>
      <c r="I678" s="149"/>
      <c r="J678" s="150"/>
      <c r="K678" s="117"/>
      <c r="L678" s="117"/>
      <c r="M678" s="117"/>
    </row>
    <row r="679">
      <c r="A679" s="116"/>
      <c r="B679" s="117"/>
      <c r="C679" s="117"/>
      <c r="D679" s="229"/>
      <c r="E679" s="117"/>
      <c r="F679" s="229"/>
      <c r="G679" s="116"/>
      <c r="H679" s="148"/>
      <c r="I679" s="149"/>
      <c r="J679" s="150"/>
      <c r="K679" s="117"/>
      <c r="L679" s="117"/>
      <c r="M679" s="117"/>
    </row>
    <row r="680">
      <c r="A680" s="116"/>
      <c r="B680" s="117"/>
      <c r="C680" s="117"/>
      <c r="D680" s="229"/>
      <c r="E680" s="117"/>
      <c r="F680" s="229"/>
      <c r="G680" s="116"/>
      <c r="H680" s="148"/>
      <c r="I680" s="149"/>
      <c r="J680" s="150"/>
      <c r="K680" s="117"/>
      <c r="L680" s="117"/>
      <c r="M680" s="117"/>
    </row>
    <row r="681">
      <c r="A681" s="116"/>
      <c r="B681" s="117"/>
      <c r="C681" s="117"/>
      <c r="D681" s="229"/>
      <c r="E681" s="117"/>
      <c r="F681" s="229"/>
      <c r="G681" s="116"/>
      <c r="H681" s="148"/>
      <c r="I681" s="149"/>
      <c r="J681" s="150"/>
      <c r="K681" s="117"/>
      <c r="L681" s="117"/>
      <c r="M681" s="117"/>
    </row>
    <row r="682">
      <c r="A682" s="116"/>
      <c r="B682" s="117"/>
      <c r="C682" s="117"/>
      <c r="D682" s="229"/>
      <c r="E682" s="117"/>
      <c r="F682" s="229"/>
      <c r="G682" s="116"/>
      <c r="H682" s="148"/>
      <c r="I682" s="149"/>
      <c r="J682" s="150"/>
      <c r="K682" s="117"/>
      <c r="L682" s="117"/>
      <c r="M682" s="117"/>
    </row>
    <row r="683">
      <c r="A683" s="116"/>
      <c r="B683" s="117"/>
      <c r="C683" s="117"/>
      <c r="D683" s="229"/>
      <c r="E683" s="117"/>
      <c r="F683" s="229"/>
      <c r="G683" s="116"/>
      <c r="H683" s="148"/>
      <c r="I683" s="149"/>
      <c r="J683" s="150"/>
      <c r="K683" s="117"/>
      <c r="L683" s="117"/>
      <c r="M683" s="117"/>
    </row>
    <row r="684">
      <c r="A684" s="116"/>
      <c r="B684" s="117"/>
      <c r="C684" s="117"/>
      <c r="D684" s="229"/>
      <c r="E684" s="117"/>
      <c r="F684" s="229"/>
      <c r="G684" s="116"/>
      <c r="H684" s="148"/>
      <c r="I684" s="149"/>
      <c r="J684" s="150"/>
      <c r="K684" s="117"/>
      <c r="L684" s="117"/>
      <c r="M684" s="117"/>
    </row>
    <row r="685">
      <c r="A685" s="116"/>
      <c r="B685" s="117"/>
      <c r="C685" s="117"/>
      <c r="D685" s="229"/>
      <c r="E685" s="117"/>
      <c r="F685" s="229"/>
      <c r="G685" s="116"/>
      <c r="H685" s="148"/>
      <c r="I685" s="149"/>
      <c r="J685" s="150"/>
      <c r="K685" s="117"/>
      <c r="L685" s="117"/>
      <c r="M685" s="117"/>
    </row>
    <row r="686">
      <c r="A686" s="116"/>
      <c r="B686" s="117"/>
      <c r="C686" s="117"/>
      <c r="D686" s="229"/>
      <c r="E686" s="117"/>
      <c r="F686" s="229"/>
      <c r="G686" s="116"/>
      <c r="H686" s="148"/>
      <c r="I686" s="149"/>
      <c r="J686" s="150"/>
      <c r="K686" s="117"/>
      <c r="L686" s="117"/>
      <c r="M686" s="117"/>
    </row>
    <row r="687">
      <c r="A687" s="116"/>
      <c r="B687" s="117"/>
      <c r="C687" s="117"/>
      <c r="D687" s="229"/>
      <c r="E687" s="117"/>
      <c r="F687" s="229"/>
      <c r="G687" s="116"/>
      <c r="H687" s="148"/>
      <c r="I687" s="149"/>
      <c r="J687" s="150"/>
      <c r="K687" s="117"/>
      <c r="L687" s="117"/>
      <c r="M687" s="117"/>
    </row>
    <row r="688">
      <c r="A688" s="116"/>
      <c r="B688" s="117"/>
      <c r="C688" s="117"/>
      <c r="D688" s="229"/>
      <c r="E688" s="117"/>
      <c r="F688" s="229"/>
      <c r="G688" s="116"/>
      <c r="H688" s="148"/>
      <c r="I688" s="149"/>
      <c r="J688" s="150"/>
      <c r="K688" s="117"/>
      <c r="L688" s="117"/>
      <c r="M688" s="117"/>
    </row>
    <row r="689">
      <c r="A689" s="116"/>
      <c r="B689" s="117"/>
      <c r="C689" s="117"/>
      <c r="D689" s="229"/>
      <c r="E689" s="117"/>
      <c r="F689" s="229"/>
      <c r="G689" s="116"/>
      <c r="H689" s="148"/>
      <c r="I689" s="149"/>
      <c r="J689" s="150"/>
      <c r="K689" s="117"/>
      <c r="L689" s="117"/>
      <c r="M689" s="117"/>
    </row>
    <row r="690">
      <c r="A690" s="116"/>
      <c r="B690" s="117"/>
      <c r="C690" s="117"/>
      <c r="D690" s="229"/>
      <c r="E690" s="117"/>
      <c r="F690" s="229"/>
      <c r="G690" s="116"/>
      <c r="H690" s="148"/>
      <c r="I690" s="149"/>
      <c r="J690" s="150"/>
      <c r="K690" s="117"/>
      <c r="L690" s="117"/>
      <c r="M690" s="117"/>
    </row>
    <row r="691">
      <c r="A691" s="116"/>
      <c r="B691" s="117"/>
      <c r="C691" s="117"/>
      <c r="D691" s="229"/>
      <c r="E691" s="117"/>
      <c r="F691" s="229"/>
      <c r="G691" s="116"/>
      <c r="H691" s="148"/>
      <c r="I691" s="149"/>
      <c r="J691" s="150"/>
      <c r="K691" s="117"/>
      <c r="L691" s="117"/>
      <c r="M691" s="117"/>
    </row>
    <row r="692">
      <c r="A692" s="116"/>
      <c r="B692" s="117"/>
      <c r="C692" s="117"/>
      <c r="D692" s="229"/>
      <c r="E692" s="117"/>
      <c r="F692" s="229"/>
      <c r="G692" s="116"/>
      <c r="H692" s="148"/>
      <c r="I692" s="149"/>
      <c r="J692" s="150"/>
      <c r="K692" s="117"/>
      <c r="L692" s="117"/>
      <c r="M692" s="117"/>
    </row>
    <row r="693">
      <c r="A693" s="116"/>
      <c r="B693" s="117"/>
      <c r="C693" s="117"/>
      <c r="D693" s="229"/>
      <c r="E693" s="117"/>
      <c r="F693" s="229"/>
      <c r="G693" s="116"/>
      <c r="H693" s="148"/>
      <c r="I693" s="149"/>
      <c r="J693" s="150"/>
      <c r="K693" s="117"/>
      <c r="L693" s="117"/>
      <c r="M693" s="117"/>
    </row>
    <row r="694">
      <c r="A694" s="116"/>
      <c r="B694" s="117"/>
      <c r="C694" s="117"/>
      <c r="D694" s="229"/>
      <c r="E694" s="117"/>
      <c r="F694" s="229"/>
      <c r="G694" s="116"/>
      <c r="H694" s="148"/>
      <c r="I694" s="149"/>
      <c r="J694" s="150"/>
      <c r="K694" s="117"/>
      <c r="L694" s="117"/>
      <c r="M694" s="117"/>
    </row>
    <row r="695">
      <c r="A695" s="116"/>
      <c r="B695" s="117"/>
      <c r="C695" s="117"/>
      <c r="D695" s="229"/>
      <c r="E695" s="117"/>
      <c r="F695" s="229"/>
      <c r="G695" s="116"/>
      <c r="H695" s="148"/>
      <c r="I695" s="149"/>
      <c r="J695" s="150"/>
      <c r="K695" s="117"/>
      <c r="L695" s="117"/>
      <c r="M695" s="117"/>
    </row>
    <row r="696">
      <c r="A696" s="116"/>
      <c r="B696" s="117"/>
      <c r="C696" s="117"/>
      <c r="D696" s="229"/>
      <c r="E696" s="117"/>
      <c r="F696" s="229"/>
      <c r="G696" s="116"/>
      <c r="H696" s="148"/>
      <c r="I696" s="149"/>
      <c r="J696" s="150"/>
      <c r="K696" s="117"/>
      <c r="L696" s="117"/>
      <c r="M696" s="117"/>
    </row>
    <row r="697">
      <c r="A697" s="116"/>
      <c r="B697" s="117"/>
      <c r="C697" s="117"/>
      <c r="D697" s="229"/>
      <c r="E697" s="117"/>
      <c r="F697" s="229"/>
      <c r="G697" s="116"/>
      <c r="H697" s="148"/>
      <c r="I697" s="149"/>
      <c r="J697" s="150"/>
      <c r="K697" s="117"/>
      <c r="L697" s="117"/>
      <c r="M697" s="117"/>
    </row>
    <row r="698">
      <c r="A698" s="116"/>
      <c r="B698" s="117"/>
      <c r="C698" s="117"/>
      <c r="D698" s="229"/>
      <c r="E698" s="117"/>
      <c r="F698" s="229"/>
      <c r="G698" s="116"/>
      <c r="H698" s="148"/>
      <c r="I698" s="149"/>
      <c r="J698" s="150"/>
      <c r="K698" s="117"/>
      <c r="L698" s="117"/>
      <c r="M698" s="117"/>
    </row>
    <row r="699">
      <c r="A699" s="116"/>
      <c r="B699" s="117"/>
      <c r="C699" s="117"/>
      <c r="D699" s="229"/>
      <c r="E699" s="117"/>
      <c r="F699" s="229"/>
      <c r="G699" s="116"/>
      <c r="H699" s="148"/>
      <c r="I699" s="149"/>
      <c r="J699" s="150"/>
      <c r="K699" s="117"/>
      <c r="L699" s="117"/>
      <c r="M699" s="117"/>
    </row>
    <row r="700">
      <c r="A700" s="116"/>
      <c r="B700" s="117"/>
      <c r="C700" s="117"/>
      <c r="D700" s="229"/>
      <c r="E700" s="117"/>
      <c r="F700" s="229"/>
      <c r="G700" s="116"/>
      <c r="H700" s="148"/>
      <c r="I700" s="149"/>
      <c r="J700" s="150"/>
      <c r="K700" s="117"/>
      <c r="L700" s="117"/>
      <c r="M700" s="117"/>
    </row>
    <row r="701">
      <c r="A701" s="116"/>
      <c r="B701" s="117"/>
      <c r="C701" s="117"/>
      <c r="D701" s="229"/>
      <c r="E701" s="117"/>
      <c r="F701" s="229"/>
      <c r="G701" s="116"/>
      <c r="H701" s="148"/>
      <c r="I701" s="149"/>
      <c r="J701" s="150"/>
      <c r="K701" s="117"/>
      <c r="L701" s="117"/>
      <c r="M701" s="117"/>
    </row>
    <row r="702">
      <c r="A702" s="116"/>
      <c r="B702" s="117"/>
      <c r="C702" s="117"/>
      <c r="D702" s="229"/>
      <c r="E702" s="117"/>
      <c r="F702" s="229"/>
      <c r="G702" s="116"/>
      <c r="H702" s="148"/>
      <c r="I702" s="149"/>
      <c r="J702" s="150"/>
      <c r="K702" s="117"/>
      <c r="L702" s="117"/>
      <c r="M702" s="117"/>
    </row>
    <row r="703">
      <c r="A703" s="116"/>
      <c r="B703" s="117"/>
      <c r="C703" s="117"/>
      <c r="D703" s="229"/>
      <c r="E703" s="117"/>
      <c r="F703" s="229"/>
      <c r="G703" s="116"/>
      <c r="H703" s="148"/>
      <c r="I703" s="149"/>
      <c r="J703" s="150"/>
      <c r="K703" s="117"/>
      <c r="L703" s="117"/>
      <c r="M703" s="117"/>
    </row>
    <row r="704">
      <c r="A704" s="116"/>
      <c r="B704" s="117"/>
      <c r="C704" s="117"/>
      <c r="D704" s="229"/>
      <c r="E704" s="117"/>
      <c r="F704" s="229"/>
      <c r="G704" s="116"/>
      <c r="H704" s="148"/>
      <c r="I704" s="149"/>
      <c r="J704" s="150"/>
      <c r="K704" s="117"/>
      <c r="L704" s="117"/>
      <c r="M704" s="117"/>
    </row>
    <row r="705">
      <c r="A705" s="116"/>
      <c r="B705" s="117"/>
      <c r="C705" s="117"/>
      <c r="D705" s="229"/>
      <c r="E705" s="117"/>
      <c r="F705" s="229"/>
      <c r="G705" s="116"/>
      <c r="H705" s="148"/>
      <c r="I705" s="149"/>
      <c r="J705" s="150"/>
      <c r="K705" s="117"/>
      <c r="L705" s="117"/>
      <c r="M705" s="117"/>
    </row>
    <row r="706">
      <c r="A706" s="116"/>
      <c r="B706" s="117"/>
      <c r="C706" s="117"/>
      <c r="D706" s="229"/>
      <c r="E706" s="117"/>
      <c r="F706" s="229"/>
      <c r="G706" s="116"/>
      <c r="H706" s="148"/>
      <c r="I706" s="149"/>
      <c r="J706" s="150"/>
      <c r="K706" s="117"/>
      <c r="L706" s="117"/>
      <c r="M706" s="117"/>
    </row>
    <row r="707">
      <c r="A707" s="116"/>
      <c r="B707" s="117"/>
      <c r="C707" s="117"/>
      <c r="D707" s="229"/>
      <c r="E707" s="117"/>
      <c r="F707" s="229"/>
      <c r="G707" s="116"/>
      <c r="H707" s="148"/>
      <c r="I707" s="149"/>
      <c r="J707" s="150"/>
      <c r="K707" s="117"/>
      <c r="L707" s="117"/>
      <c r="M707" s="117"/>
    </row>
    <row r="708">
      <c r="A708" s="116"/>
      <c r="B708" s="117"/>
      <c r="C708" s="117"/>
      <c r="D708" s="229"/>
      <c r="E708" s="117"/>
      <c r="F708" s="229"/>
      <c r="G708" s="116"/>
      <c r="H708" s="148"/>
      <c r="I708" s="149"/>
      <c r="J708" s="150"/>
      <c r="K708" s="117"/>
      <c r="L708" s="117"/>
      <c r="M708" s="117"/>
    </row>
    <row r="709">
      <c r="A709" s="116"/>
      <c r="B709" s="117"/>
      <c r="C709" s="117"/>
      <c r="D709" s="229"/>
      <c r="E709" s="117"/>
      <c r="F709" s="229"/>
      <c r="G709" s="116"/>
      <c r="H709" s="148"/>
      <c r="I709" s="149"/>
      <c r="J709" s="150"/>
      <c r="K709" s="117"/>
      <c r="L709" s="117"/>
      <c r="M709" s="117"/>
    </row>
    <row r="710">
      <c r="A710" s="116"/>
      <c r="B710" s="117"/>
      <c r="C710" s="117"/>
      <c r="D710" s="229"/>
      <c r="E710" s="117"/>
      <c r="F710" s="229"/>
      <c r="G710" s="116"/>
      <c r="H710" s="148"/>
      <c r="I710" s="149"/>
      <c r="J710" s="150"/>
      <c r="K710" s="117"/>
      <c r="L710" s="117"/>
      <c r="M710" s="117"/>
    </row>
    <row r="711">
      <c r="A711" s="116"/>
      <c r="B711" s="117"/>
      <c r="C711" s="117"/>
      <c r="D711" s="229"/>
      <c r="E711" s="117"/>
      <c r="F711" s="229"/>
      <c r="G711" s="116"/>
      <c r="H711" s="148"/>
      <c r="I711" s="149"/>
      <c r="J711" s="150"/>
      <c r="K711" s="117"/>
      <c r="L711" s="117"/>
      <c r="M711" s="117"/>
    </row>
    <row r="712">
      <c r="A712" s="116"/>
      <c r="B712" s="117"/>
      <c r="C712" s="117"/>
      <c r="D712" s="229"/>
      <c r="E712" s="117"/>
      <c r="F712" s="229"/>
      <c r="G712" s="116"/>
      <c r="H712" s="148"/>
      <c r="I712" s="149"/>
      <c r="J712" s="150"/>
      <c r="K712" s="117"/>
      <c r="L712" s="117"/>
      <c r="M712" s="117"/>
    </row>
    <row r="713">
      <c r="A713" s="116"/>
      <c r="B713" s="117"/>
      <c r="C713" s="117"/>
      <c r="D713" s="229"/>
      <c r="E713" s="117"/>
      <c r="F713" s="229"/>
      <c r="G713" s="116"/>
      <c r="H713" s="148"/>
      <c r="I713" s="149"/>
      <c r="J713" s="150"/>
      <c r="K713" s="117"/>
      <c r="L713" s="117"/>
      <c r="M713" s="117"/>
    </row>
    <row r="714">
      <c r="A714" s="116"/>
      <c r="B714" s="117"/>
      <c r="C714" s="117"/>
      <c r="D714" s="229"/>
      <c r="E714" s="117"/>
      <c r="F714" s="229"/>
      <c r="G714" s="116"/>
      <c r="H714" s="148"/>
      <c r="I714" s="149"/>
      <c r="J714" s="150"/>
      <c r="K714" s="117"/>
      <c r="L714" s="117"/>
      <c r="M714" s="117"/>
    </row>
    <row r="715">
      <c r="A715" s="116"/>
      <c r="B715" s="117"/>
      <c r="C715" s="117"/>
      <c r="D715" s="229"/>
      <c r="E715" s="117"/>
      <c r="F715" s="229"/>
      <c r="G715" s="116"/>
      <c r="H715" s="148"/>
      <c r="I715" s="149"/>
      <c r="J715" s="150"/>
      <c r="K715" s="117"/>
      <c r="L715" s="117"/>
      <c r="M715" s="117"/>
    </row>
    <row r="716">
      <c r="A716" s="116"/>
      <c r="B716" s="117"/>
      <c r="C716" s="117"/>
      <c r="D716" s="229"/>
      <c r="E716" s="117"/>
      <c r="F716" s="229"/>
      <c r="G716" s="116"/>
      <c r="H716" s="148"/>
      <c r="I716" s="149"/>
      <c r="J716" s="150"/>
      <c r="K716" s="117"/>
      <c r="L716" s="117"/>
      <c r="M716" s="117"/>
    </row>
    <row r="717">
      <c r="A717" s="116"/>
      <c r="B717" s="117"/>
      <c r="C717" s="117"/>
      <c r="D717" s="229"/>
      <c r="E717" s="117"/>
      <c r="F717" s="229"/>
      <c r="G717" s="116"/>
      <c r="H717" s="148"/>
      <c r="I717" s="149"/>
      <c r="J717" s="150"/>
      <c r="K717" s="117"/>
      <c r="L717" s="117"/>
      <c r="M717" s="117"/>
    </row>
    <row r="718">
      <c r="A718" s="116"/>
      <c r="B718" s="117"/>
      <c r="C718" s="117"/>
      <c r="D718" s="229"/>
      <c r="E718" s="117"/>
      <c r="F718" s="229"/>
      <c r="G718" s="116"/>
      <c r="H718" s="148"/>
      <c r="I718" s="149"/>
      <c r="J718" s="150"/>
      <c r="K718" s="117"/>
      <c r="L718" s="117"/>
      <c r="M718" s="117"/>
    </row>
    <row r="719">
      <c r="A719" s="116"/>
      <c r="B719" s="117"/>
      <c r="C719" s="117"/>
      <c r="D719" s="229"/>
      <c r="E719" s="117"/>
      <c r="F719" s="229"/>
      <c r="G719" s="116"/>
      <c r="H719" s="148"/>
      <c r="I719" s="149"/>
      <c r="J719" s="150"/>
      <c r="K719" s="117"/>
      <c r="L719" s="117"/>
      <c r="M719" s="117"/>
    </row>
    <row r="720">
      <c r="A720" s="116"/>
      <c r="B720" s="117"/>
      <c r="C720" s="117"/>
      <c r="D720" s="229"/>
      <c r="E720" s="117"/>
      <c r="F720" s="229"/>
      <c r="G720" s="116"/>
      <c r="H720" s="148"/>
      <c r="I720" s="149"/>
      <c r="J720" s="150"/>
      <c r="K720" s="117"/>
      <c r="L720" s="117"/>
      <c r="M720" s="117"/>
    </row>
    <row r="721">
      <c r="A721" s="116"/>
      <c r="B721" s="117"/>
      <c r="C721" s="117"/>
      <c r="D721" s="229"/>
      <c r="E721" s="117"/>
      <c r="F721" s="229"/>
      <c r="G721" s="116"/>
      <c r="H721" s="148"/>
      <c r="I721" s="149"/>
      <c r="J721" s="150"/>
      <c r="K721" s="117"/>
      <c r="L721" s="117"/>
      <c r="M721" s="117"/>
    </row>
    <row r="722">
      <c r="A722" s="116"/>
      <c r="B722" s="117"/>
      <c r="C722" s="117"/>
      <c r="D722" s="229"/>
      <c r="E722" s="117"/>
      <c r="F722" s="229"/>
      <c r="G722" s="116"/>
      <c r="H722" s="148"/>
      <c r="I722" s="149"/>
      <c r="J722" s="150"/>
      <c r="K722" s="117"/>
      <c r="L722" s="117"/>
      <c r="M722" s="117"/>
    </row>
    <row r="723">
      <c r="A723" s="116"/>
      <c r="B723" s="117"/>
      <c r="C723" s="117"/>
      <c r="D723" s="229"/>
      <c r="E723" s="117"/>
      <c r="F723" s="229"/>
      <c r="G723" s="116"/>
      <c r="H723" s="148"/>
      <c r="I723" s="149"/>
      <c r="J723" s="150"/>
      <c r="K723" s="117"/>
      <c r="L723" s="117"/>
      <c r="M723" s="117"/>
    </row>
    <row r="724">
      <c r="A724" s="116"/>
      <c r="B724" s="117"/>
      <c r="C724" s="117"/>
      <c r="D724" s="229"/>
      <c r="E724" s="117"/>
      <c r="F724" s="229"/>
      <c r="G724" s="116"/>
      <c r="H724" s="148"/>
      <c r="I724" s="149"/>
      <c r="J724" s="150"/>
      <c r="K724" s="117"/>
      <c r="L724" s="117"/>
      <c r="M724" s="117"/>
    </row>
    <row r="725">
      <c r="A725" s="116"/>
      <c r="B725" s="117"/>
      <c r="C725" s="117"/>
      <c r="D725" s="229"/>
      <c r="E725" s="117"/>
      <c r="F725" s="229"/>
      <c r="G725" s="116"/>
      <c r="H725" s="148"/>
      <c r="I725" s="149"/>
      <c r="J725" s="150"/>
      <c r="K725" s="117"/>
      <c r="L725" s="117"/>
      <c r="M725" s="117"/>
    </row>
    <row r="726">
      <c r="A726" s="116"/>
      <c r="B726" s="117"/>
      <c r="C726" s="117"/>
      <c r="D726" s="229"/>
      <c r="E726" s="117"/>
      <c r="F726" s="229"/>
      <c r="G726" s="116"/>
      <c r="H726" s="148"/>
      <c r="I726" s="149"/>
      <c r="J726" s="150"/>
      <c r="K726" s="117"/>
      <c r="L726" s="117"/>
      <c r="M726" s="117"/>
    </row>
    <row r="727">
      <c r="A727" s="116"/>
      <c r="B727" s="117"/>
      <c r="C727" s="117"/>
      <c r="D727" s="229"/>
      <c r="E727" s="117"/>
      <c r="F727" s="229"/>
      <c r="G727" s="116"/>
      <c r="H727" s="148"/>
      <c r="I727" s="149"/>
      <c r="J727" s="150"/>
      <c r="K727" s="117"/>
      <c r="L727" s="117"/>
      <c r="M727" s="117"/>
    </row>
    <row r="728">
      <c r="A728" s="116"/>
      <c r="B728" s="117"/>
      <c r="C728" s="117"/>
      <c r="D728" s="229"/>
      <c r="E728" s="117"/>
      <c r="F728" s="229"/>
      <c r="G728" s="116"/>
      <c r="H728" s="148"/>
      <c r="I728" s="149"/>
      <c r="J728" s="150"/>
      <c r="K728" s="117"/>
      <c r="L728" s="117"/>
      <c r="M728" s="117"/>
    </row>
    <row r="729">
      <c r="A729" s="116"/>
      <c r="B729" s="117"/>
      <c r="C729" s="117"/>
      <c r="D729" s="229"/>
      <c r="E729" s="117"/>
      <c r="F729" s="229"/>
      <c r="G729" s="116"/>
      <c r="H729" s="148"/>
      <c r="I729" s="149"/>
      <c r="J729" s="150"/>
      <c r="K729" s="117"/>
      <c r="L729" s="117"/>
      <c r="M729" s="117"/>
    </row>
    <row r="730">
      <c r="A730" s="116"/>
      <c r="B730" s="117"/>
      <c r="C730" s="117"/>
      <c r="D730" s="229"/>
      <c r="E730" s="117"/>
      <c r="F730" s="229"/>
      <c r="G730" s="116"/>
      <c r="H730" s="148"/>
      <c r="I730" s="149"/>
      <c r="J730" s="150"/>
      <c r="K730" s="117"/>
      <c r="L730" s="117"/>
      <c r="M730" s="117"/>
    </row>
    <row r="731">
      <c r="A731" s="116"/>
      <c r="B731" s="117"/>
      <c r="C731" s="117"/>
      <c r="D731" s="229"/>
      <c r="E731" s="117"/>
      <c r="F731" s="229"/>
      <c r="G731" s="116"/>
      <c r="H731" s="148"/>
      <c r="I731" s="149"/>
      <c r="J731" s="150"/>
      <c r="K731" s="117"/>
      <c r="L731" s="117"/>
      <c r="M731" s="117"/>
    </row>
    <row r="732">
      <c r="A732" s="116"/>
      <c r="B732" s="117"/>
      <c r="C732" s="117"/>
      <c r="D732" s="229"/>
      <c r="E732" s="117"/>
      <c r="F732" s="229"/>
      <c r="G732" s="116"/>
      <c r="H732" s="148"/>
      <c r="I732" s="149"/>
      <c r="J732" s="150"/>
      <c r="K732" s="117"/>
      <c r="L732" s="117"/>
      <c r="M732" s="117"/>
    </row>
    <row r="733">
      <c r="A733" s="116"/>
      <c r="B733" s="117"/>
      <c r="C733" s="117"/>
      <c r="D733" s="229"/>
      <c r="E733" s="117"/>
      <c r="F733" s="229"/>
      <c r="G733" s="116"/>
      <c r="H733" s="148"/>
      <c r="I733" s="149"/>
      <c r="J733" s="150"/>
      <c r="K733" s="117"/>
      <c r="L733" s="117"/>
      <c r="M733" s="117"/>
    </row>
    <row r="734">
      <c r="A734" s="116"/>
      <c r="B734" s="117"/>
      <c r="C734" s="117"/>
      <c r="D734" s="229"/>
      <c r="E734" s="117"/>
      <c r="F734" s="229"/>
      <c r="G734" s="116"/>
      <c r="H734" s="148"/>
      <c r="I734" s="149"/>
      <c r="J734" s="150"/>
      <c r="K734" s="117"/>
      <c r="L734" s="117"/>
      <c r="M734" s="117"/>
    </row>
    <row r="735">
      <c r="A735" s="116"/>
      <c r="B735" s="117"/>
      <c r="C735" s="117"/>
      <c r="D735" s="229"/>
      <c r="E735" s="117"/>
      <c r="F735" s="229"/>
      <c r="G735" s="116"/>
      <c r="H735" s="148"/>
      <c r="I735" s="149"/>
      <c r="J735" s="150"/>
      <c r="K735" s="117"/>
      <c r="L735" s="117"/>
      <c r="M735" s="117"/>
    </row>
    <row r="736">
      <c r="A736" s="116"/>
      <c r="B736" s="117"/>
      <c r="C736" s="117"/>
      <c r="D736" s="229"/>
      <c r="E736" s="117"/>
      <c r="F736" s="229"/>
      <c r="G736" s="116"/>
      <c r="H736" s="148"/>
      <c r="I736" s="149"/>
      <c r="J736" s="150"/>
      <c r="K736" s="117"/>
      <c r="L736" s="117"/>
      <c r="M736" s="117"/>
    </row>
    <row r="737">
      <c r="A737" s="116"/>
      <c r="B737" s="117"/>
      <c r="C737" s="117"/>
      <c r="D737" s="229"/>
      <c r="E737" s="117"/>
      <c r="F737" s="229"/>
      <c r="G737" s="116"/>
      <c r="H737" s="148"/>
      <c r="I737" s="149"/>
      <c r="J737" s="150"/>
      <c r="K737" s="117"/>
      <c r="L737" s="117"/>
      <c r="M737" s="117"/>
    </row>
    <row r="738">
      <c r="A738" s="116"/>
      <c r="B738" s="117"/>
      <c r="C738" s="117"/>
      <c r="D738" s="229"/>
      <c r="E738" s="117"/>
      <c r="F738" s="229"/>
      <c r="G738" s="116"/>
      <c r="H738" s="148"/>
      <c r="I738" s="149"/>
      <c r="J738" s="150"/>
      <c r="K738" s="117"/>
      <c r="L738" s="117"/>
      <c r="M738" s="117"/>
    </row>
    <row r="739">
      <c r="A739" s="116"/>
      <c r="B739" s="117"/>
      <c r="C739" s="117"/>
      <c r="D739" s="229"/>
      <c r="E739" s="117"/>
      <c r="F739" s="229"/>
      <c r="G739" s="116"/>
      <c r="H739" s="148"/>
      <c r="I739" s="149"/>
      <c r="J739" s="150"/>
      <c r="K739" s="117"/>
      <c r="L739" s="117"/>
      <c r="M739" s="117"/>
    </row>
    <row r="740">
      <c r="A740" s="116"/>
      <c r="B740" s="117"/>
      <c r="C740" s="117"/>
      <c r="D740" s="229"/>
      <c r="E740" s="117"/>
      <c r="F740" s="229"/>
      <c r="G740" s="116"/>
      <c r="H740" s="148"/>
      <c r="I740" s="149"/>
      <c r="J740" s="150"/>
      <c r="K740" s="117"/>
      <c r="L740" s="117"/>
      <c r="M740" s="117"/>
    </row>
    <row r="741">
      <c r="A741" s="116"/>
      <c r="B741" s="117"/>
      <c r="C741" s="117"/>
      <c r="D741" s="229"/>
      <c r="E741" s="117"/>
      <c r="F741" s="229"/>
      <c r="G741" s="116"/>
      <c r="H741" s="148"/>
      <c r="I741" s="149"/>
      <c r="J741" s="150"/>
      <c r="K741" s="117"/>
      <c r="L741" s="117"/>
      <c r="M741" s="117"/>
    </row>
    <row r="742">
      <c r="A742" s="116"/>
      <c r="B742" s="117"/>
      <c r="C742" s="117"/>
      <c r="D742" s="229"/>
      <c r="E742" s="117"/>
      <c r="F742" s="229"/>
      <c r="G742" s="116"/>
      <c r="H742" s="148"/>
      <c r="I742" s="149"/>
      <c r="J742" s="150"/>
      <c r="K742" s="117"/>
      <c r="L742" s="117"/>
      <c r="M742" s="117"/>
    </row>
    <row r="743">
      <c r="A743" s="116"/>
      <c r="B743" s="117"/>
      <c r="C743" s="117"/>
      <c r="D743" s="229"/>
      <c r="E743" s="117"/>
      <c r="F743" s="229"/>
      <c r="G743" s="116"/>
      <c r="H743" s="148"/>
      <c r="I743" s="149"/>
      <c r="J743" s="150"/>
      <c r="K743" s="117"/>
      <c r="L743" s="117"/>
      <c r="M743" s="117"/>
    </row>
    <row r="744">
      <c r="A744" s="116"/>
      <c r="B744" s="117"/>
      <c r="C744" s="117"/>
      <c r="D744" s="229"/>
      <c r="E744" s="117"/>
      <c r="F744" s="229"/>
      <c r="G744" s="116"/>
      <c r="H744" s="148"/>
      <c r="I744" s="149"/>
      <c r="J744" s="150"/>
      <c r="K744" s="117"/>
      <c r="L744" s="117"/>
      <c r="M744" s="117"/>
    </row>
    <row r="745">
      <c r="A745" s="116"/>
      <c r="B745" s="117"/>
      <c r="C745" s="117"/>
      <c r="D745" s="229"/>
      <c r="E745" s="117"/>
      <c r="F745" s="229"/>
      <c r="G745" s="116"/>
      <c r="H745" s="148"/>
      <c r="I745" s="149"/>
      <c r="J745" s="150"/>
      <c r="K745" s="117"/>
      <c r="L745" s="117"/>
      <c r="M745" s="117"/>
    </row>
    <row r="746">
      <c r="A746" s="116"/>
      <c r="B746" s="117"/>
      <c r="C746" s="117"/>
      <c r="D746" s="229"/>
      <c r="E746" s="117"/>
      <c r="F746" s="229"/>
      <c r="G746" s="116"/>
      <c r="H746" s="148"/>
      <c r="I746" s="149"/>
      <c r="J746" s="150"/>
      <c r="K746" s="117"/>
      <c r="L746" s="117"/>
      <c r="M746" s="117"/>
    </row>
    <row r="747">
      <c r="A747" s="116"/>
      <c r="B747" s="117"/>
      <c r="C747" s="117"/>
      <c r="D747" s="229"/>
      <c r="E747" s="117"/>
      <c r="F747" s="229"/>
      <c r="G747" s="116"/>
      <c r="H747" s="148"/>
      <c r="I747" s="149"/>
      <c r="J747" s="150"/>
      <c r="K747" s="117"/>
      <c r="L747" s="117"/>
      <c r="M747" s="117"/>
    </row>
    <row r="748">
      <c r="A748" s="116"/>
      <c r="B748" s="117"/>
      <c r="C748" s="117"/>
      <c r="D748" s="229"/>
      <c r="E748" s="117"/>
      <c r="F748" s="229"/>
      <c r="G748" s="116"/>
      <c r="H748" s="148"/>
      <c r="I748" s="149"/>
      <c r="J748" s="150"/>
      <c r="K748" s="117"/>
      <c r="L748" s="117"/>
      <c r="M748" s="117"/>
    </row>
    <row r="749">
      <c r="A749" s="116"/>
      <c r="B749" s="117"/>
      <c r="C749" s="117"/>
      <c r="D749" s="229"/>
      <c r="E749" s="117"/>
      <c r="F749" s="229"/>
      <c r="G749" s="116"/>
      <c r="H749" s="148"/>
      <c r="I749" s="149"/>
      <c r="J749" s="150"/>
      <c r="K749" s="117"/>
      <c r="L749" s="117"/>
      <c r="M749" s="117"/>
    </row>
    <row r="750">
      <c r="A750" s="116"/>
      <c r="B750" s="117"/>
      <c r="C750" s="117"/>
      <c r="D750" s="229"/>
      <c r="E750" s="117"/>
      <c r="F750" s="229"/>
      <c r="G750" s="116"/>
      <c r="H750" s="148"/>
      <c r="I750" s="149"/>
      <c r="J750" s="150"/>
      <c r="K750" s="117"/>
      <c r="L750" s="117"/>
      <c r="M750" s="117"/>
    </row>
    <row r="751">
      <c r="A751" s="116"/>
      <c r="B751" s="117"/>
      <c r="C751" s="117"/>
      <c r="D751" s="229"/>
      <c r="E751" s="117"/>
      <c r="F751" s="229"/>
      <c r="G751" s="116"/>
      <c r="H751" s="148"/>
      <c r="I751" s="149"/>
      <c r="J751" s="150"/>
      <c r="K751" s="117"/>
      <c r="L751" s="117"/>
      <c r="M751" s="117"/>
    </row>
    <row r="752">
      <c r="A752" s="116"/>
      <c r="B752" s="117"/>
      <c r="C752" s="117"/>
      <c r="D752" s="229"/>
      <c r="E752" s="117"/>
      <c r="F752" s="229"/>
      <c r="G752" s="116"/>
      <c r="H752" s="148"/>
      <c r="I752" s="149"/>
      <c r="J752" s="150"/>
      <c r="K752" s="117"/>
      <c r="L752" s="117"/>
      <c r="M752" s="117"/>
    </row>
    <row r="753">
      <c r="A753" s="116"/>
      <c r="B753" s="117"/>
      <c r="C753" s="117"/>
      <c r="D753" s="229"/>
      <c r="E753" s="117"/>
      <c r="F753" s="229"/>
      <c r="G753" s="116"/>
      <c r="H753" s="148"/>
      <c r="I753" s="149"/>
      <c r="J753" s="150"/>
      <c r="K753" s="117"/>
      <c r="L753" s="117"/>
      <c r="M753" s="117"/>
    </row>
    <row r="754">
      <c r="A754" s="116"/>
      <c r="B754" s="117"/>
      <c r="C754" s="117"/>
      <c r="D754" s="229"/>
      <c r="E754" s="117"/>
      <c r="F754" s="229"/>
      <c r="G754" s="116"/>
      <c r="H754" s="148"/>
      <c r="I754" s="149"/>
      <c r="J754" s="150"/>
      <c r="K754" s="117"/>
      <c r="L754" s="117"/>
      <c r="M754" s="117"/>
    </row>
    <row r="755">
      <c r="A755" s="116"/>
      <c r="B755" s="117"/>
      <c r="C755" s="117"/>
      <c r="D755" s="229"/>
      <c r="E755" s="117"/>
      <c r="F755" s="229"/>
      <c r="G755" s="116"/>
      <c r="H755" s="148"/>
      <c r="I755" s="149"/>
      <c r="J755" s="150"/>
      <c r="K755" s="117"/>
      <c r="L755" s="117"/>
      <c r="M755" s="117"/>
    </row>
    <row r="756">
      <c r="A756" s="116"/>
      <c r="B756" s="117"/>
      <c r="C756" s="117"/>
      <c r="D756" s="229"/>
      <c r="E756" s="117"/>
      <c r="F756" s="229"/>
      <c r="G756" s="116"/>
      <c r="H756" s="148"/>
      <c r="I756" s="149"/>
      <c r="J756" s="150"/>
      <c r="K756" s="117"/>
      <c r="L756" s="117"/>
      <c r="M756" s="117"/>
    </row>
    <row r="757">
      <c r="A757" s="116"/>
      <c r="B757" s="117"/>
      <c r="C757" s="117"/>
      <c r="D757" s="229"/>
      <c r="E757" s="117"/>
      <c r="F757" s="229"/>
      <c r="G757" s="116"/>
      <c r="H757" s="148"/>
      <c r="I757" s="149"/>
      <c r="J757" s="150"/>
      <c r="K757" s="117"/>
      <c r="L757" s="117"/>
      <c r="M757" s="117"/>
    </row>
    <row r="758">
      <c r="A758" s="116"/>
      <c r="B758" s="117"/>
      <c r="C758" s="117"/>
      <c r="D758" s="229"/>
      <c r="E758" s="117"/>
      <c r="F758" s="229"/>
      <c r="G758" s="116"/>
      <c r="H758" s="148"/>
      <c r="I758" s="149"/>
      <c r="J758" s="150"/>
      <c r="K758" s="117"/>
      <c r="L758" s="117"/>
      <c r="M758" s="117"/>
    </row>
    <row r="759">
      <c r="A759" s="116"/>
      <c r="B759" s="117"/>
      <c r="C759" s="117"/>
      <c r="D759" s="229"/>
      <c r="E759" s="117"/>
      <c r="F759" s="229"/>
      <c r="G759" s="116"/>
      <c r="H759" s="148"/>
      <c r="I759" s="149"/>
      <c r="J759" s="150"/>
      <c r="K759" s="117"/>
      <c r="L759" s="117"/>
      <c r="M759" s="117"/>
    </row>
    <row r="760">
      <c r="A760" s="116"/>
      <c r="B760" s="117"/>
      <c r="C760" s="117"/>
      <c r="D760" s="229"/>
      <c r="E760" s="117"/>
      <c r="F760" s="229"/>
      <c r="G760" s="116"/>
      <c r="H760" s="148"/>
      <c r="I760" s="149"/>
      <c r="J760" s="150"/>
      <c r="K760" s="117"/>
      <c r="L760" s="117"/>
      <c r="M760" s="117"/>
    </row>
    <row r="761">
      <c r="A761" s="116"/>
      <c r="B761" s="117"/>
      <c r="C761" s="117"/>
      <c r="D761" s="229"/>
      <c r="E761" s="117"/>
      <c r="F761" s="229"/>
      <c r="G761" s="116"/>
      <c r="H761" s="148"/>
      <c r="I761" s="149"/>
      <c r="J761" s="150"/>
      <c r="K761" s="117"/>
      <c r="L761" s="117"/>
      <c r="M761" s="117"/>
    </row>
    <row r="762">
      <c r="A762" s="116"/>
      <c r="B762" s="117"/>
      <c r="C762" s="117"/>
      <c r="D762" s="229"/>
      <c r="E762" s="117"/>
      <c r="F762" s="229"/>
      <c r="G762" s="116"/>
      <c r="H762" s="148"/>
      <c r="I762" s="149"/>
      <c r="J762" s="150"/>
      <c r="K762" s="117"/>
      <c r="L762" s="117"/>
      <c r="M762" s="117"/>
    </row>
    <row r="763">
      <c r="A763" s="116"/>
      <c r="B763" s="117"/>
      <c r="C763" s="117"/>
      <c r="D763" s="229"/>
      <c r="E763" s="117"/>
      <c r="F763" s="229"/>
      <c r="G763" s="116"/>
      <c r="H763" s="148"/>
      <c r="I763" s="149"/>
      <c r="J763" s="150"/>
      <c r="K763" s="117"/>
      <c r="L763" s="117"/>
      <c r="M763" s="117"/>
    </row>
    <row r="764">
      <c r="A764" s="116"/>
      <c r="B764" s="117"/>
      <c r="C764" s="117"/>
      <c r="D764" s="229"/>
      <c r="E764" s="117"/>
      <c r="F764" s="229"/>
      <c r="G764" s="116"/>
      <c r="H764" s="148"/>
      <c r="I764" s="149"/>
      <c r="J764" s="150"/>
      <c r="K764" s="117"/>
      <c r="L764" s="117"/>
      <c r="M764" s="117"/>
    </row>
    <row r="765">
      <c r="A765" s="116"/>
      <c r="B765" s="117"/>
      <c r="C765" s="117"/>
      <c r="D765" s="229"/>
      <c r="E765" s="117"/>
      <c r="F765" s="229"/>
      <c r="G765" s="116"/>
      <c r="H765" s="148"/>
      <c r="I765" s="149"/>
      <c r="J765" s="150"/>
      <c r="K765" s="117"/>
      <c r="L765" s="117"/>
      <c r="M765" s="117"/>
    </row>
    <row r="766">
      <c r="A766" s="116"/>
      <c r="B766" s="117"/>
      <c r="C766" s="117"/>
      <c r="D766" s="229"/>
      <c r="E766" s="117"/>
      <c r="F766" s="229"/>
      <c r="G766" s="116"/>
      <c r="H766" s="148"/>
      <c r="I766" s="149"/>
      <c r="J766" s="150"/>
      <c r="K766" s="117"/>
      <c r="L766" s="117"/>
      <c r="M766" s="117"/>
    </row>
    <row r="767">
      <c r="A767" s="116"/>
      <c r="B767" s="117"/>
      <c r="C767" s="117"/>
      <c r="D767" s="229"/>
      <c r="E767" s="117"/>
      <c r="F767" s="229"/>
      <c r="G767" s="116"/>
      <c r="H767" s="148"/>
      <c r="I767" s="149"/>
      <c r="J767" s="150"/>
      <c r="K767" s="117"/>
      <c r="L767" s="117"/>
      <c r="M767" s="117"/>
    </row>
    <row r="768">
      <c r="A768" s="116"/>
      <c r="B768" s="117"/>
      <c r="C768" s="117"/>
      <c r="D768" s="229"/>
      <c r="E768" s="117"/>
      <c r="F768" s="229"/>
      <c r="G768" s="116"/>
      <c r="H768" s="148"/>
      <c r="I768" s="149"/>
      <c r="J768" s="150"/>
      <c r="K768" s="117"/>
      <c r="L768" s="117"/>
      <c r="M768" s="117"/>
    </row>
    <row r="769">
      <c r="A769" s="116"/>
      <c r="B769" s="117"/>
      <c r="C769" s="117"/>
      <c r="D769" s="229"/>
      <c r="E769" s="117"/>
      <c r="F769" s="229"/>
      <c r="G769" s="116"/>
      <c r="H769" s="148"/>
      <c r="I769" s="149"/>
      <c r="J769" s="150"/>
      <c r="K769" s="117"/>
      <c r="L769" s="117"/>
      <c r="M769" s="117"/>
    </row>
    <row r="770">
      <c r="A770" s="116"/>
      <c r="B770" s="117"/>
      <c r="C770" s="117"/>
      <c r="D770" s="229"/>
      <c r="E770" s="117"/>
      <c r="F770" s="229"/>
      <c r="G770" s="116"/>
      <c r="H770" s="148"/>
      <c r="I770" s="149"/>
      <c r="J770" s="150"/>
      <c r="K770" s="117"/>
      <c r="L770" s="117"/>
      <c r="M770" s="117"/>
    </row>
    <row r="771">
      <c r="A771" s="116"/>
      <c r="B771" s="117"/>
      <c r="C771" s="117"/>
      <c r="D771" s="229"/>
      <c r="E771" s="117"/>
      <c r="F771" s="229"/>
      <c r="G771" s="116"/>
      <c r="H771" s="148"/>
      <c r="I771" s="149"/>
      <c r="J771" s="150"/>
      <c r="K771" s="117"/>
      <c r="L771" s="117"/>
      <c r="M771" s="117"/>
    </row>
    <row r="772">
      <c r="A772" s="116"/>
      <c r="B772" s="117"/>
      <c r="C772" s="117"/>
      <c r="D772" s="229"/>
      <c r="E772" s="117"/>
      <c r="F772" s="229"/>
      <c r="G772" s="116"/>
      <c r="H772" s="148"/>
      <c r="I772" s="149"/>
      <c r="J772" s="150"/>
      <c r="K772" s="117"/>
      <c r="L772" s="117"/>
      <c r="M772" s="117"/>
    </row>
    <row r="773">
      <c r="A773" s="116"/>
      <c r="B773" s="117"/>
      <c r="C773" s="117"/>
      <c r="D773" s="229"/>
      <c r="E773" s="117"/>
      <c r="F773" s="229"/>
      <c r="G773" s="116"/>
      <c r="H773" s="148"/>
      <c r="I773" s="149"/>
      <c r="J773" s="150"/>
      <c r="K773" s="117"/>
      <c r="L773" s="117"/>
      <c r="M773" s="117"/>
    </row>
    <row r="774">
      <c r="A774" s="116"/>
      <c r="B774" s="117"/>
      <c r="C774" s="117"/>
      <c r="D774" s="229"/>
      <c r="E774" s="117"/>
      <c r="F774" s="229"/>
      <c r="G774" s="116"/>
      <c r="H774" s="148"/>
      <c r="I774" s="149"/>
      <c r="J774" s="150"/>
      <c r="K774" s="117"/>
      <c r="L774" s="117"/>
      <c r="M774" s="117"/>
    </row>
    <row r="775">
      <c r="A775" s="116"/>
      <c r="B775" s="117"/>
      <c r="C775" s="117"/>
      <c r="D775" s="229"/>
      <c r="E775" s="117"/>
      <c r="F775" s="229"/>
      <c r="G775" s="116"/>
      <c r="H775" s="148"/>
      <c r="I775" s="149"/>
      <c r="J775" s="150"/>
      <c r="K775" s="117"/>
      <c r="L775" s="117"/>
      <c r="M775" s="117"/>
    </row>
    <row r="776">
      <c r="A776" s="116"/>
      <c r="B776" s="117"/>
      <c r="C776" s="117"/>
      <c r="D776" s="229"/>
      <c r="E776" s="117"/>
      <c r="F776" s="229"/>
      <c r="G776" s="116"/>
      <c r="H776" s="148"/>
      <c r="I776" s="149"/>
      <c r="J776" s="150"/>
      <c r="K776" s="117"/>
      <c r="L776" s="117"/>
      <c r="M776" s="117"/>
    </row>
    <row r="777">
      <c r="A777" s="116"/>
      <c r="B777" s="117"/>
      <c r="C777" s="117"/>
      <c r="D777" s="229"/>
      <c r="E777" s="117"/>
      <c r="F777" s="229"/>
      <c r="G777" s="116"/>
      <c r="H777" s="148"/>
      <c r="I777" s="149"/>
      <c r="J777" s="150"/>
      <c r="K777" s="117"/>
      <c r="L777" s="117"/>
      <c r="M777" s="117"/>
    </row>
    <row r="778">
      <c r="A778" s="116"/>
      <c r="B778" s="117"/>
      <c r="C778" s="117"/>
      <c r="D778" s="229"/>
      <c r="E778" s="117"/>
      <c r="F778" s="229"/>
      <c r="G778" s="116"/>
      <c r="H778" s="148"/>
      <c r="I778" s="149"/>
      <c r="J778" s="150"/>
      <c r="K778" s="117"/>
      <c r="L778" s="117"/>
      <c r="M778" s="117"/>
    </row>
    <row r="779">
      <c r="A779" s="116"/>
      <c r="B779" s="117"/>
      <c r="C779" s="117"/>
      <c r="D779" s="229"/>
      <c r="E779" s="117"/>
      <c r="F779" s="229"/>
      <c r="G779" s="116"/>
      <c r="H779" s="148"/>
      <c r="I779" s="149"/>
      <c r="J779" s="150"/>
      <c r="K779" s="117"/>
      <c r="L779" s="117"/>
      <c r="M779" s="117"/>
    </row>
    <row r="780">
      <c r="A780" s="116"/>
      <c r="B780" s="117"/>
      <c r="C780" s="117"/>
      <c r="D780" s="229"/>
      <c r="E780" s="117"/>
      <c r="F780" s="229"/>
      <c r="G780" s="116"/>
      <c r="H780" s="148"/>
      <c r="I780" s="149"/>
      <c r="J780" s="150"/>
      <c r="K780" s="117"/>
      <c r="L780" s="117"/>
      <c r="M780" s="117"/>
    </row>
    <row r="781">
      <c r="A781" s="116"/>
      <c r="B781" s="117"/>
      <c r="C781" s="117"/>
      <c r="D781" s="229"/>
      <c r="E781" s="117"/>
      <c r="F781" s="229"/>
      <c r="G781" s="116"/>
      <c r="H781" s="148"/>
      <c r="I781" s="149"/>
      <c r="J781" s="150"/>
      <c r="K781" s="117"/>
      <c r="L781" s="117"/>
      <c r="M781" s="117"/>
    </row>
    <row r="782">
      <c r="A782" s="116"/>
      <c r="B782" s="117"/>
      <c r="C782" s="117"/>
      <c r="D782" s="229"/>
      <c r="E782" s="117"/>
      <c r="F782" s="229"/>
      <c r="G782" s="116"/>
      <c r="H782" s="148"/>
      <c r="I782" s="149"/>
      <c r="J782" s="150"/>
      <c r="K782" s="117"/>
      <c r="L782" s="117"/>
      <c r="M782" s="117"/>
    </row>
    <row r="783">
      <c r="A783" s="116"/>
      <c r="B783" s="117"/>
      <c r="C783" s="117"/>
      <c r="D783" s="229"/>
      <c r="E783" s="117"/>
      <c r="F783" s="229"/>
      <c r="G783" s="116"/>
      <c r="H783" s="148"/>
      <c r="I783" s="149"/>
      <c r="J783" s="150"/>
      <c r="K783" s="117"/>
      <c r="L783" s="117"/>
      <c r="M783" s="117"/>
    </row>
    <row r="784">
      <c r="A784" s="116"/>
      <c r="B784" s="117"/>
      <c r="C784" s="117"/>
      <c r="D784" s="229"/>
      <c r="E784" s="117"/>
      <c r="F784" s="229"/>
      <c r="G784" s="116"/>
      <c r="H784" s="148"/>
      <c r="I784" s="149"/>
      <c r="J784" s="150"/>
      <c r="K784" s="117"/>
      <c r="L784" s="117"/>
      <c r="M784" s="117"/>
    </row>
    <row r="785">
      <c r="A785" s="116"/>
      <c r="B785" s="117"/>
      <c r="C785" s="117"/>
      <c r="D785" s="229"/>
      <c r="E785" s="117"/>
      <c r="F785" s="229"/>
      <c r="G785" s="116"/>
      <c r="H785" s="148"/>
      <c r="I785" s="149"/>
      <c r="J785" s="150"/>
      <c r="K785" s="117"/>
      <c r="L785" s="117"/>
      <c r="M785" s="117"/>
    </row>
    <row r="786">
      <c r="A786" s="116"/>
      <c r="B786" s="117"/>
      <c r="C786" s="117"/>
      <c r="D786" s="229"/>
      <c r="E786" s="117"/>
      <c r="F786" s="229"/>
      <c r="G786" s="116"/>
      <c r="H786" s="148"/>
      <c r="I786" s="149"/>
      <c r="J786" s="150"/>
      <c r="K786" s="117"/>
      <c r="L786" s="117"/>
      <c r="M786" s="117"/>
    </row>
    <row r="787">
      <c r="A787" s="116"/>
      <c r="B787" s="117"/>
      <c r="C787" s="117"/>
      <c r="D787" s="229"/>
      <c r="E787" s="117"/>
      <c r="F787" s="229"/>
      <c r="G787" s="116"/>
      <c r="H787" s="148"/>
      <c r="I787" s="149"/>
      <c r="J787" s="150"/>
      <c r="K787" s="117"/>
      <c r="L787" s="117"/>
      <c r="M787" s="117"/>
    </row>
    <row r="788">
      <c r="A788" s="116"/>
      <c r="B788" s="117"/>
      <c r="C788" s="117"/>
      <c r="D788" s="229"/>
      <c r="E788" s="117"/>
      <c r="F788" s="229"/>
      <c r="G788" s="116"/>
      <c r="H788" s="148"/>
      <c r="I788" s="149"/>
      <c r="J788" s="150"/>
      <c r="K788" s="117"/>
      <c r="L788" s="117"/>
      <c r="M788" s="117"/>
    </row>
    <row r="789">
      <c r="A789" s="116"/>
      <c r="B789" s="117"/>
      <c r="C789" s="117"/>
      <c r="D789" s="229"/>
      <c r="E789" s="117"/>
      <c r="F789" s="229"/>
      <c r="G789" s="116"/>
      <c r="H789" s="148"/>
      <c r="I789" s="149"/>
      <c r="J789" s="150"/>
      <c r="K789" s="117"/>
      <c r="L789" s="117"/>
      <c r="M789" s="117"/>
    </row>
    <row r="790">
      <c r="A790" s="116"/>
      <c r="B790" s="117"/>
      <c r="C790" s="117"/>
      <c r="D790" s="229"/>
      <c r="E790" s="117"/>
      <c r="F790" s="229"/>
      <c r="G790" s="116"/>
      <c r="H790" s="148"/>
      <c r="I790" s="149"/>
      <c r="J790" s="150"/>
      <c r="K790" s="117"/>
      <c r="L790" s="117"/>
      <c r="M790" s="117"/>
    </row>
    <row r="791">
      <c r="A791" s="116"/>
      <c r="B791" s="117"/>
      <c r="C791" s="117"/>
      <c r="D791" s="229"/>
      <c r="E791" s="117"/>
      <c r="F791" s="229"/>
      <c r="G791" s="116"/>
      <c r="H791" s="148"/>
      <c r="I791" s="149"/>
      <c r="J791" s="150"/>
      <c r="K791" s="117"/>
      <c r="L791" s="117"/>
      <c r="M791" s="117"/>
    </row>
    <row r="792">
      <c r="A792" s="116"/>
      <c r="B792" s="117"/>
      <c r="C792" s="117"/>
      <c r="D792" s="229"/>
      <c r="E792" s="117"/>
      <c r="F792" s="229"/>
      <c r="G792" s="116"/>
      <c r="H792" s="148"/>
      <c r="I792" s="149"/>
      <c r="J792" s="150"/>
      <c r="K792" s="117"/>
      <c r="L792" s="117"/>
      <c r="M792" s="117"/>
    </row>
    <row r="793">
      <c r="A793" s="116"/>
      <c r="B793" s="117"/>
      <c r="C793" s="117"/>
      <c r="D793" s="229"/>
      <c r="E793" s="117"/>
      <c r="F793" s="229"/>
      <c r="G793" s="116"/>
      <c r="H793" s="148"/>
      <c r="I793" s="149"/>
      <c r="J793" s="150"/>
      <c r="K793" s="117"/>
      <c r="L793" s="117"/>
      <c r="M793" s="117"/>
    </row>
    <row r="794">
      <c r="A794" s="116"/>
      <c r="B794" s="117"/>
      <c r="C794" s="117"/>
      <c r="D794" s="229"/>
      <c r="E794" s="117"/>
      <c r="F794" s="229"/>
      <c r="G794" s="116"/>
      <c r="H794" s="148"/>
      <c r="I794" s="149"/>
      <c r="J794" s="150"/>
      <c r="K794" s="117"/>
      <c r="L794" s="117"/>
      <c r="M794" s="117"/>
    </row>
    <row r="795">
      <c r="A795" s="116"/>
      <c r="B795" s="117"/>
      <c r="C795" s="117"/>
      <c r="D795" s="229"/>
      <c r="E795" s="117"/>
      <c r="F795" s="229"/>
      <c r="G795" s="116"/>
      <c r="H795" s="148"/>
      <c r="I795" s="149"/>
      <c r="J795" s="150"/>
      <c r="K795" s="117"/>
      <c r="L795" s="117"/>
      <c r="M795" s="117"/>
    </row>
    <row r="796">
      <c r="A796" s="116"/>
      <c r="B796" s="117"/>
      <c r="C796" s="117"/>
      <c r="D796" s="229"/>
      <c r="E796" s="117"/>
      <c r="F796" s="229"/>
      <c r="G796" s="116"/>
      <c r="H796" s="148"/>
      <c r="I796" s="149"/>
      <c r="J796" s="150"/>
      <c r="K796" s="117"/>
      <c r="L796" s="117"/>
      <c r="M796" s="117"/>
    </row>
    <row r="797">
      <c r="A797" s="116"/>
      <c r="B797" s="117"/>
      <c r="C797" s="117"/>
      <c r="D797" s="229"/>
      <c r="E797" s="117"/>
      <c r="F797" s="229"/>
      <c r="G797" s="116"/>
      <c r="H797" s="148"/>
      <c r="I797" s="149"/>
      <c r="J797" s="150"/>
      <c r="K797" s="117"/>
      <c r="L797" s="117"/>
      <c r="M797" s="117"/>
    </row>
    <row r="798">
      <c r="A798" s="116"/>
      <c r="B798" s="117"/>
      <c r="C798" s="117"/>
      <c r="D798" s="229"/>
      <c r="E798" s="117"/>
      <c r="F798" s="229"/>
      <c r="G798" s="116"/>
      <c r="H798" s="148"/>
      <c r="I798" s="149"/>
      <c r="J798" s="150"/>
      <c r="K798" s="117"/>
      <c r="L798" s="117"/>
      <c r="M798" s="117"/>
    </row>
    <row r="799">
      <c r="A799" s="116"/>
      <c r="B799" s="117"/>
      <c r="C799" s="117"/>
      <c r="D799" s="229"/>
      <c r="E799" s="117"/>
      <c r="F799" s="229"/>
      <c r="G799" s="116"/>
      <c r="H799" s="148"/>
      <c r="I799" s="149"/>
      <c r="J799" s="150"/>
      <c r="K799" s="117"/>
      <c r="L799" s="117"/>
      <c r="M799" s="117"/>
    </row>
    <row r="800">
      <c r="A800" s="116"/>
      <c r="B800" s="117"/>
      <c r="C800" s="117"/>
      <c r="D800" s="229"/>
      <c r="E800" s="117"/>
      <c r="F800" s="229"/>
      <c r="G800" s="116"/>
      <c r="H800" s="148"/>
      <c r="I800" s="149"/>
      <c r="J800" s="150"/>
      <c r="K800" s="117"/>
      <c r="L800" s="117"/>
      <c r="M800" s="117"/>
    </row>
    <row r="801">
      <c r="A801" s="116"/>
      <c r="B801" s="117"/>
      <c r="C801" s="117"/>
      <c r="D801" s="229"/>
      <c r="E801" s="117"/>
      <c r="F801" s="229"/>
      <c r="G801" s="116"/>
      <c r="H801" s="148"/>
      <c r="I801" s="149"/>
      <c r="J801" s="150"/>
      <c r="K801" s="117"/>
      <c r="L801" s="117"/>
      <c r="M801" s="117"/>
    </row>
    <row r="802">
      <c r="A802" s="116"/>
      <c r="B802" s="117"/>
      <c r="C802" s="117"/>
      <c r="D802" s="229"/>
      <c r="E802" s="117"/>
      <c r="F802" s="229"/>
      <c r="G802" s="116"/>
      <c r="H802" s="148"/>
      <c r="I802" s="149"/>
      <c r="J802" s="150"/>
      <c r="K802" s="117"/>
      <c r="L802" s="117"/>
      <c r="M802" s="117"/>
    </row>
    <row r="803">
      <c r="A803" s="116"/>
      <c r="B803" s="117"/>
      <c r="C803" s="117"/>
      <c r="D803" s="229"/>
      <c r="E803" s="117"/>
      <c r="F803" s="229"/>
      <c r="G803" s="116"/>
      <c r="H803" s="148"/>
      <c r="I803" s="149"/>
      <c r="J803" s="150"/>
      <c r="K803" s="117"/>
      <c r="L803" s="117"/>
      <c r="M803" s="117"/>
    </row>
    <row r="804">
      <c r="A804" s="116"/>
      <c r="B804" s="117"/>
      <c r="C804" s="117"/>
      <c r="D804" s="229"/>
      <c r="E804" s="117"/>
      <c r="F804" s="229"/>
      <c r="G804" s="116"/>
      <c r="H804" s="148"/>
      <c r="I804" s="149"/>
      <c r="J804" s="150"/>
      <c r="K804" s="117"/>
      <c r="L804" s="117"/>
      <c r="M804" s="117"/>
    </row>
    <row r="805">
      <c r="A805" s="116"/>
      <c r="B805" s="117"/>
      <c r="C805" s="117"/>
      <c r="D805" s="229"/>
      <c r="E805" s="117"/>
      <c r="F805" s="229"/>
      <c r="G805" s="116"/>
      <c r="H805" s="148"/>
      <c r="I805" s="149"/>
      <c r="J805" s="150"/>
      <c r="K805" s="117"/>
      <c r="L805" s="117"/>
      <c r="M805" s="117"/>
    </row>
    <row r="806">
      <c r="A806" s="116"/>
      <c r="B806" s="117"/>
      <c r="C806" s="117"/>
      <c r="D806" s="229"/>
      <c r="E806" s="117"/>
      <c r="F806" s="229"/>
      <c r="G806" s="116"/>
      <c r="H806" s="148"/>
      <c r="I806" s="149"/>
      <c r="J806" s="150"/>
      <c r="K806" s="117"/>
      <c r="L806" s="117"/>
      <c r="M806" s="117"/>
    </row>
    <row r="807">
      <c r="A807" s="116"/>
      <c r="B807" s="117"/>
      <c r="C807" s="117"/>
      <c r="D807" s="229"/>
      <c r="E807" s="117"/>
      <c r="F807" s="229"/>
      <c r="G807" s="116"/>
      <c r="H807" s="148"/>
      <c r="I807" s="149"/>
      <c r="J807" s="150"/>
      <c r="K807" s="117"/>
      <c r="L807" s="117"/>
      <c r="M807" s="117"/>
    </row>
    <row r="808">
      <c r="A808" s="116"/>
      <c r="B808" s="117"/>
      <c r="C808" s="117"/>
      <c r="D808" s="229"/>
      <c r="E808" s="117"/>
      <c r="F808" s="229"/>
      <c r="G808" s="116"/>
      <c r="H808" s="148"/>
      <c r="I808" s="149"/>
      <c r="J808" s="150"/>
      <c r="K808" s="117"/>
      <c r="L808" s="117"/>
      <c r="M808" s="117"/>
    </row>
    <row r="809">
      <c r="A809" s="116"/>
      <c r="B809" s="117"/>
      <c r="C809" s="117"/>
      <c r="D809" s="229"/>
      <c r="E809" s="117"/>
      <c r="F809" s="229"/>
      <c r="G809" s="116"/>
      <c r="H809" s="148"/>
      <c r="I809" s="149"/>
      <c r="J809" s="150"/>
      <c r="K809" s="117"/>
      <c r="L809" s="117"/>
      <c r="M809" s="117"/>
    </row>
    <row r="810">
      <c r="A810" s="116"/>
      <c r="B810" s="117"/>
      <c r="C810" s="117"/>
      <c r="D810" s="229"/>
      <c r="E810" s="117"/>
      <c r="F810" s="229"/>
      <c r="G810" s="116"/>
      <c r="H810" s="148"/>
      <c r="I810" s="149"/>
      <c r="J810" s="150"/>
      <c r="K810" s="117"/>
      <c r="L810" s="117"/>
      <c r="M810" s="117"/>
    </row>
    <row r="811">
      <c r="A811" s="116"/>
      <c r="B811" s="117"/>
      <c r="C811" s="117"/>
      <c r="D811" s="229"/>
      <c r="E811" s="117"/>
      <c r="F811" s="229"/>
      <c r="G811" s="116"/>
      <c r="H811" s="148"/>
      <c r="I811" s="149"/>
      <c r="J811" s="150"/>
      <c r="K811" s="117"/>
      <c r="L811" s="117"/>
      <c r="M811" s="117"/>
    </row>
    <row r="812">
      <c r="A812" s="116"/>
      <c r="B812" s="117"/>
      <c r="C812" s="117"/>
      <c r="D812" s="229"/>
      <c r="E812" s="117"/>
      <c r="F812" s="229"/>
      <c r="G812" s="116"/>
      <c r="H812" s="148"/>
      <c r="I812" s="149"/>
      <c r="J812" s="150"/>
      <c r="K812" s="117"/>
      <c r="L812" s="117"/>
      <c r="M812" s="117"/>
    </row>
    <row r="813">
      <c r="A813" s="116"/>
      <c r="B813" s="117"/>
      <c r="C813" s="117"/>
      <c r="D813" s="229"/>
      <c r="E813" s="117"/>
      <c r="F813" s="229"/>
      <c r="G813" s="116"/>
      <c r="H813" s="148"/>
      <c r="I813" s="149"/>
      <c r="J813" s="150"/>
      <c r="K813" s="117"/>
      <c r="L813" s="117"/>
      <c r="M813" s="117"/>
    </row>
    <row r="814">
      <c r="A814" s="116"/>
      <c r="B814" s="117"/>
      <c r="C814" s="117"/>
      <c r="D814" s="229"/>
      <c r="E814" s="117"/>
      <c r="F814" s="229"/>
      <c r="G814" s="116"/>
      <c r="H814" s="148"/>
      <c r="I814" s="149"/>
      <c r="J814" s="150"/>
      <c r="K814" s="117"/>
      <c r="L814" s="117"/>
      <c r="M814" s="117"/>
    </row>
    <row r="815">
      <c r="A815" s="116"/>
      <c r="B815" s="117"/>
      <c r="C815" s="117"/>
      <c r="D815" s="229"/>
      <c r="E815" s="117"/>
      <c r="F815" s="229"/>
      <c r="G815" s="116"/>
      <c r="H815" s="148"/>
      <c r="I815" s="149"/>
      <c r="J815" s="150"/>
      <c r="K815" s="117"/>
      <c r="L815" s="117"/>
      <c r="M815" s="117"/>
    </row>
    <row r="816">
      <c r="A816" s="116"/>
      <c r="B816" s="117"/>
      <c r="C816" s="117"/>
      <c r="D816" s="229"/>
      <c r="E816" s="117"/>
      <c r="F816" s="229"/>
      <c r="G816" s="116"/>
      <c r="H816" s="148"/>
      <c r="I816" s="149"/>
      <c r="J816" s="150"/>
      <c r="K816" s="117"/>
      <c r="L816" s="117"/>
      <c r="M816" s="117"/>
    </row>
    <row r="817">
      <c r="A817" s="116"/>
      <c r="B817" s="117"/>
      <c r="C817" s="117"/>
      <c r="D817" s="229"/>
      <c r="E817" s="117"/>
      <c r="F817" s="229"/>
      <c r="G817" s="116"/>
      <c r="H817" s="148"/>
      <c r="I817" s="149"/>
      <c r="J817" s="150"/>
      <c r="K817" s="117"/>
      <c r="L817" s="117"/>
      <c r="M817" s="117"/>
    </row>
    <row r="818">
      <c r="A818" s="116"/>
      <c r="B818" s="117"/>
      <c r="C818" s="117"/>
      <c r="D818" s="229"/>
      <c r="E818" s="117"/>
      <c r="F818" s="229"/>
      <c r="G818" s="116"/>
      <c r="H818" s="148"/>
      <c r="I818" s="149"/>
      <c r="J818" s="150"/>
      <c r="K818" s="117"/>
      <c r="L818" s="117"/>
      <c r="M818" s="117"/>
    </row>
    <row r="819">
      <c r="A819" s="116"/>
      <c r="B819" s="117"/>
      <c r="C819" s="117"/>
      <c r="D819" s="229"/>
      <c r="E819" s="117"/>
      <c r="F819" s="229"/>
      <c r="G819" s="116"/>
      <c r="H819" s="148"/>
      <c r="I819" s="149"/>
      <c r="J819" s="150"/>
      <c r="K819" s="117"/>
      <c r="L819" s="117"/>
      <c r="M819" s="117"/>
    </row>
    <row r="820">
      <c r="A820" s="116"/>
      <c r="B820" s="117"/>
      <c r="C820" s="117"/>
      <c r="D820" s="229"/>
      <c r="E820" s="117"/>
      <c r="F820" s="229"/>
      <c r="G820" s="116"/>
      <c r="H820" s="148"/>
      <c r="I820" s="149"/>
      <c r="J820" s="150"/>
      <c r="K820" s="117"/>
      <c r="L820" s="117"/>
      <c r="M820" s="117"/>
    </row>
    <row r="821">
      <c r="A821" s="116"/>
      <c r="B821" s="117"/>
      <c r="C821" s="117"/>
      <c r="D821" s="229"/>
      <c r="E821" s="117"/>
      <c r="F821" s="229"/>
      <c r="G821" s="116"/>
      <c r="H821" s="148"/>
      <c r="I821" s="149"/>
      <c r="J821" s="150"/>
      <c r="K821" s="117"/>
      <c r="L821" s="117"/>
      <c r="M821" s="117"/>
    </row>
    <row r="822">
      <c r="A822" s="116"/>
      <c r="B822" s="117"/>
      <c r="C822" s="117"/>
      <c r="D822" s="229"/>
      <c r="E822" s="117"/>
      <c r="F822" s="229"/>
      <c r="G822" s="116"/>
      <c r="H822" s="148"/>
      <c r="I822" s="149"/>
      <c r="J822" s="150"/>
      <c r="K822" s="117"/>
      <c r="L822" s="117"/>
      <c r="M822" s="117"/>
    </row>
    <row r="823">
      <c r="A823" s="116"/>
      <c r="B823" s="117"/>
      <c r="C823" s="117"/>
      <c r="D823" s="229"/>
      <c r="E823" s="117"/>
      <c r="F823" s="229"/>
      <c r="G823" s="116"/>
      <c r="H823" s="148"/>
      <c r="I823" s="149"/>
      <c r="J823" s="150"/>
      <c r="K823" s="117"/>
      <c r="L823" s="117"/>
      <c r="M823" s="117"/>
    </row>
    <row r="824">
      <c r="A824" s="116"/>
      <c r="B824" s="117"/>
      <c r="C824" s="117"/>
      <c r="D824" s="229"/>
      <c r="E824" s="117"/>
      <c r="F824" s="229"/>
      <c r="G824" s="116"/>
      <c r="H824" s="148"/>
      <c r="I824" s="149"/>
      <c r="J824" s="150"/>
      <c r="K824" s="117"/>
      <c r="L824" s="117"/>
      <c r="M824" s="117"/>
    </row>
    <row r="825">
      <c r="A825" s="116"/>
      <c r="B825" s="117"/>
      <c r="C825" s="117"/>
      <c r="D825" s="229"/>
      <c r="E825" s="117"/>
      <c r="F825" s="229"/>
      <c r="G825" s="116"/>
      <c r="H825" s="148"/>
      <c r="I825" s="149"/>
      <c r="J825" s="150"/>
      <c r="K825" s="117"/>
      <c r="L825" s="117"/>
      <c r="M825" s="117"/>
    </row>
    <row r="826">
      <c r="A826" s="116"/>
      <c r="B826" s="117"/>
      <c r="C826" s="117"/>
      <c r="D826" s="229"/>
      <c r="E826" s="117"/>
      <c r="F826" s="229"/>
      <c r="G826" s="116"/>
      <c r="H826" s="148"/>
      <c r="I826" s="149"/>
      <c r="J826" s="150"/>
      <c r="K826" s="117"/>
      <c r="L826" s="117"/>
      <c r="M826" s="117"/>
    </row>
    <row r="827">
      <c r="A827" s="116"/>
      <c r="B827" s="117"/>
      <c r="C827" s="117"/>
      <c r="D827" s="229"/>
      <c r="E827" s="117"/>
      <c r="F827" s="229"/>
      <c r="G827" s="116"/>
      <c r="H827" s="148"/>
      <c r="I827" s="149"/>
      <c r="J827" s="150"/>
      <c r="K827" s="117"/>
      <c r="L827" s="117"/>
      <c r="M827" s="117"/>
    </row>
    <row r="828">
      <c r="A828" s="116"/>
      <c r="B828" s="117"/>
      <c r="C828" s="117"/>
      <c r="D828" s="229"/>
      <c r="E828" s="117"/>
      <c r="F828" s="229"/>
      <c r="G828" s="116"/>
      <c r="H828" s="148"/>
      <c r="I828" s="149"/>
      <c r="J828" s="150"/>
      <c r="K828" s="117"/>
      <c r="L828" s="117"/>
      <c r="M828" s="117"/>
    </row>
    <row r="829">
      <c r="A829" s="116"/>
      <c r="B829" s="117"/>
      <c r="C829" s="117"/>
      <c r="D829" s="229"/>
      <c r="E829" s="117"/>
      <c r="F829" s="229"/>
      <c r="G829" s="116"/>
      <c r="H829" s="148"/>
      <c r="I829" s="149"/>
      <c r="J829" s="150"/>
      <c r="K829" s="117"/>
      <c r="L829" s="117"/>
      <c r="M829" s="117"/>
    </row>
    <row r="830">
      <c r="A830" s="116"/>
      <c r="B830" s="117"/>
      <c r="C830" s="117"/>
      <c r="D830" s="229"/>
      <c r="E830" s="117"/>
      <c r="F830" s="229"/>
      <c r="G830" s="116"/>
      <c r="H830" s="148"/>
      <c r="I830" s="149"/>
      <c r="J830" s="150"/>
      <c r="K830" s="117"/>
      <c r="L830" s="117"/>
      <c r="M830" s="117"/>
    </row>
    <row r="831">
      <c r="A831" s="116"/>
      <c r="B831" s="117"/>
      <c r="C831" s="117"/>
      <c r="D831" s="229"/>
      <c r="E831" s="117"/>
      <c r="F831" s="229"/>
      <c r="G831" s="116"/>
      <c r="H831" s="148"/>
      <c r="I831" s="149"/>
      <c r="J831" s="150"/>
      <c r="K831" s="117"/>
      <c r="L831" s="117"/>
      <c r="M831" s="117"/>
    </row>
    <row r="832">
      <c r="A832" s="116"/>
      <c r="B832" s="117"/>
      <c r="C832" s="117"/>
      <c r="D832" s="229"/>
      <c r="E832" s="117"/>
      <c r="F832" s="229"/>
      <c r="G832" s="116"/>
      <c r="H832" s="148"/>
      <c r="I832" s="149"/>
      <c r="J832" s="150"/>
      <c r="K832" s="117"/>
      <c r="L832" s="117"/>
      <c r="M832" s="117"/>
    </row>
    <row r="833">
      <c r="A833" s="116"/>
      <c r="B833" s="117"/>
      <c r="C833" s="117"/>
      <c r="D833" s="229"/>
      <c r="E833" s="117"/>
      <c r="F833" s="229"/>
      <c r="G833" s="116"/>
      <c r="H833" s="148"/>
      <c r="I833" s="149"/>
      <c r="J833" s="150"/>
      <c r="K833" s="117"/>
      <c r="L833" s="117"/>
      <c r="M833" s="117"/>
    </row>
    <row r="834">
      <c r="A834" s="116"/>
      <c r="B834" s="117"/>
      <c r="C834" s="117"/>
      <c r="D834" s="229"/>
      <c r="E834" s="117"/>
      <c r="F834" s="229"/>
      <c r="G834" s="116"/>
      <c r="H834" s="148"/>
      <c r="I834" s="149"/>
      <c r="J834" s="150"/>
      <c r="K834" s="117"/>
      <c r="L834" s="117"/>
      <c r="M834" s="117"/>
    </row>
    <row r="835">
      <c r="A835" s="116"/>
      <c r="B835" s="117"/>
      <c r="C835" s="117"/>
      <c r="D835" s="229"/>
      <c r="E835" s="117"/>
      <c r="F835" s="229"/>
      <c r="G835" s="116"/>
      <c r="H835" s="148"/>
      <c r="I835" s="149"/>
      <c r="J835" s="150"/>
      <c r="K835" s="117"/>
      <c r="L835" s="117"/>
      <c r="M835" s="117"/>
    </row>
    <row r="836">
      <c r="A836" s="116"/>
      <c r="B836" s="117"/>
      <c r="C836" s="117"/>
      <c r="D836" s="229"/>
      <c r="E836" s="117"/>
      <c r="F836" s="229"/>
      <c r="G836" s="116"/>
      <c r="H836" s="148"/>
      <c r="I836" s="149"/>
      <c r="J836" s="150"/>
      <c r="K836" s="117"/>
      <c r="L836" s="117"/>
      <c r="M836" s="117"/>
    </row>
    <row r="837">
      <c r="A837" s="116"/>
      <c r="B837" s="117"/>
      <c r="C837" s="117"/>
      <c r="D837" s="229"/>
      <c r="E837" s="117"/>
      <c r="F837" s="229"/>
      <c r="G837" s="116"/>
      <c r="H837" s="148"/>
      <c r="I837" s="149"/>
      <c r="J837" s="150"/>
      <c r="K837" s="117"/>
      <c r="L837" s="117"/>
      <c r="M837" s="117"/>
    </row>
    <row r="838">
      <c r="A838" s="116"/>
      <c r="B838" s="117"/>
      <c r="C838" s="117"/>
      <c r="D838" s="229"/>
      <c r="E838" s="117"/>
      <c r="F838" s="229"/>
      <c r="G838" s="116"/>
      <c r="H838" s="148"/>
      <c r="I838" s="149"/>
      <c r="J838" s="150"/>
      <c r="K838" s="117"/>
      <c r="L838" s="117"/>
      <c r="M838" s="117"/>
    </row>
    <row r="839">
      <c r="A839" s="116"/>
      <c r="B839" s="117"/>
      <c r="C839" s="117"/>
      <c r="D839" s="229"/>
      <c r="E839" s="117"/>
      <c r="F839" s="229"/>
      <c r="G839" s="116"/>
      <c r="H839" s="148"/>
      <c r="I839" s="149"/>
      <c r="J839" s="150"/>
      <c r="K839" s="117"/>
      <c r="L839" s="117"/>
      <c r="M839" s="117"/>
    </row>
    <row r="840">
      <c r="A840" s="116"/>
      <c r="B840" s="117"/>
      <c r="C840" s="117"/>
      <c r="D840" s="229"/>
      <c r="E840" s="117"/>
      <c r="F840" s="229"/>
      <c r="G840" s="116"/>
      <c r="H840" s="148"/>
      <c r="I840" s="149"/>
      <c r="J840" s="150"/>
      <c r="K840" s="117"/>
      <c r="L840" s="117"/>
      <c r="M840" s="117"/>
    </row>
    <row r="841">
      <c r="A841" s="116"/>
      <c r="B841" s="117"/>
      <c r="C841" s="117"/>
      <c r="D841" s="229"/>
      <c r="E841" s="117"/>
      <c r="F841" s="229"/>
      <c r="G841" s="116"/>
      <c r="H841" s="148"/>
      <c r="I841" s="149"/>
      <c r="J841" s="150"/>
      <c r="K841" s="117"/>
      <c r="L841" s="117"/>
      <c r="M841" s="117"/>
    </row>
    <row r="842">
      <c r="A842" s="116"/>
      <c r="B842" s="117"/>
      <c r="C842" s="117"/>
      <c r="D842" s="229"/>
      <c r="E842" s="117"/>
      <c r="F842" s="229"/>
      <c r="G842" s="116"/>
      <c r="H842" s="148"/>
      <c r="I842" s="149"/>
      <c r="J842" s="150"/>
      <c r="K842" s="117"/>
      <c r="L842" s="117"/>
      <c r="M842" s="117"/>
    </row>
    <row r="843">
      <c r="A843" s="116"/>
      <c r="B843" s="117"/>
      <c r="C843" s="117"/>
      <c r="D843" s="229"/>
      <c r="E843" s="117"/>
      <c r="F843" s="229"/>
      <c r="G843" s="116"/>
      <c r="H843" s="148"/>
      <c r="I843" s="149"/>
      <c r="J843" s="150"/>
      <c r="K843" s="117"/>
      <c r="L843" s="117"/>
      <c r="M843" s="117"/>
    </row>
    <row r="844">
      <c r="A844" s="116"/>
      <c r="B844" s="117"/>
      <c r="C844" s="117"/>
      <c r="D844" s="229"/>
      <c r="E844" s="117"/>
      <c r="F844" s="229"/>
      <c r="G844" s="116"/>
      <c r="H844" s="148"/>
      <c r="I844" s="149"/>
      <c r="J844" s="150"/>
      <c r="K844" s="117"/>
      <c r="L844" s="117"/>
      <c r="M844" s="117"/>
    </row>
    <row r="845">
      <c r="A845" s="116"/>
      <c r="B845" s="117"/>
      <c r="C845" s="117"/>
      <c r="D845" s="229"/>
      <c r="E845" s="117"/>
      <c r="F845" s="229"/>
      <c r="G845" s="116"/>
      <c r="H845" s="148"/>
      <c r="I845" s="149"/>
      <c r="J845" s="150"/>
      <c r="K845" s="117"/>
      <c r="L845" s="117"/>
      <c r="M845" s="117"/>
    </row>
    <row r="846">
      <c r="A846" s="116"/>
      <c r="B846" s="117"/>
      <c r="C846" s="117"/>
      <c r="D846" s="229"/>
      <c r="E846" s="117"/>
      <c r="F846" s="229"/>
      <c r="G846" s="116"/>
      <c r="H846" s="148"/>
      <c r="I846" s="149"/>
      <c r="J846" s="150"/>
      <c r="K846" s="117"/>
      <c r="L846" s="117"/>
      <c r="M846" s="117"/>
    </row>
    <row r="847">
      <c r="A847" s="116"/>
      <c r="B847" s="117"/>
      <c r="C847" s="117"/>
      <c r="D847" s="229"/>
      <c r="E847" s="117"/>
      <c r="F847" s="229"/>
      <c r="G847" s="116"/>
      <c r="H847" s="148"/>
      <c r="I847" s="149"/>
      <c r="J847" s="150"/>
      <c r="K847" s="117"/>
      <c r="L847" s="117"/>
      <c r="M847" s="117"/>
    </row>
    <row r="848">
      <c r="A848" s="116"/>
      <c r="B848" s="117"/>
      <c r="C848" s="117"/>
      <c r="D848" s="229"/>
      <c r="E848" s="117"/>
      <c r="F848" s="229"/>
      <c r="G848" s="116"/>
      <c r="H848" s="148"/>
      <c r="I848" s="149"/>
      <c r="J848" s="150"/>
      <c r="K848" s="117"/>
      <c r="L848" s="117"/>
      <c r="M848" s="117"/>
    </row>
    <row r="849">
      <c r="A849" s="116"/>
      <c r="B849" s="117"/>
      <c r="C849" s="117"/>
      <c r="D849" s="229"/>
      <c r="E849" s="117"/>
      <c r="F849" s="229"/>
      <c r="G849" s="116"/>
      <c r="H849" s="148"/>
      <c r="I849" s="149"/>
      <c r="J849" s="150"/>
      <c r="K849" s="117"/>
      <c r="L849" s="117"/>
      <c r="M849" s="117"/>
    </row>
    <row r="850">
      <c r="A850" s="116"/>
      <c r="B850" s="117"/>
      <c r="C850" s="117"/>
      <c r="D850" s="229"/>
      <c r="E850" s="117"/>
      <c r="F850" s="229"/>
      <c r="G850" s="116"/>
      <c r="H850" s="148"/>
      <c r="I850" s="149"/>
      <c r="J850" s="150"/>
      <c r="K850" s="117"/>
      <c r="L850" s="117"/>
      <c r="M850" s="117"/>
    </row>
    <row r="851">
      <c r="A851" s="116"/>
      <c r="B851" s="117"/>
      <c r="C851" s="117"/>
      <c r="D851" s="229"/>
      <c r="E851" s="117"/>
      <c r="F851" s="229"/>
      <c r="G851" s="116"/>
      <c r="H851" s="148"/>
      <c r="I851" s="149"/>
      <c r="J851" s="150"/>
      <c r="K851" s="117"/>
      <c r="L851" s="117"/>
      <c r="M851" s="117"/>
    </row>
    <row r="852">
      <c r="A852" s="116"/>
      <c r="B852" s="117"/>
      <c r="C852" s="117"/>
      <c r="D852" s="229"/>
      <c r="E852" s="117"/>
      <c r="F852" s="229"/>
      <c r="G852" s="116"/>
      <c r="H852" s="148"/>
      <c r="I852" s="149"/>
      <c r="J852" s="150"/>
      <c r="K852" s="117"/>
      <c r="L852" s="117"/>
      <c r="M852" s="117"/>
    </row>
    <row r="853">
      <c r="A853" s="116"/>
      <c r="B853" s="117"/>
      <c r="C853" s="117"/>
      <c r="D853" s="229"/>
      <c r="E853" s="117"/>
      <c r="F853" s="229"/>
      <c r="G853" s="116"/>
      <c r="H853" s="148"/>
      <c r="I853" s="149"/>
      <c r="J853" s="150"/>
      <c r="K853" s="117"/>
      <c r="L853" s="117"/>
      <c r="M853" s="117"/>
    </row>
    <row r="854">
      <c r="A854" s="116"/>
      <c r="B854" s="117"/>
      <c r="C854" s="117"/>
      <c r="D854" s="229"/>
      <c r="E854" s="117"/>
      <c r="F854" s="229"/>
      <c r="G854" s="116"/>
      <c r="H854" s="148"/>
      <c r="I854" s="149"/>
      <c r="J854" s="150"/>
      <c r="K854" s="117"/>
      <c r="L854" s="117"/>
      <c r="M854" s="117"/>
    </row>
    <row r="855">
      <c r="A855" s="116"/>
      <c r="B855" s="117"/>
      <c r="C855" s="117"/>
      <c r="D855" s="229"/>
      <c r="E855" s="117"/>
      <c r="F855" s="229"/>
      <c r="G855" s="116"/>
      <c r="H855" s="148"/>
      <c r="I855" s="149"/>
      <c r="J855" s="150"/>
      <c r="K855" s="117"/>
      <c r="L855" s="117"/>
      <c r="M855" s="117"/>
    </row>
    <row r="856">
      <c r="A856" s="116"/>
      <c r="B856" s="117"/>
      <c r="C856" s="117"/>
      <c r="D856" s="229"/>
      <c r="E856" s="117"/>
      <c r="F856" s="229"/>
      <c r="G856" s="116"/>
      <c r="H856" s="148"/>
      <c r="I856" s="149"/>
      <c r="J856" s="150"/>
      <c r="K856" s="117"/>
      <c r="L856" s="117"/>
      <c r="M856" s="117"/>
    </row>
    <row r="857">
      <c r="A857" s="116"/>
      <c r="B857" s="117"/>
      <c r="C857" s="117"/>
      <c r="D857" s="229"/>
      <c r="E857" s="117"/>
      <c r="F857" s="229"/>
      <c r="G857" s="116"/>
      <c r="H857" s="148"/>
      <c r="I857" s="149"/>
      <c r="J857" s="150"/>
      <c r="K857" s="117"/>
      <c r="L857" s="117"/>
      <c r="M857" s="117"/>
    </row>
    <row r="858">
      <c r="A858" s="116"/>
      <c r="B858" s="117"/>
      <c r="C858" s="117"/>
      <c r="D858" s="229"/>
      <c r="E858" s="117"/>
      <c r="F858" s="229"/>
      <c r="G858" s="116"/>
      <c r="H858" s="148"/>
      <c r="I858" s="149"/>
      <c r="J858" s="150"/>
      <c r="K858" s="117"/>
      <c r="L858" s="117"/>
      <c r="M858" s="117"/>
    </row>
    <row r="859">
      <c r="A859" s="116"/>
      <c r="B859" s="117"/>
      <c r="C859" s="117"/>
      <c r="D859" s="229"/>
      <c r="E859" s="117"/>
      <c r="F859" s="229"/>
      <c r="G859" s="116"/>
      <c r="H859" s="148"/>
      <c r="I859" s="149"/>
      <c r="J859" s="150"/>
      <c r="K859" s="117"/>
      <c r="L859" s="117"/>
      <c r="M859" s="117"/>
    </row>
    <row r="860">
      <c r="A860" s="116"/>
      <c r="B860" s="117"/>
      <c r="C860" s="117"/>
      <c r="D860" s="229"/>
      <c r="E860" s="117"/>
      <c r="F860" s="229"/>
      <c r="G860" s="116"/>
      <c r="H860" s="148"/>
      <c r="I860" s="149"/>
      <c r="J860" s="150"/>
      <c r="K860" s="117"/>
      <c r="L860" s="117"/>
      <c r="M860" s="117"/>
    </row>
    <row r="861">
      <c r="A861" s="116"/>
      <c r="B861" s="117"/>
      <c r="C861" s="117"/>
      <c r="D861" s="229"/>
      <c r="E861" s="117"/>
      <c r="F861" s="229"/>
      <c r="G861" s="116"/>
      <c r="H861" s="148"/>
      <c r="I861" s="149"/>
      <c r="J861" s="150"/>
      <c r="K861" s="117"/>
      <c r="L861" s="117"/>
      <c r="M861" s="117"/>
    </row>
    <row r="862">
      <c r="A862" s="116"/>
      <c r="B862" s="117"/>
      <c r="C862" s="117"/>
      <c r="D862" s="229"/>
      <c r="E862" s="117"/>
      <c r="F862" s="229"/>
      <c r="G862" s="116"/>
      <c r="H862" s="148"/>
      <c r="I862" s="149"/>
      <c r="J862" s="150"/>
      <c r="K862" s="117"/>
      <c r="L862" s="117"/>
      <c r="M862" s="117"/>
    </row>
    <row r="863">
      <c r="A863" s="116"/>
      <c r="B863" s="117"/>
      <c r="C863" s="117"/>
      <c r="D863" s="229"/>
      <c r="E863" s="117"/>
      <c r="F863" s="229"/>
      <c r="G863" s="116"/>
      <c r="H863" s="148"/>
      <c r="I863" s="149"/>
      <c r="J863" s="150"/>
      <c r="K863" s="117"/>
      <c r="L863" s="117"/>
      <c r="M863" s="117"/>
    </row>
    <row r="864">
      <c r="A864" s="116"/>
      <c r="B864" s="117"/>
      <c r="C864" s="117"/>
      <c r="D864" s="229"/>
      <c r="E864" s="117"/>
      <c r="F864" s="229"/>
      <c r="G864" s="116"/>
      <c r="H864" s="148"/>
      <c r="I864" s="149"/>
      <c r="J864" s="150"/>
      <c r="K864" s="117"/>
      <c r="L864" s="117"/>
      <c r="M864" s="117"/>
    </row>
    <row r="865">
      <c r="A865" s="116"/>
      <c r="B865" s="117"/>
      <c r="C865" s="117"/>
      <c r="D865" s="229"/>
      <c r="E865" s="117"/>
      <c r="F865" s="229"/>
      <c r="G865" s="116"/>
      <c r="H865" s="148"/>
      <c r="I865" s="149"/>
      <c r="J865" s="150"/>
      <c r="K865" s="117"/>
      <c r="L865" s="117"/>
      <c r="M865" s="117"/>
    </row>
    <row r="866">
      <c r="A866" s="116"/>
      <c r="B866" s="117"/>
      <c r="C866" s="117"/>
      <c r="D866" s="229"/>
      <c r="E866" s="117"/>
      <c r="F866" s="229"/>
      <c r="G866" s="116"/>
      <c r="H866" s="148"/>
      <c r="I866" s="149"/>
      <c r="J866" s="150"/>
      <c r="K866" s="117"/>
      <c r="L866" s="117"/>
      <c r="M866" s="117"/>
    </row>
    <row r="867">
      <c r="A867" s="116"/>
      <c r="B867" s="117"/>
      <c r="C867" s="117"/>
      <c r="D867" s="229"/>
      <c r="E867" s="117"/>
      <c r="F867" s="229"/>
      <c r="G867" s="116"/>
      <c r="H867" s="148"/>
      <c r="I867" s="149"/>
      <c r="J867" s="150"/>
      <c r="K867" s="117"/>
      <c r="L867" s="117"/>
      <c r="M867" s="117"/>
    </row>
    <row r="868">
      <c r="A868" s="116"/>
      <c r="B868" s="117"/>
      <c r="C868" s="117"/>
      <c r="D868" s="229"/>
      <c r="E868" s="117"/>
      <c r="F868" s="229"/>
      <c r="G868" s="116"/>
      <c r="H868" s="148"/>
      <c r="I868" s="149"/>
      <c r="J868" s="150"/>
      <c r="K868" s="117"/>
      <c r="L868" s="117"/>
      <c r="M868" s="117"/>
    </row>
    <row r="869">
      <c r="A869" s="116"/>
      <c r="B869" s="117"/>
      <c r="C869" s="117"/>
      <c r="D869" s="229"/>
      <c r="E869" s="117"/>
      <c r="F869" s="229"/>
      <c r="G869" s="116"/>
      <c r="H869" s="148"/>
      <c r="I869" s="149"/>
      <c r="J869" s="150"/>
      <c r="K869" s="117"/>
      <c r="L869" s="117"/>
      <c r="M869" s="117"/>
    </row>
    <row r="870">
      <c r="A870" s="116"/>
      <c r="B870" s="117"/>
      <c r="C870" s="117"/>
      <c r="D870" s="229"/>
      <c r="E870" s="117"/>
      <c r="F870" s="229"/>
      <c r="G870" s="116"/>
      <c r="H870" s="148"/>
      <c r="I870" s="149"/>
      <c r="J870" s="150"/>
      <c r="K870" s="117"/>
      <c r="L870" s="117"/>
      <c r="M870" s="117"/>
    </row>
    <row r="871">
      <c r="A871" s="116"/>
      <c r="B871" s="117"/>
      <c r="C871" s="117"/>
      <c r="D871" s="229"/>
      <c r="E871" s="117"/>
      <c r="F871" s="229"/>
      <c r="G871" s="116"/>
      <c r="H871" s="148"/>
      <c r="I871" s="149"/>
      <c r="J871" s="150"/>
      <c r="K871" s="117"/>
      <c r="L871" s="117"/>
      <c r="M871" s="117"/>
    </row>
    <row r="872">
      <c r="A872" s="116"/>
      <c r="B872" s="117"/>
      <c r="C872" s="117"/>
      <c r="D872" s="229"/>
      <c r="E872" s="117"/>
      <c r="F872" s="229"/>
      <c r="G872" s="116"/>
      <c r="H872" s="148"/>
      <c r="I872" s="149"/>
      <c r="J872" s="150"/>
      <c r="K872" s="117"/>
      <c r="L872" s="117"/>
      <c r="M872" s="117"/>
    </row>
    <row r="873">
      <c r="A873" s="116"/>
      <c r="B873" s="117"/>
      <c r="C873" s="117"/>
      <c r="D873" s="229"/>
      <c r="E873" s="117"/>
      <c r="F873" s="229"/>
      <c r="G873" s="116"/>
      <c r="H873" s="148"/>
      <c r="I873" s="149"/>
      <c r="J873" s="150"/>
      <c r="K873" s="117"/>
      <c r="L873" s="117"/>
      <c r="M873" s="117"/>
    </row>
    <row r="874">
      <c r="A874" s="116"/>
      <c r="B874" s="117"/>
      <c r="C874" s="117"/>
      <c r="D874" s="229"/>
      <c r="E874" s="117"/>
      <c r="F874" s="229"/>
      <c r="G874" s="116"/>
      <c r="H874" s="148"/>
      <c r="I874" s="149"/>
      <c r="J874" s="150"/>
      <c r="K874" s="117"/>
      <c r="L874" s="117"/>
      <c r="M874" s="117"/>
    </row>
    <row r="875">
      <c r="A875" s="116"/>
      <c r="B875" s="117"/>
      <c r="C875" s="117"/>
      <c r="D875" s="229"/>
      <c r="E875" s="117"/>
      <c r="F875" s="229"/>
      <c r="G875" s="116"/>
      <c r="H875" s="148"/>
      <c r="I875" s="149"/>
      <c r="J875" s="150"/>
      <c r="K875" s="117"/>
      <c r="L875" s="117"/>
      <c r="M875" s="117"/>
    </row>
    <row r="876">
      <c r="A876" s="116"/>
      <c r="B876" s="117"/>
      <c r="C876" s="117"/>
      <c r="D876" s="229"/>
      <c r="E876" s="117"/>
      <c r="F876" s="229"/>
      <c r="G876" s="116"/>
      <c r="H876" s="148"/>
      <c r="I876" s="149"/>
      <c r="J876" s="150"/>
      <c r="K876" s="117"/>
      <c r="L876" s="117"/>
      <c r="M876" s="117"/>
    </row>
    <row r="877">
      <c r="A877" s="116"/>
      <c r="B877" s="117"/>
      <c r="C877" s="117"/>
      <c r="D877" s="229"/>
      <c r="E877" s="117"/>
      <c r="F877" s="229"/>
      <c r="G877" s="116"/>
      <c r="H877" s="148"/>
      <c r="I877" s="149"/>
      <c r="J877" s="150"/>
      <c r="K877" s="117"/>
      <c r="L877" s="117"/>
      <c r="M877" s="117"/>
    </row>
    <row r="878">
      <c r="A878" s="116"/>
      <c r="B878" s="117"/>
      <c r="C878" s="117"/>
      <c r="D878" s="229"/>
      <c r="E878" s="117"/>
      <c r="F878" s="229"/>
      <c r="G878" s="116"/>
      <c r="H878" s="148"/>
      <c r="I878" s="149"/>
      <c r="J878" s="150"/>
      <c r="K878" s="117"/>
      <c r="L878" s="117"/>
      <c r="M878" s="117"/>
    </row>
    <row r="879">
      <c r="A879" s="116"/>
      <c r="B879" s="117"/>
      <c r="C879" s="117"/>
      <c r="D879" s="229"/>
      <c r="E879" s="117"/>
      <c r="F879" s="229"/>
      <c r="G879" s="116"/>
      <c r="H879" s="148"/>
      <c r="I879" s="149"/>
      <c r="J879" s="150"/>
      <c r="K879" s="117"/>
      <c r="L879" s="117"/>
      <c r="M879" s="117"/>
    </row>
    <row r="880">
      <c r="A880" s="116"/>
      <c r="B880" s="117"/>
      <c r="C880" s="117"/>
      <c r="D880" s="229"/>
      <c r="E880" s="117"/>
      <c r="F880" s="229"/>
      <c r="G880" s="116"/>
      <c r="H880" s="148"/>
      <c r="I880" s="149"/>
      <c r="J880" s="150"/>
      <c r="K880" s="117"/>
      <c r="L880" s="117"/>
      <c r="M880" s="117"/>
    </row>
    <row r="881">
      <c r="A881" s="116"/>
      <c r="B881" s="117"/>
      <c r="C881" s="117"/>
      <c r="D881" s="229"/>
      <c r="E881" s="117"/>
      <c r="F881" s="229"/>
      <c r="G881" s="116"/>
      <c r="H881" s="148"/>
      <c r="I881" s="149"/>
      <c r="J881" s="150"/>
      <c r="K881" s="117"/>
      <c r="L881" s="117"/>
      <c r="M881" s="117"/>
    </row>
    <row r="882">
      <c r="A882" s="116"/>
      <c r="B882" s="117"/>
      <c r="C882" s="117"/>
      <c r="D882" s="229"/>
      <c r="E882" s="117"/>
      <c r="F882" s="229"/>
      <c r="G882" s="116"/>
      <c r="H882" s="148"/>
      <c r="I882" s="149"/>
      <c r="J882" s="150"/>
      <c r="K882" s="117"/>
      <c r="L882" s="117"/>
      <c r="M882" s="117"/>
    </row>
    <row r="883">
      <c r="A883" s="116"/>
      <c r="B883" s="117"/>
      <c r="C883" s="117"/>
      <c r="D883" s="229"/>
      <c r="E883" s="117"/>
      <c r="F883" s="229"/>
      <c r="G883" s="116"/>
      <c r="H883" s="148"/>
      <c r="I883" s="149"/>
      <c r="J883" s="150"/>
      <c r="K883" s="117"/>
      <c r="L883" s="117"/>
      <c r="M883" s="117"/>
    </row>
    <row r="884">
      <c r="A884" s="116"/>
      <c r="B884" s="117"/>
      <c r="C884" s="117"/>
      <c r="D884" s="229"/>
      <c r="E884" s="117"/>
      <c r="F884" s="229"/>
      <c r="G884" s="116"/>
      <c r="H884" s="148"/>
      <c r="I884" s="149"/>
      <c r="J884" s="150"/>
      <c r="K884" s="117"/>
      <c r="L884" s="117"/>
      <c r="M884" s="117"/>
    </row>
    <row r="885">
      <c r="A885" s="116"/>
      <c r="B885" s="117"/>
      <c r="C885" s="117"/>
      <c r="D885" s="229"/>
      <c r="E885" s="117"/>
      <c r="F885" s="229"/>
      <c r="G885" s="116"/>
      <c r="H885" s="148"/>
      <c r="I885" s="149"/>
      <c r="J885" s="150"/>
      <c r="K885" s="117"/>
      <c r="L885" s="117"/>
      <c r="M885" s="117"/>
    </row>
    <row r="886">
      <c r="A886" s="116"/>
      <c r="B886" s="117"/>
      <c r="C886" s="117"/>
      <c r="D886" s="229"/>
      <c r="E886" s="117"/>
      <c r="F886" s="229"/>
      <c r="G886" s="116"/>
      <c r="H886" s="148"/>
      <c r="I886" s="149"/>
      <c r="J886" s="150"/>
      <c r="K886" s="117"/>
      <c r="L886" s="117"/>
      <c r="M886" s="117"/>
    </row>
    <row r="887">
      <c r="A887" s="116"/>
      <c r="B887" s="117"/>
      <c r="C887" s="117"/>
      <c r="D887" s="229"/>
      <c r="E887" s="117"/>
      <c r="F887" s="229"/>
      <c r="G887" s="116"/>
      <c r="H887" s="148"/>
      <c r="I887" s="149"/>
      <c r="J887" s="150"/>
      <c r="K887" s="117"/>
      <c r="L887" s="117"/>
      <c r="M887" s="117"/>
    </row>
    <row r="888">
      <c r="A888" s="116"/>
      <c r="B888" s="117"/>
      <c r="C888" s="117"/>
      <c r="D888" s="229"/>
      <c r="E888" s="117"/>
      <c r="F888" s="229"/>
      <c r="G888" s="116"/>
      <c r="H888" s="148"/>
      <c r="I888" s="149"/>
      <c r="J888" s="150"/>
      <c r="K888" s="117"/>
      <c r="L888" s="117"/>
      <c r="M888" s="117"/>
    </row>
    <row r="889">
      <c r="A889" s="116"/>
      <c r="B889" s="117"/>
      <c r="C889" s="117"/>
      <c r="D889" s="229"/>
      <c r="E889" s="117"/>
      <c r="F889" s="229"/>
      <c r="G889" s="116"/>
      <c r="H889" s="148"/>
      <c r="I889" s="149"/>
      <c r="J889" s="150"/>
      <c r="K889" s="117"/>
      <c r="L889" s="117"/>
      <c r="M889" s="117"/>
    </row>
    <row r="890">
      <c r="A890" s="116"/>
      <c r="B890" s="117"/>
      <c r="C890" s="117"/>
      <c r="D890" s="229"/>
      <c r="E890" s="117"/>
      <c r="F890" s="229"/>
      <c r="G890" s="116"/>
      <c r="H890" s="148"/>
      <c r="I890" s="149"/>
      <c r="J890" s="150"/>
      <c r="K890" s="117"/>
      <c r="L890" s="117"/>
      <c r="M890" s="117"/>
    </row>
    <row r="891">
      <c r="A891" s="116"/>
      <c r="B891" s="117"/>
      <c r="C891" s="117"/>
      <c r="D891" s="229"/>
      <c r="E891" s="117"/>
      <c r="F891" s="229"/>
      <c r="G891" s="116"/>
      <c r="H891" s="148"/>
      <c r="I891" s="149"/>
      <c r="J891" s="150"/>
      <c r="K891" s="117"/>
      <c r="L891" s="117"/>
      <c r="M891" s="117"/>
    </row>
    <row r="892">
      <c r="A892" s="116"/>
      <c r="B892" s="117"/>
      <c r="C892" s="117"/>
      <c r="D892" s="229"/>
      <c r="E892" s="117"/>
      <c r="F892" s="229"/>
      <c r="G892" s="116"/>
      <c r="H892" s="148"/>
      <c r="I892" s="149"/>
      <c r="J892" s="150"/>
      <c r="K892" s="117"/>
      <c r="L892" s="117"/>
      <c r="M892" s="117"/>
    </row>
    <row r="893">
      <c r="A893" s="116"/>
      <c r="B893" s="117"/>
      <c r="C893" s="117"/>
      <c r="D893" s="229"/>
      <c r="E893" s="117"/>
      <c r="F893" s="229"/>
      <c r="G893" s="116"/>
      <c r="H893" s="148"/>
      <c r="I893" s="149"/>
      <c r="J893" s="150"/>
      <c r="K893" s="117"/>
      <c r="L893" s="117"/>
      <c r="M893" s="117"/>
    </row>
    <row r="894">
      <c r="A894" s="116"/>
      <c r="B894" s="117"/>
      <c r="C894" s="117"/>
      <c r="D894" s="229"/>
      <c r="E894" s="117"/>
      <c r="F894" s="229"/>
      <c r="G894" s="116"/>
      <c r="H894" s="148"/>
      <c r="I894" s="149"/>
      <c r="J894" s="150"/>
      <c r="K894" s="117"/>
      <c r="L894" s="117"/>
      <c r="M894" s="117"/>
    </row>
    <row r="895">
      <c r="A895" s="116"/>
      <c r="B895" s="117"/>
      <c r="C895" s="117"/>
      <c r="D895" s="229"/>
      <c r="E895" s="117"/>
      <c r="F895" s="229"/>
      <c r="G895" s="116"/>
      <c r="H895" s="148"/>
      <c r="I895" s="149"/>
      <c r="J895" s="150"/>
      <c r="K895" s="117"/>
      <c r="L895" s="117"/>
      <c r="M895" s="117"/>
    </row>
    <row r="896">
      <c r="A896" s="116"/>
      <c r="B896" s="117"/>
      <c r="C896" s="117"/>
      <c r="D896" s="229"/>
      <c r="E896" s="117"/>
      <c r="F896" s="229"/>
      <c r="G896" s="116"/>
      <c r="H896" s="148"/>
      <c r="I896" s="149"/>
      <c r="J896" s="150"/>
      <c r="K896" s="117"/>
      <c r="L896" s="117"/>
      <c r="M896" s="117"/>
    </row>
    <row r="897">
      <c r="A897" s="116"/>
      <c r="B897" s="117"/>
      <c r="C897" s="117"/>
      <c r="D897" s="229"/>
      <c r="E897" s="117"/>
      <c r="F897" s="229"/>
      <c r="G897" s="116"/>
      <c r="H897" s="148"/>
      <c r="I897" s="149"/>
      <c r="J897" s="150"/>
      <c r="K897" s="117"/>
      <c r="L897" s="117"/>
      <c r="M897" s="117"/>
    </row>
    <row r="898">
      <c r="A898" s="116"/>
      <c r="B898" s="117"/>
      <c r="C898" s="117"/>
      <c r="D898" s="229"/>
      <c r="E898" s="117"/>
      <c r="F898" s="229"/>
      <c r="G898" s="116"/>
      <c r="H898" s="148"/>
      <c r="I898" s="149"/>
      <c r="J898" s="150"/>
      <c r="K898" s="117"/>
      <c r="L898" s="117"/>
      <c r="M898" s="117"/>
    </row>
    <row r="899">
      <c r="A899" s="116"/>
      <c r="B899" s="117"/>
      <c r="C899" s="117"/>
      <c r="D899" s="229"/>
      <c r="E899" s="117"/>
      <c r="F899" s="229"/>
      <c r="G899" s="116"/>
      <c r="H899" s="148"/>
      <c r="I899" s="149"/>
      <c r="J899" s="150"/>
      <c r="K899" s="117"/>
      <c r="L899" s="117"/>
      <c r="M899" s="117"/>
    </row>
    <row r="900">
      <c r="A900" s="116"/>
      <c r="B900" s="117"/>
      <c r="C900" s="117"/>
      <c r="D900" s="229"/>
      <c r="E900" s="117"/>
      <c r="F900" s="229"/>
      <c r="G900" s="116"/>
      <c r="H900" s="148"/>
      <c r="I900" s="149"/>
      <c r="J900" s="150"/>
      <c r="K900" s="117"/>
      <c r="L900" s="117"/>
      <c r="M900" s="117"/>
    </row>
    <row r="901">
      <c r="A901" s="116"/>
      <c r="B901" s="117"/>
      <c r="C901" s="117"/>
      <c r="D901" s="229"/>
      <c r="E901" s="117"/>
      <c r="F901" s="229"/>
      <c r="G901" s="116"/>
      <c r="H901" s="148"/>
      <c r="I901" s="149"/>
      <c r="J901" s="150"/>
      <c r="K901" s="117"/>
      <c r="L901" s="117"/>
      <c r="M901" s="117"/>
    </row>
    <row r="902">
      <c r="A902" s="116"/>
      <c r="B902" s="117"/>
      <c r="C902" s="117"/>
      <c r="D902" s="229"/>
      <c r="E902" s="117"/>
      <c r="F902" s="229"/>
      <c r="G902" s="116"/>
      <c r="H902" s="148"/>
      <c r="I902" s="149"/>
      <c r="J902" s="150"/>
      <c r="K902" s="117"/>
      <c r="L902" s="117"/>
      <c r="M902" s="117"/>
    </row>
    <row r="903">
      <c r="A903" s="116"/>
      <c r="B903" s="117"/>
      <c r="C903" s="117"/>
      <c r="D903" s="229"/>
      <c r="E903" s="117"/>
      <c r="F903" s="229"/>
      <c r="G903" s="116"/>
      <c r="H903" s="148"/>
      <c r="I903" s="149"/>
      <c r="J903" s="150"/>
      <c r="K903" s="117"/>
      <c r="L903" s="117"/>
      <c r="M903" s="117"/>
    </row>
    <row r="904">
      <c r="A904" s="116"/>
      <c r="B904" s="117"/>
      <c r="C904" s="117"/>
      <c r="D904" s="229"/>
      <c r="E904" s="117"/>
      <c r="F904" s="229"/>
      <c r="G904" s="116"/>
      <c r="H904" s="148"/>
      <c r="I904" s="149"/>
      <c r="J904" s="150"/>
      <c r="K904" s="117"/>
      <c r="L904" s="117"/>
      <c r="M904" s="117"/>
    </row>
    <row r="905">
      <c r="A905" s="116"/>
      <c r="B905" s="117"/>
      <c r="C905" s="117"/>
      <c r="D905" s="229"/>
      <c r="E905" s="117"/>
      <c r="F905" s="229"/>
      <c r="G905" s="116"/>
      <c r="H905" s="148"/>
      <c r="I905" s="149"/>
      <c r="J905" s="150"/>
      <c r="K905" s="117"/>
      <c r="L905" s="117"/>
      <c r="M905" s="117"/>
    </row>
    <row r="906">
      <c r="A906" s="116"/>
      <c r="B906" s="117"/>
      <c r="C906" s="117"/>
      <c r="D906" s="229"/>
      <c r="E906" s="117"/>
      <c r="F906" s="229"/>
      <c r="G906" s="116"/>
      <c r="H906" s="148"/>
      <c r="I906" s="149"/>
      <c r="J906" s="150"/>
      <c r="K906" s="117"/>
      <c r="L906" s="117"/>
      <c r="M906" s="117"/>
    </row>
    <row r="907">
      <c r="A907" s="116"/>
      <c r="B907" s="117"/>
      <c r="C907" s="117"/>
      <c r="D907" s="229"/>
      <c r="E907" s="117"/>
      <c r="F907" s="229"/>
      <c r="G907" s="116"/>
      <c r="H907" s="148"/>
      <c r="I907" s="149"/>
      <c r="J907" s="150"/>
      <c r="K907" s="117"/>
      <c r="L907" s="117"/>
      <c r="M907" s="117"/>
    </row>
    <row r="908">
      <c r="A908" s="116"/>
      <c r="B908" s="117"/>
      <c r="C908" s="117"/>
      <c r="D908" s="229"/>
      <c r="E908" s="117"/>
      <c r="F908" s="229"/>
      <c r="G908" s="116"/>
      <c r="H908" s="148"/>
      <c r="I908" s="149"/>
      <c r="J908" s="150"/>
      <c r="K908" s="117"/>
      <c r="L908" s="117"/>
      <c r="M908" s="117"/>
    </row>
    <row r="909">
      <c r="A909" s="116"/>
      <c r="B909" s="117"/>
      <c r="C909" s="117"/>
      <c r="D909" s="229"/>
      <c r="E909" s="117"/>
      <c r="F909" s="229"/>
      <c r="G909" s="116"/>
      <c r="H909" s="148"/>
      <c r="I909" s="149"/>
      <c r="J909" s="150"/>
      <c r="K909" s="117"/>
      <c r="L909" s="117"/>
      <c r="M909" s="117"/>
    </row>
    <row r="910">
      <c r="A910" s="116"/>
      <c r="B910" s="117"/>
      <c r="C910" s="117"/>
      <c r="D910" s="229"/>
      <c r="E910" s="117"/>
      <c r="F910" s="229"/>
      <c r="G910" s="116"/>
      <c r="H910" s="148"/>
      <c r="I910" s="149"/>
      <c r="J910" s="150"/>
      <c r="K910" s="117"/>
      <c r="L910" s="117"/>
      <c r="M910" s="117"/>
    </row>
    <row r="911">
      <c r="A911" s="116"/>
      <c r="B911" s="117"/>
      <c r="C911" s="117"/>
      <c r="D911" s="229"/>
      <c r="E911" s="117"/>
      <c r="F911" s="229"/>
      <c r="G911" s="116"/>
      <c r="H911" s="148"/>
      <c r="I911" s="149"/>
      <c r="J911" s="150"/>
      <c r="K911" s="117"/>
      <c r="L911" s="117"/>
      <c r="M911" s="117"/>
    </row>
    <row r="912">
      <c r="A912" s="116"/>
      <c r="B912" s="117"/>
      <c r="C912" s="117"/>
      <c r="D912" s="229"/>
      <c r="E912" s="117"/>
      <c r="F912" s="229"/>
      <c r="G912" s="116"/>
      <c r="H912" s="148"/>
      <c r="I912" s="149"/>
      <c r="J912" s="150"/>
      <c r="K912" s="117"/>
      <c r="L912" s="117"/>
      <c r="M912" s="117"/>
    </row>
    <row r="913">
      <c r="A913" s="116"/>
      <c r="B913" s="117"/>
      <c r="C913" s="117"/>
      <c r="D913" s="229"/>
      <c r="E913" s="117"/>
      <c r="F913" s="229"/>
      <c r="G913" s="116"/>
      <c r="H913" s="148"/>
      <c r="I913" s="149"/>
      <c r="J913" s="150"/>
      <c r="K913" s="117"/>
      <c r="L913" s="117"/>
      <c r="M913" s="117"/>
    </row>
    <row r="914">
      <c r="A914" s="116"/>
      <c r="B914" s="117"/>
      <c r="C914" s="117"/>
      <c r="D914" s="229"/>
      <c r="E914" s="117"/>
      <c r="F914" s="229"/>
      <c r="G914" s="116"/>
      <c r="H914" s="148"/>
      <c r="I914" s="149"/>
      <c r="J914" s="150"/>
      <c r="K914" s="117"/>
      <c r="L914" s="117"/>
      <c r="M914" s="117"/>
    </row>
    <row r="915">
      <c r="A915" s="116"/>
      <c r="B915" s="117"/>
      <c r="C915" s="117"/>
      <c r="D915" s="229"/>
      <c r="E915" s="117"/>
      <c r="F915" s="229"/>
      <c r="G915" s="116"/>
      <c r="H915" s="148"/>
      <c r="I915" s="149"/>
      <c r="J915" s="150"/>
      <c r="K915" s="117"/>
      <c r="L915" s="117"/>
      <c r="M915" s="117"/>
    </row>
    <row r="916">
      <c r="A916" s="116"/>
      <c r="B916" s="117"/>
      <c r="C916" s="117"/>
      <c r="D916" s="229"/>
      <c r="E916" s="117"/>
      <c r="F916" s="229"/>
      <c r="G916" s="116"/>
      <c r="H916" s="148"/>
      <c r="I916" s="149"/>
      <c r="J916" s="150"/>
      <c r="K916" s="117"/>
      <c r="L916" s="117"/>
      <c r="M916" s="117"/>
    </row>
    <row r="917">
      <c r="A917" s="116"/>
      <c r="B917" s="117"/>
      <c r="C917" s="117"/>
      <c r="D917" s="229"/>
      <c r="E917" s="117"/>
      <c r="F917" s="229"/>
      <c r="G917" s="116"/>
      <c r="H917" s="148"/>
      <c r="I917" s="149"/>
      <c r="J917" s="150"/>
      <c r="K917" s="117"/>
      <c r="L917" s="117"/>
      <c r="M917" s="117"/>
    </row>
    <row r="918">
      <c r="A918" s="116"/>
      <c r="B918" s="117"/>
      <c r="C918" s="117"/>
      <c r="D918" s="229"/>
      <c r="E918" s="117"/>
      <c r="F918" s="229"/>
      <c r="G918" s="116"/>
      <c r="H918" s="148"/>
      <c r="I918" s="149"/>
      <c r="J918" s="150"/>
      <c r="K918" s="117"/>
      <c r="L918" s="117"/>
      <c r="M918" s="117"/>
    </row>
    <row r="919">
      <c r="A919" s="116"/>
      <c r="B919" s="117"/>
      <c r="C919" s="117"/>
      <c r="D919" s="229"/>
      <c r="E919" s="117"/>
      <c r="F919" s="229"/>
      <c r="G919" s="116"/>
      <c r="H919" s="148"/>
      <c r="I919" s="149"/>
      <c r="J919" s="150"/>
      <c r="K919" s="117"/>
      <c r="L919" s="117"/>
      <c r="M919" s="117"/>
    </row>
    <row r="920">
      <c r="A920" s="116"/>
      <c r="B920" s="117"/>
      <c r="C920" s="117"/>
      <c r="D920" s="229"/>
      <c r="E920" s="117"/>
      <c r="F920" s="229"/>
      <c r="G920" s="116"/>
      <c r="H920" s="148"/>
      <c r="I920" s="149"/>
      <c r="J920" s="150"/>
      <c r="K920" s="117"/>
      <c r="L920" s="117"/>
      <c r="M920" s="117"/>
    </row>
    <row r="921">
      <c r="A921" s="116"/>
      <c r="B921" s="117"/>
      <c r="C921" s="117"/>
      <c r="D921" s="229"/>
      <c r="E921" s="117"/>
      <c r="F921" s="229"/>
      <c r="G921" s="116"/>
      <c r="H921" s="148"/>
      <c r="I921" s="149"/>
      <c r="J921" s="150"/>
      <c r="K921" s="117"/>
      <c r="L921" s="117"/>
      <c r="M921" s="117"/>
    </row>
    <row r="922">
      <c r="A922" s="116"/>
      <c r="B922" s="117"/>
      <c r="C922" s="117"/>
      <c r="D922" s="229"/>
      <c r="E922" s="117"/>
      <c r="F922" s="229"/>
      <c r="G922" s="116"/>
      <c r="H922" s="148"/>
      <c r="I922" s="149"/>
      <c r="J922" s="150"/>
      <c r="K922" s="117"/>
      <c r="L922" s="117"/>
      <c r="M922" s="117"/>
    </row>
    <row r="923">
      <c r="A923" s="116"/>
      <c r="B923" s="117"/>
      <c r="C923" s="117"/>
      <c r="D923" s="229"/>
      <c r="E923" s="117"/>
      <c r="F923" s="229"/>
      <c r="G923" s="116"/>
      <c r="H923" s="148"/>
      <c r="I923" s="149"/>
      <c r="J923" s="150"/>
      <c r="K923" s="117"/>
      <c r="L923" s="117"/>
      <c r="M923" s="117"/>
    </row>
    <row r="924">
      <c r="A924" s="116"/>
      <c r="B924" s="117"/>
      <c r="C924" s="117"/>
      <c r="D924" s="229"/>
      <c r="E924" s="117"/>
      <c r="F924" s="229"/>
      <c r="G924" s="116"/>
      <c r="H924" s="148"/>
      <c r="I924" s="149"/>
      <c r="J924" s="150"/>
      <c r="K924" s="117"/>
      <c r="L924" s="117"/>
      <c r="M924" s="117"/>
    </row>
    <row r="925">
      <c r="A925" s="116"/>
      <c r="B925" s="117"/>
      <c r="C925" s="117"/>
      <c r="D925" s="229"/>
      <c r="E925" s="117"/>
      <c r="F925" s="229"/>
      <c r="G925" s="116"/>
      <c r="H925" s="148"/>
      <c r="I925" s="149"/>
      <c r="J925" s="150"/>
      <c r="K925" s="117"/>
      <c r="L925" s="117"/>
      <c r="M925" s="117"/>
    </row>
    <row r="926">
      <c r="A926" s="116"/>
      <c r="B926" s="117"/>
      <c r="C926" s="117"/>
      <c r="D926" s="229"/>
      <c r="E926" s="117"/>
      <c r="F926" s="229"/>
      <c r="G926" s="116"/>
      <c r="H926" s="148"/>
      <c r="I926" s="149"/>
      <c r="J926" s="150"/>
      <c r="K926" s="117"/>
      <c r="L926" s="117"/>
      <c r="M926" s="117"/>
    </row>
    <row r="927">
      <c r="A927" s="116"/>
      <c r="B927" s="117"/>
      <c r="C927" s="117"/>
      <c r="D927" s="229"/>
      <c r="E927" s="117"/>
      <c r="F927" s="229"/>
      <c r="G927" s="116"/>
      <c r="H927" s="148"/>
      <c r="I927" s="149"/>
      <c r="J927" s="150"/>
      <c r="K927" s="117"/>
      <c r="L927" s="117"/>
      <c r="M927" s="117"/>
    </row>
    <row r="928">
      <c r="A928" s="116"/>
      <c r="B928" s="117"/>
      <c r="C928" s="117"/>
      <c r="D928" s="229"/>
      <c r="E928" s="117"/>
      <c r="F928" s="229"/>
      <c r="G928" s="116"/>
      <c r="H928" s="148"/>
      <c r="I928" s="149"/>
      <c r="J928" s="150"/>
      <c r="K928" s="117"/>
      <c r="L928" s="117"/>
      <c r="M928" s="117"/>
    </row>
    <row r="929">
      <c r="A929" s="116"/>
      <c r="B929" s="117"/>
      <c r="C929" s="117"/>
      <c r="D929" s="229"/>
      <c r="E929" s="117"/>
      <c r="F929" s="229"/>
      <c r="G929" s="116"/>
      <c r="H929" s="148"/>
      <c r="I929" s="149"/>
      <c r="J929" s="150"/>
      <c r="K929" s="117"/>
      <c r="L929" s="117"/>
      <c r="M929" s="117"/>
    </row>
    <row r="930">
      <c r="A930" s="116"/>
      <c r="B930" s="117"/>
      <c r="C930" s="117"/>
      <c r="D930" s="229"/>
      <c r="E930" s="117"/>
      <c r="F930" s="229"/>
      <c r="G930" s="116"/>
      <c r="H930" s="148"/>
      <c r="I930" s="149"/>
      <c r="J930" s="150"/>
      <c r="K930" s="117"/>
      <c r="L930" s="117"/>
      <c r="M930" s="117"/>
    </row>
    <row r="931">
      <c r="A931" s="116"/>
      <c r="B931" s="117"/>
      <c r="C931" s="117"/>
      <c r="D931" s="229"/>
      <c r="E931" s="117"/>
      <c r="F931" s="229"/>
      <c r="G931" s="116"/>
      <c r="H931" s="148"/>
      <c r="I931" s="149"/>
      <c r="J931" s="150"/>
      <c r="K931" s="117"/>
      <c r="L931" s="117"/>
      <c r="M931" s="117"/>
    </row>
    <row r="932">
      <c r="A932" s="116"/>
      <c r="B932" s="117"/>
      <c r="C932" s="117"/>
      <c r="D932" s="229"/>
      <c r="E932" s="117"/>
      <c r="F932" s="229"/>
      <c r="G932" s="116"/>
      <c r="H932" s="148"/>
      <c r="I932" s="149"/>
      <c r="J932" s="150"/>
      <c r="K932" s="117"/>
      <c r="L932" s="117"/>
      <c r="M932" s="117"/>
    </row>
    <row r="933">
      <c r="A933" s="116"/>
      <c r="B933" s="117"/>
      <c r="C933" s="117"/>
      <c r="D933" s="229"/>
      <c r="E933" s="117"/>
      <c r="F933" s="229"/>
      <c r="G933" s="116"/>
      <c r="H933" s="148"/>
      <c r="I933" s="149"/>
      <c r="J933" s="150"/>
      <c r="K933" s="117"/>
      <c r="L933" s="117"/>
      <c r="M933" s="117"/>
    </row>
    <row r="934">
      <c r="A934" s="116"/>
      <c r="B934" s="117"/>
      <c r="C934" s="117"/>
      <c r="D934" s="229"/>
      <c r="E934" s="117"/>
      <c r="F934" s="229"/>
      <c r="G934" s="116"/>
      <c r="H934" s="148"/>
      <c r="I934" s="149"/>
      <c r="J934" s="150"/>
      <c r="K934" s="117"/>
      <c r="L934" s="117"/>
      <c r="M934" s="117"/>
    </row>
    <row r="935">
      <c r="A935" s="116"/>
      <c r="B935" s="117"/>
      <c r="C935" s="117"/>
      <c r="D935" s="229"/>
      <c r="E935" s="117"/>
      <c r="F935" s="229"/>
      <c r="G935" s="116"/>
      <c r="H935" s="148"/>
      <c r="I935" s="149"/>
      <c r="J935" s="150"/>
      <c r="K935" s="117"/>
      <c r="L935" s="117"/>
      <c r="M935" s="117"/>
    </row>
    <row r="936">
      <c r="A936" s="116"/>
      <c r="B936" s="117"/>
      <c r="C936" s="117"/>
      <c r="D936" s="229"/>
      <c r="E936" s="117"/>
      <c r="F936" s="229"/>
      <c r="G936" s="116"/>
      <c r="H936" s="148"/>
      <c r="I936" s="149"/>
      <c r="J936" s="150"/>
      <c r="K936" s="117"/>
      <c r="L936" s="117"/>
      <c r="M936" s="117"/>
    </row>
    <row r="937">
      <c r="A937" s="116"/>
      <c r="B937" s="117"/>
      <c r="C937" s="117"/>
      <c r="D937" s="229"/>
      <c r="E937" s="117"/>
      <c r="F937" s="229"/>
      <c r="G937" s="116"/>
      <c r="H937" s="148"/>
      <c r="I937" s="149"/>
      <c r="J937" s="150"/>
      <c r="K937" s="117"/>
      <c r="L937" s="117"/>
      <c r="M937" s="117"/>
    </row>
    <row r="938">
      <c r="A938" s="116"/>
      <c r="B938" s="117"/>
      <c r="C938" s="117"/>
      <c r="D938" s="229"/>
      <c r="E938" s="117"/>
      <c r="F938" s="229"/>
      <c r="G938" s="116"/>
      <c r="H938" s="148"/>
      <c r="I938" s="149"/>
      <c r="J938" s="150"/>
      <c r="K938" s="117"/>
      <c r="L938" s="117"/>
      <c r="M938" s="117"/>
    </row>
    <row r="939">
      <c r="A939" s="116"/>
      <c r="B939" s="117"/>
      <c r="C939" s="117"/>
      <c r="D939" s="229"/>
      <c r="E939" s="117"/>
      <c r="F939" s="229"/>
      <c r="G939" s="116"/>
      <c r="H939" s="148"/>
      <c r="I939" s="149"/>
      <c r="J939" s="150"/>
      <c r="K939" s="117"/>
      <c r="L939" s="117"/>
      <c r="M939" s="117"/>
    </row>
    <row r="940">
      <c r="A940" s="116"/>
      <c r="B940" s="117"/>
      <c r="C940" s="117"/>
      <c r="D940" s="229"/>
      <c r="E940" s="117"/>
      <c r="F940" s="229"/>
      <c r="G940" s="116"/>
      <c r="H940" s="148"/>
      <c r="I940" s="149"/>
      <c r="J940" s="150"/>
      <c r="K940" s="117"/>
      <c r="L940" s="117"/>
      <c r="M940" s="117"/>
    </row>
    <row r="941">
      <c r="A941" s="116"/>
      <c r="B941" s="117"/>
      <c r="C941" s="117"/>
      <c r="D941" s="229"/>
      <c r="E941" s="117"/>
      <c r="F941" s="229"/>
      <c r="G941" s="116"/>
      <c r="H941" s="148"/>
      <c r="I941" s="149"/>
      <c r="J941" s="150"/>
      <c r="K941" s="117"/>
      <c r="L941" s="117"/>
      <c r="M941" s="117"/>
    </row>
    <row r="942">
      <c r="A942" s="116"/>
      <c r="B942" s="117"/>
      <c r="C942" s="117"/>
      <c r="D942" s="229"/>
      <c r="E942" s="117"/>
      <c r="F942" s="229"/>
      <c r="G942" s="116"/>
      <c r="H942" s="148"/>
      <c r="I942" s="149"/>
      <c r="J942" s="150"/>
      <c r="K942" s="117"/>
      <c r="L942" s="117"/>
      <c r="M942" s="117"/>
    </row>
    <row r="943">
      <c r="A943" s="116"/>
      <c r="B943" s="117"/>
      <c r="C943" s="117"/>
      <c r="D943" s="229"/>
      <c r="E943" s="117"/>
      <c r="F943" s="229"/>
      <c r="G943" s="116"/>
      <c r="H943" s="148"/>
      <c r="I943" s="149"/>
      <c r="J943" s="150"/>
      <c r="K943" s="117"/>
      <c r="L943" s="117"/>
      <c r="M943" s="117"/>
    </row>
    <row r="944">
      <c r="A944" s="116"/>
      <c r="B944" s="117"/>
      <c r="C944" s="117"/>
      <c r="D944" s="229"/>
      <c r="E944" s="117"/>
      <c r="F944" s="229"/>
      <c r="G944" s="116"/>
      <c r="H944" s="148"/>
      <c r="I944" s="149"/>
      <c r="J944" s="150"/>
      <c r="K944" s="117"/>
      <c r="L944" s="117"/>
      <c r="M944" s="117"/>
    </row>
    <row r="945">
      <c r="A945" s="116"/>
      <c r="B945" s="117"/>
      <c r="C945" s="117"/>
      <c r="D945" s="229"/>
      <c r="E945" s="117"/>
      <c r="F945" s="229"/>
      <c r="G945" s="116"/>
      <c r="H945" s="148"/>
      <c r="I945" s="149"/>
      <c r="J945" s="150"/>
      <c r="K945" s="117"/>
      <c r="L945" s="117"/>
      <c r="M945" s="117"/>
    </row>
    <row r="946">
      <c r="A946" s="116"/>
      <c r="B946" s="117"/>
      <c r="C946" s="117"/>
      <c r="D946" s="229"/>
      <c r="E946" s="117"/>
      <c r="F946" s="229"/>
      <c r="G946" s="116"/>
      <c r="H946" s="148"/>
      <c r="I946" s="149"/>
      <c r="J946" s="150"/>
      <c r="K946" s="117"/>
      <c r="L946" s="117"/>
      <c r="M946" s="117"/>
    </row>
    <row r="947">
      <c r="A947" s="116"/>
      <c r="B947" s="117"/>
      <c r="C947" s="117"/>
      <c r="D947" s="229"/>
      <c r="E947" s="117"/>
      <c r="F947" s="229"/>
      <c r="G947" s="116"/>
      <c r="H947" s="148"/>
      <c r="I947" s="149"/>
      <c r="J947" s="150"/>
      <c r="K947" s="117"/>
      <c r="L947" s="117"/>
      <c r="M947" s="117"/>
    </row>
    <row r="948">
      <c r="A948" s="116"/>
      <c r="B948" s="117"/>
      <c r="C948" s="117"/>
      <c r="D948" s="229"/>
      <c r="E948" s="117"/>
      <c r="F948" s="229"/>
      <c r="G948" s="116"/>
      <c r="H948" s="148"/>
      <c r="I948" s="149"/>
      <c r="J948" s="150"/>
      <c r="K948" s="117"/>
      <c r="L948" s="117"/>
      <c r="M948" s="117"/>
    </row>
    <row r="949">
      <c r="A949" s="116"/>
      <c r="B949" s="117"/>
      <c r="C949" s="117"/>
      <c r="D949" s="229"/>
      <c r="E949" s="117"/>
      <c r="F949" s="229"/>
      <c r="G949" s="116"/>
      <c r="H949" s="148"/>
      <c r="I949" s="149"/>
      <c r="J949" s="150"/>
      <c r="K949" s="117"/>
      <c r="L949" s="117"/>
      <c r="M949" s="117"/>
    </row>
    <row r="950">
      <c r="A950" s="116"/>
      <c r="B950" s="117"/>
      <c r="C950" s="117"/>
      <c r="D950" s="229"/>
      <c r="E950" s="117"/>
      <c r="F950" s="229"/>
      <c r="G950" s="116"/>
      <c r="H950" s="148"/>
      <c r="I950" s="149"/>
      <c r="J950" s="150"/>
      <c r="K950" s="117"/>
      <c r="L950" s="117"/>
      <c r="M950" s="117"/>
    </row>
    <row r="951">
      <c r="A951" s="116"/>
      <c r="B951" s="117"/>
      <c r="C951" s="117"/>
      <c r="D951" s="229"/>
      <c r="E951" s="117"/>
      <c r="F951" s="229"/>
      <c r="G951" s="116"/>
      <c r="H951" s="148"/>
      <c r="I951" s="149"/>
      <c r="J951" s="150"/>
      <c r="K951" s="117"/>
      <c r="L951" s="117"/>
      <c r="M951" s="117"/>
    </row>
    <row r="952">
      <c r="A952" s="116"/>
      <c r="B952" s="117"/>
      <c r="C952" s="117"/>
      <c r="D952" s="229"/>
      <c r="E952" s="117"/>
      <c r="F952" s="229"/>
      <c r="G952" s="116"/>
      <c r="H952" s="148"/>
      <c r="I952" s="149"/>
      <c r="J952" s="150"/>
      <c r="K952" s="117"/>
      <c r="L952" s="117"/>
      <c r="M952" s="117"/>
    </row>
    <row r="953">
      <c r="A953" s="116"/>
      <c r="B953" s="117"/>
      <c r="C953" s="117"/>
      <c r="D953" s="229"/>
      <c r="E953" s="117"/>
      <c r="F953" s="229"/>
      <c r="G953" s="116"/>
      <c r="H953" s="148"/>
      <c r="I953" s="149"/>
      <c r="J953" s="150"/>
      <c r="K953" s="117"/>
      <c r="L953" s="117"/>
      <c r="M953" s="117"/>
    </row>
    <row r="954">
      <c r="A954" s="116"/>
      <c r="B954" s="117"/>
      <c r="C954" s="117"/>
      <c r="D954" s="229"/>
      <c r="E954" s="117"/>
      <c r="F954" s="229"/>
      <c r="G954" s="116"/>
      <c r="H954" s="148"/>
      <c r="I954" s="149"/>
      <c r="J954" s="150"/>
      <c r="K954" s="117"/>
      <c r="L954" s="117"/>
      <c r="M954" s="117"/>
    </row>
    <row r="955">
      <c r="A955" s="116"/>
      <c r="B955" s="117"/>
      <c r="C955" s="117"/>
      <c r="D955" s="229"/>
      <c r="E955" s="117"/>
      <c r="F955" s="229"/>
      <c r="G955" s="116"/>
      <c r="H955" s="148"/>
      <c r="I955" s="149"/>
      <c r="J955" s="150"/>
      <c r="K955" s="117"/>
      <c r="L955" s="117"/>
      <c r="M955" s="117"/>
    </row>
    <row r="956">
      <c r="A956" s="116"/>
      <c r="B956" s="117"/>
      <c r="C956" s="117"/>
      <c r="D956" s="229"/>
      <c r="E956" s="117"/>
      <c r="F956" s="229"/>
      <c r="G956" s="116"/>
      <c r="H956" s="148"/>
      <c r="I956" s="149"/>
      <c r="J956" s="150"/>
      <c r="K956" s="117"/>
      <c r="L956" s="117"/>
      <c r="M956" s="117"/>
    </row>
    <row r="957">
      <c r="A957" s="116"/>
      <c r="B957" s="117"/>
      <c r="C957" s="117"/>
      <c r="D957" s="229"/>
      <c r="E957" s="117"/>
      <c r="F957" s="229"/>
      <c r="G957" s="116"/>
      <c r="H957" s="148"/>
      <c r="I957" s="149"/>
      <c r="J957" s="150"/>
      <c r="K957" s="117"/>
      <c r="L957" s="117"/>
      <c r="M957" s="117"/>
    </row>
    <row r="958">
      <c r="A958" s="116"/>
      <c r="B958" s="117"/>
      <c r="C958" s="117"/>
      <c r="D958" s="229"/>
      <c r="E958" s="117"/>
      <c r="F958" s="229"/>
      <c r="G958" s="116"/>
      <c r="H958" s="148"/>
      <c r="I958" s="149"/>
      <c r="J958" s="150"/>
      <c r="K958" s="117"/>
      <c r="L958" s="117"/>
      <c r="M958" s="117"/>
    </row>
    <row r="959">
      <c r="A959" s="116"/>
      <c r="B959" s="117"/>
      <c r="C959" s="117"/>
      <c r="D959" s="229"/>
      <c r="E959" s="117"/>
      <c r="F959" s="229"/>
      <c r="G959" s="116"/>
      <c r="H959" s="148"/>
      <c r="I959" s="149"/>
      <c r="J959" s="150"/>
      <c r="K959" s="117"/>
      <c r="L959" s="117"/>
      <c r="M959" s="117"/>
    </row>
    <row r="960">
      <c r="A960" s="116"/>
      <c r="B960" s="117"/>
      <c r="C960" s="117"/>
      <c r="D960" s="229"/>
      <c r="E960" s="117"/>
      <c r="F960" s="229"/>
      <c r="G960" s="116"/>
      <c r="H960" s="148"/>
      <c r="I960" s="149"/>
      <c r="J960" s="150"/>
      <c r="K960" s="117"/>
      <c r="L960" s="117"/>
      <c r="M960" s="117"/>
    </row>
    <row r="961">
      <c r="A961" s="116"/>
      <c r="B961" s="117"/>
      <c r="C961" s="117"/>
      <c r="D961" s="229"/>
      <c r="E961" s="117"/>
      <c r="F961" s="229"/>
      <c r="G961" s="116"/>
      <c r="H961" s="148"/>
      <c r="I961" s="149"/>
      <c r="J961" s="150"/>
      <c r="K961" s="117"/>
      <c r="L961" s="117"/>
      <c r="M961" s="117"/>
    </row>
    <row r="962">
      <c r="A962" s="116"/>
      <c r="B962" s="117"/>
      <c r="C962" s="117"/>
      <c r="D962" s="229"/>
      <c r="E962" s="117"/>
      <c r="F962" s="229"/>
      <c r="G962" s="116"/>
      <c r="H962" s="148"/>
      <c r="I962" s="149"/>
      <c r="J962" s="150"/>
      <c r="K962" s="117"/>
      <c r="L962" s="117"/>
      <c r="M962" s="117"/>
    </row>
    <row r="963">
      <c r="A963" s="116"/>
      <c r="B963" s="117"/>
      <c r="C963" s="117"/>
      <c r="D963" s="229"/>
      <c r="E963" s="117"/>
      <c r="F963" s="229"/>
      <c r="G963" s="116"/>
      <c r="H963" s="148"/>
      <c r="I963" s="149"/>
      <c r="J963" s="150"/>
      <c r="K963" s="117"/>
      <c r="L963" s="117"/>
      <c r="M963" s="117"/>
    </row>
    <row r="964">
      <c r="A964" s="116"/>
      <c r="B964" s="117"/>
      <c r="C964" s="117"/>
      <c r="D964" s="229"/>
      <c r="E964" s="117"/>
      <c r="F964" s="229"/>
      <c r="G964" s="116"/>
      <c r="H964" s="148"/>
      <c r="I964" s="149"/>
      <c r="J964" s="150"/>
      <c r="K964" s="117"/>
      <c r="L964" s="117"/>
      <c r="M964" s="117"/>
    </row>
    <row r="965">
      <c r="A965" s="116"/>
      <c r="B965" s="117"/>
      <c r="C965" s="117"/>
      <c r="D965" s="229"/>
      <c r="E965" s="117"/>
      <c r="F965" s="229"/>
      <c r="G965" s="116"/>
      <c r="H965" s="148"/>
      <c r="I965" s="149"/>
      <c r="J965" s="150"/>
      <c r="K965" s="117"/>
      <c r="L965" s="117"/>
      <c r="M965" s="117"/>
    </row>
    <row r="966">
      <c r="A966" s="116"/>
      <c r="B966" s="117"/>
      <c r="C966" s="117"/>
      <c r="D966" s="229"/>
      <c r="E966" s="117"/>
      <c r="F966" s="229"/>
      <c r="G966" s="116"/>
      <c r="H966" s="148"/>
      <c r="I966" s="149"/>
      <c r="J966" s="150"/>
      <c r="K966" s="117"/>
      <c r="L966" s="117"/>
      <c r="M966" s="117"/>
    </row>
    <row r="967">
      <c r="A967" s="116"/>
      <c r="B967" s="117"/>
      <c r="C967" s="117"/>
      <c r="D967" s="229"/>
      <c r="E967" s="117"/>
      <c r="F967" s="229"/>
      <c r="G967" s="116"/>
      <c r="H967" s="148"/>
      <c r="I967" s="149"/>
      <c r="J967" s="150"/>
      <c r="K967" s="117"/>
      <c r="L967" s="117"/>
      <c r="M967" s="117"/>
    </row>
    <row r="968">
      <c r="A968" s="116"/>
      <c r="B968" s="117"/>
      <c r="C968" s="117"/>
      <c r="D968" s="229"/>
      <c r="E968" s="117"/>
      <c r="F968" s="229"/>
      <c r="G968" s="116"/>
      <c r="H968" s="148"/>
      <c r="I968" s="149"/>
      <c r="J968" s="150"/>
      <c r="K968" s="117"/>
      <c r="L968" s="117"/>
      <c r="M968" s="117"/>
    </row>
    <row r="969">
      <c r="A969" s="116"/>
      <c r="B969" s="117"/>
      <c r="C969" s="117"/>
      <c r="D969" s="229"/>
      <c r="E969" s="117"/>
      <c r="F969" s="229"/>
      <c r="G969" s="116"/>
      <c r="H969" s="148"/>
      <c r="I969" s="149"/>
      <c r="J969" s="150"/>
      <c r="K969" s="117"/>
      <c r="L969" s="117"/>
      <c r="M969" s="117"/>
    </row>
    <row r="970">
      <c r="A970" s="116"/>
      <c r="B970" s="117"/>
      <c r="C970" s="117"/>
      <c r="D970" s="229"/>
      <c r="E970" s="117"/>
      <c r="F970" s="229"/>
      <c r="G970" s="116"/>
      <c r="H970" s="148"/>
      <c r="I970" s="149"/>
      <c r="J970" s="150"/>
      <c r="K970" s="117"/>
      <c r="L970" s="117"/>
      <c r="M970" s="117"/>
    </row>
    <row r="971">
      <c r="A971" s="116"/>
      <c r="B971" s="117"/>
      <c r="C971" s="117"/>
      <c r="D971" s="229"/>
      <c r="E971" s="117"/>
      <c r="F971" s="229"/>
      <c r="G971" s="116"/>
      <c r="H971" s="148"/>
      <c r="I971" s="149"/>
      <c r="J971" s="150"/>
      <c r="K971" s="117"/>
      <c r="L971" s="117"/>
      <c r="M971" s="117"/>
    </row>
    <row r="972">
      <c r="A972" s="116"/>
      <c r="B972" s="117"/>
      <c r="C972" s="117"/>
      <c r="D972" s="229"/>
      <c r="E972" s="117"/>
      <c r="F972" s="229"/>
      <c r="G972" s="116"/>
      <c r="H972" s="148"/>
      <c r="I972" s="149"/>
      <c r="J972" s="150"/>
      <c r="K972" s="117"/>
      <c r="L972" s="117"/>
      <c r="M972" s="117"/>
    </row>
    <row r="973">
      <c r="A973" s="116"/>
      <c r="B973" s="117"/>
      <c r="C973" s="117"/>
      <c r="D973" s="229"/>
      <c r="E973" s="117"/>
      <c r="F973" s="229"/>
      <c r="G973" s="116"/>
      <c r="H973" s="148"/>
      <c r="I973" s="149"/>
      <c r="J973" s="150"/>
      <c r="K973" s="117"/>
      <c r="L973" s="117"/>
      <c r="M973" s="117"/>
    </row>
    <row r="974">
      <c r="A974" s="116"/>
      <c r="B974" s="117"/>
      <c r="C974" s="117"/>
      <c r="D974" s="229"/>
      <c r="E974" s="117"/>
      <c r="F974" s="229"/>
      <c r="G974" s="116"/>
      <c r="H974" s="148"/>
      <c r="I974" s="149"/>
      <c r="J974" s="150"/>
      <c r="K974" s="117"/>
      <c r="L974" s="117"/>
      <c r="M974" s="117"/>
    </row>
    <row r="975">
      <c r="A975" s="116"/>
      <c r="B975" s="117"/>
      <c r="C975" s="117"/>
      <c r="D975" s="229"/>
      <c r="E975" s="117"/>
      <c r="F975" s="229"/>
      <c r="G975" s="116"/>
      <c r="H975" s="148"/>
      <c r="I975" s="149"/>
      <c r="J975" s="150"/>
      <c r="K975" s="117"/>
      <c r="L975" s="117"/>
      <c r="M975" s="117"/>
    </row>
    <row r="976">
      <c r="A976" s="116"/>
      <c r="B976" s="117"/>
      <c r="C976" s="117"/>
      <c r="D976" s="229"/>
      <c r="E976" s="117"/>
      <c r="F976" s="229"/>
      <c r="G976" s="116"/>
      <c r="H976" s="148"/>
      <c r="I976" s="149"/>
      <c r="J976" s="150"/>
      <c r="K976" s="117"/>
      <c r="L976" s="117"/>
      <c r="M976" s="117"/>
    </row>
    <row r="977">
      <c r="A977" s="116"/>
      <c r="B977" s="117"/>
      <c r="C977" s="117"/>
      <c r="D977" s="229"/>
      <c r="E977" s="117"/>
      <c r="F977" s="229"/>
      <c r="G977" s="116"/>
      <c r="H977" s="148"/>
      <c r="I977" s="149"/>
      <c r="J977" s="150"/>
      <c r="K977" s="117"/>
      <c r="L977" s="117"/>
      <c r="M977" s="117"/>
    </row>
    <row r="978">
      <c r="A978" s="116"/>
      <c r="B978" s="117"/>
      <c r="C978" s="117"/>
      <c r="D978" s="229"/>
      <c r="E978" s="117"/>
      <c r="F978" s="229"/>
      <c r="G978" s="116"/>
      <c r="H978" s="148"/>
      <c r="I978" s="149"/>
      <c r="J978" s="150"/>
      <c r="K978" s="117"/>
      <c r="L978" s="117"/>
      <c r="M978" s="117"/>
    </row>
    <row r="979">
      <c r="A979" s="116"/>
      <c r="B979" s="117"/>
      <c r="C979" s="117"/>
      <c r="D979" s="229"/>
      <c r="E979" s="117"/>
      <c r="F979" s="229"/>
      <c r="G979" s="116"/>
      <c r="H979" s="148"/>
      <c r="I979" s="149"/>
      <c r="J979" s="150"/>
      <c r="K979" s="117"/>
      <c r="L979" s="117"/>
      <c r="M979" s="117"/>
    </row>
    <row r="980">
      <c r="A980" s="116"/>
      <c r="B980" s="117"/>
      <c r="C980" s="117"/>
      <c r="D980" s="229"/>
      <c r="E980" s="117"/>
      <c r="F980" s="229"/>
      <c r="G980" s="116"/>
      <c r="H980" s="148"/>
      <c r="I980" s="149"/>
      <c r="J980" s="150"/>
      <c r="K980" s="117"/>
      <c r="L980" s="117"/>
      <c r="M980" s="117"/>
    </row>
    <row r="981">
      <c r="A981" s="116"/>
      <c r="B981" s="117"/>
      <c r="C981" s="117"/>
      <c r="D981" s="229"/>
      <c r="E981" s="117"/>
      <c r="F981" s="229"/>
      <c r="G981" s="116"/>
      <c r="H981" s="148"/>
      <c r="I981" s="149"/>
      <c r="J981" s="150"/>
      <c r="K981" s="117"/>
      <c r="L981" s="117"/>
      <c r="M981" s="117"/>
    </row>
    <row r="982">
      <c r="A982" s="116"/>
      <c r="B982" s="117"/>
      <c r="C982" s="117"/>
      <c r="D982" s="229"/>
      <c r="E982" s="117"/>
      <c r="F982" s="229"/>
      <c r="G982" s="116"/>
      <c r="H982" s="148"/>
      <c r="I982" s="149"/>
      <c r="J982" s="150"/>
      <c r="K982" s="117"/>
      <c r="L982" s="117"/>
      <c r="M982" s="117"/>
    </row>
    <row r="983">
      <c r="A983" s="116"/>
      <c r="B983" s="117"/>
      <c r="C983" s="117"/>
      <c r="D983" s="229"/>
      <c r="E983" s="117"/>
      <c r="F983" s="229"/>
      <c r="G983" s="116"/>
      <c r="H983" s="148"/>
      <c r="I983" s="149"/>
      <c r="J983" s="150"/>
      <c r="K983" s="117"/>
      <c r="L983" s="117"/>
      <c r="M983" s="117"/>
    </row>
    <row r="984">
      <c r="A984" s="116"/>
      <c r="B984" s="117"/>
      <c r="C984" s="117"/>
      <c r="D984" s="229"/>
      <c r="E984" s="117"/>
      <c r="F984" s="229"/>
      <c r="G984" s="116"/>
      <c r="H984" s="148"/>
      <c r="I984" s="149"/>
      <c r="J984" s="150"/>
      <c r="K984" s="117"/>
      <c r="L984" s="117"/>
      <c r="M984" s="117"/>
    </row>
    <row r="985">
      <c r="A985" s="116"/>
      <c r="B985" s="117"/>
      <c r="C985" s="117"/>
      <c r="D985" s="229"/>
      <c r="E985" s="117"/>
      <c r="F985" s="229"/>
      <c r="G985" s="116"/>
      <c r="H985" s="148"/>
      <c r="I985" s="149"/>
      <c r="J985" s="150"/>
      <c r="K985" s="117"/>
      <c r="L985" s="117"/>
      <c r="M985" s="117"/>
    </row>
    <row r="986">
      <c r="A986" s="116"/>
      <c r="B986" s="117"/>
      <c r="C986" s="117"/>
      <c r="D986" s="229"/>
      <c r="E986" s="117"/>
      <c r="F986" s="229"/>
      <c r="G986" s="116"/>
      <c r="H986" s="148"/>
      <c r="I986" s="149"/>
      <c r="J986" s="150"/>
      <c r="K986" s="117"/>
      <c r="L986" s="117"/>
      <c r="M986" s="117"/>
    </row>
    <row r="987">
      <c r="A987" s="116"/>
      <c r="B987" s="117"/>
      <c r="C987" s="117"/>
      <c r="D987" s="229"/>
      <c r="E987" s="117"/>
      <c r="F987" s="229"/>
      <c r="G987" s="116"/>
      <c r="H987" s="148"/>
      <c r="I987" s="149"/>
      <c r="J987" s="150"/>
      <c r="K987" s="117"/>
      <c r="L987" s="117"/>
      <c r="M987" s="117"/>
    </row>
    <row r="988">
      <c r="A988" s="116"/>
      <c r="B988" s="117"/>
      <c r="C988" s="117"/>
      <c r="D988" s="229"/>
      <c r="E988" s="117"/>
      <c r="F988" s="229"/>
      <c r="G988" s="116"/>
      <c r="H988" s="148"/>
      <c r="I988" s="149"/>
      <c r="J988" s="150"/>
      <c r="K988" s="117"/>
      <c r="L988" s="117"/>
      <c r="M988" s="117"/>
    </row>
    <row r="989">
      <c r="A989" s="116"/>
      <c r="B989" s="117"/>
      <c r="C989" s="117"/>
      <c r="D989" s="229"/>
      <c r="E989" s="117"/>
      <c r="F989" s="229"/>
      <c r="G989" s="116"/>
      <c r="H989" s="148"/>
      <c r="I989" s="149"/>
      <c r="J989" s="150"/>
      <c r="K989" s="117"/>
      <c r="L989" s="117"/>
      <c r="M989" s="117"/>
    </row>
    <row r="990">
      <c r="A990" s="116"/>
      <c r="B990" s="117"/>
      <c r="C990" s="117"/>
      <c r="D990" s="229"/>
      <c r="E990" s="117"/>
      <c r="F990" s="229"/>
      <c r="G990" s="116"/>
      <c r="H990" s="148"/>
      <c r="I990" s="149"/>
      <c r="J990" s="150"/>
      <c r="K990" s="117"/>
      <c r="L990" s="117"/>
      <c r="M990" s="117"/>
    </row>
    <row r="991">
      <c r="A991" s="116"/>
      <c r="B991" s="117"/>
      <c r="C991" s="117"/>
      <c r="D991" s="229"/>
      <c r="E991" s="117"/>
      <c r="F991" s="229"/>
      <c r="G991" s="116"/>
      <c r="H991" s="148"/>
      <c r="I991" s="149"/>
      <c r="J991" s="150"/>
      <c r="K991" s="117"/>
      <c r="L991" s="117"/>
      <c r="M991" s="117"/>
    </row>
    <row r="992">
      <c r="A992" s="116"/>
      <c r="B992" s="117"/>
      <c r="C992" s="117"/>
      <c r="D992" s="229"/>
      <c r="E992" s="117"/>
      <c r="F992" s="229"/>
      <c r="G992" s="116"/>
      <c r="H992" s="148"/>
      <c r="I992" s="149"/>
      <c r="J992" s="150"/>
      <c r="K992" s="117"/>
      <c r="L992" s="117"/>
      <c r="M992" s="117"/>
    </row>
    <row r="993">
      <c r="A993" s="116"/>
      <c r="B993" s="117"/>
      <c r="C993" s="117"/>
      <c r="D993" s="229"/>
      <c r="E993" s="117"/>
      <c r="F993" s="229"/>
      <c r="G993" s="116"/>
      <c r="H993" s="148"/>
      <c r="I993" s="149"/>
      <c r="J993" s="150"/>
      <c r="K993" s="117"/>
      <c r="L993" s="117"/>
      <c r="M993" s="117"/>
    </row>
    <row r="994">
      <c r="A994" s="116"/>
      <c r="B994" s="117"/>
      <c r="C994" s="117"/>
      <c r="D994" s="229"/>
      <c r="E994" s="117"/>
      <c r="F994" s="229"/>
      <c r="G994" s="116"/>
      <c r="H994" s="148"/>
      <c r="I994" s="149"/>
      <c r="J994" s="150"/>
      <c r="K994" s="117"/>
      <c r="L994" s="117"/>
      <c r="M994" s="117"/>
    </row>
    <row r="995">
      <c r="A995" s="116"/>
      <c r="B995" s="117"/>
      <c r="C995" s="117"/>
      <c r="D995" s="229"/>
      <c r="E995" s="117"/>
      <c r="F995" s="229"/>
      <c r="G995" s="116"/>
      <c r="H995" s="148"/>
      <c r="I995" s="149"/>
      <c r="J995" s="150"/>
      <c r="K995" s="117"/>
      <c r="L995" s="117"/>
      <c r="M995" s="117"/>
    </row>
    <row r="996">
      <c r="A996" s="116"/>
      <c r="B996" s="117"/>
      <c r="C996" s="117"/>
      <c r="D996" s="229"/>
      <c r="E996" s="117"/>
      <c r="F996" s="229"/>
      <c r="G996" s="116"/>
      <c r="H996" s="148"/>
      <c r="I996" s="149"/>
      <c r="J996" s="150"/>
      <c r="K996" s="117"/>
      <c r="L996" s="117"/>
      <c r="M996" s="117"/>
    </row>
    <row r="997">
      <c r="A997" s="116"/>
      <c r="B997" s="117"/>
      <c r="C997" s="117"/>
      <c r="D997" s="229"/>
      <c r="E997" s="117"/>
      <c r="F997" s="229"/>
      <c r="G997" s="116"/>
      <c r="H997" s="148"/>
      <c r="I997" s="149"/>
      <c r="J997" s="150"/>
      <c r="K997" s="117"/>
      <c r="L997" s="117"/>
      <c r="M997" s="117"/>
    </row>
    <row r="998">
      <c r="A998" s="116"/>
      <c r="B998" s="117"/>
      <c r="C998" s="117"/>
      <c r="D998" s="229"/>
      <c r="E998" s="117"/>
      <c r="F998" s="229"/>
      <c r="G998" s="116"/>
      <c r="H998" s="148"/>
      <c r="I998" s="149"/>
      <c r="J998" s="150"/>
      <c r="K998" s="117"/>
      <c r="L998" s="117"/>
      <c r="M998" s="117"/>
    </row>
    <row r="999">
      <c r="A999" s="116"/>
      <c r="B999" s="117"/>
      <c r="C999" s="117"/>
      <c r="D999" s="229"/>
      <c r="E999" s="117"/>
      <c r="F999" s="229"/>
      <c r="G999" s="116"/>
      <c r="H999" s="148"/>
      <c r="I999" s="149"/>
      <c r="J999" s="150"/>
      <c r="K999" s="117"/>
      <c r="L999" s="117"/>
      <c r="M999" s="117"/>
    </row>
    <row r="1000">
      <c r="A1000" s="116"/>
      <c r="B1000" s="117"/>
      <c r="C1000" s="117"/>
      <c r="D1000" s="229"/>
      <c r="E1000" s="117"/>
      <c r="F1000" s="229"/>
      <c r="G1000" s="116"/>
      <c r="H1000" s="148"/>
      <c r="I1000" s="149"/>
      <c r="J1000" s="150"/>
      <c r="K1000" s="117"/>
      <c r="L1000" s="117"/>
      <c r="M1000" s="117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0.13"/>
    <col customWidth="1" min="3" max="3" width="21.38"/>
    <col customWidth="1" min="4" max="4" width="11.38"/>
    <col customWidth="1" min="5" max="5" width="18.88"/>
  </cols>
  <sheetData>
    <row r="1" ht="24.0" customHeight="1">
      <c r="A1" s="110" t="s">
        <v>566</v>
      </c>
      <c r="B1" s="110" t="s">
        <v>102</v>
      </c>
      <c r="C1" s="110" t="s">
        <v>567</v>
      </c>
      <c r="D1" s="110" t="s">
        <v>568</v>
      </c>
      <c r="E1" s="110" t="s">
        <v>569</v>
      </c>
    </row>
    <row r="2">
      <c r="A2" s="230">
        <v>4.43142649E8</v>
      </c>
      <c r="B2" s="114" t="s">
        <v>260</v>
      </c>
      <c r="C2" s="114" t="s">
        <v>570</v>
      </c>
      <c r="D2" s="114" t="s">
        <v>571</v>
      </c>
      <c r="E2" s="231">
        <v>46301.60972222222</v>
      </c>
    </row>
    <row r="3">
      <c r="A3" s="230">
        <v>2.54366051E8</v>
      </c>
      <c r="B3" s="114" t="s">
        <v>8</v>
      </c>
      <c r="C3" s="114" t="s">
        <v>573</v>
      </c>
      <c r="D3" s="114" t="s">
        <v>574</v>
      </c>
      <c r="E3" s="231">
        <v>46301.61319444444</v>
      </c>
    </row>
    <row r="4">
      <c r="A4" s="230">
        <v>6.156487883E9</v>
      </c>
      <c r="B4" s="114" t="s">
        <v>200</v>
      </c>
      <c r="C4" s="114" t="s">
        <v>575</v>
      </c>
      <c r="D4" s="114" t="s">
        <v>574</v>
      </c>
      <c r="E4" s="232">
        <v>46301.67847222222</v>
      </c>
    </row>
    <row r="5">
      <c r="A5" s="230">
        <v>5.578698344E9</v>
      </c>
      <c r="B5" s="114" t="s">
        <v>576</v>
      </c>
      <c r="C5" s="114" t="s">
        <v>577</v>
      </c>
      <c r="D5" s="114" t="s">
        <v>574</v>
      </c>
      <c r="E5" s="232">
        <v>46314.770833333336</v>
      </c>
    </row>
    <row r="6">
      <c r="A6" s="230">
        <v>1.019834709E9</v>
      </c>
      <c r="B6" s="114" t="s">
        <v>578</v>
      </c>
      <c r="C6" s="114" t="s">
        <v>579</v>
      </c>
      <c r="D6" s="114" t="s">
        <v>574</v>
      </c>
      <c r="E6" s="232">
        <v>46314.77361111111</v>
      </c>
    </row>
    <row r="7">
      <c r="A7" s="230">
        <v>5.701024811E9</v>
      </c>
      <c r="B7" s="114" t="s">
        <v>139</v>
      </c>
      <c r="C7" s="114" t="s">
        <v>580</v>
      </c>
      <c r="D7" s="114" t="s">
        <v>581</v>
      </c>
      <c r="E7" s="232">
        <v>46317.513194444444</v>
      </c>
    </row>
    <row r="8">
      <c r="A8" s="230">
        <v>5.1086018E7</v>
      </c>
      <c r="B8" s="114" t="s">
        <v>582</v>
      </c>
      <c r="C8" s="114" t="s">
        <v>583</v>
      </c>
      <c r="D8" s="114" t="s">
        <v>581</v>
      </c>
      <c r="E8" s="232">
        <v>46319.4875</v>
      </c>
    </row>
    <row r="9">
      <c r="A9" s="117"/>
      <c r="B9" s="117"/>
      <c r="C9" s="117"/>
      <c r="D9" s="117"/>
      <c r="E9" s="117"/>
    </row>
    <row r="10">
      <c r="A10" s="117"/>
      <c r="B10" s="117"/>
      <c r="C10" s="117"/>
      <c r="D10" s="117"/>
      <c r="E10" s="117"/>
    </row>
    <row r="11">
      <c r="A11" s="117"/>
      <c r="B11" s="117"/>
      <c r="C11" s="117"/>
      <c r="D11" s="117"/>
      <c r="E11" s="117"/>
    </row>
    <row r="12">
      <c r="A12" s="117"/>
      <c r="B12" s="117"/>
      <c r="C12" s="117"/>
      <c r="D12" s="117"/>
      <c r="E12" s="117"/>
    </row>
    <row r="13">
      <c r="A13" s="117"/>
      <c r="B13" s="117"/>
      <c r="C13" s="117"/>
      <c r="D13" s="117"/>
      <c r="E13" s="117"/>
    </row>
    <row r="14">
      <c r="A14" s="117"/>
      <c r="B14" s="117"/>
      <c r="C14" s="117"/>
      <c r="D14" s="117"/>
      <c r="E14" s="117"/>
    </row>
    <row r="15">
      <c r="A15" s="117"/>
      <c r="B15" s="117"/>
      <c r="C15" s="117"/>
      <c r="D15" s="117"/>
      <c r="E15" s="117"/>
    </row>
    <row r="16">
      <c r="A16" s="117"/>
      <c r="B16" s="117"/>
      <c r="C16" s="117"/>
      <c r="D16" s="117"/>
      <c r="E16" s="117"/>
    </row>
    <row r="17">
      <c r="A17" s="117"/>
      <c r="B17" s="117"/>
      <c r="C17" s="117"/>
      <c r="D17" s="117"/>
      <c r="E17" s="117"/>
    </row>
    <row r="18">
      <c r="A18" s="117"/>
      <c r="B18" s="117"/>
      <c r="C18" s="117"/>
      <c r="D18" s="117"/>
      <c r="E18" s="117"/>
    </row>
    <row r="19">
      <c r="A19" s="117"/>
      <c r="B19" s="117"/>
      <c r="C19" s="117"/>
      <c r="D19" s="117"/>
      <c r="E19" s="117"/>
    </row>
    <row r="20">
      <c r="A20" s="117"/>
      <c r="B20" s="117"/>
      <c r="C20" s="117"/>
      <c r="D20" s="117"/>
      <c r="E20" s="117"/>
    </row>
    <row r="21">
      <c r="A21" s="117"/>
      <c r="B21" s="117"/>
      <c r="C21" s="117"/>
      <c r="D21" s="117"/>
      <c r="E21" s="117"/>
    </row>
    <row r="22">
      <c r="A22" s="117"/>
      <c r="B22" s="117"/>
      <c r="C22" s="117"/>
      <c r="D22" s="117"/>
      <c r="E22" s="117"/>
    </row>
    <row r="23">
      <c r="A23" s="117"/>
      <c r="B23" s="117"/>
      <c r="C23" s="117"/>
      <c r="D23" s="117"/>
      <c r="E23" s="117"/>
    </row>
    <row r="24">
      <c r="A24" s="117"/>
      <c r="B24" s="117"/>
      <c r="C24" s="117"/>
      <c r="D24" s="117"/>
      <c r="E24" s="117"/>
    </row>
    <row r="25">
      <c r="A25" s="117"/>
      <c r="B25" s="117"/>
      <c r="C25" s="117"/>
      <c r="D25" s="117"/>
      <c r="E25" s="117"/>
    </row>
    <row r="26">
      <c r="A26" s="117"/>
      <c r="B26" s="117"/>
      <c r="C26" s="117"/>
      <c r="D26" s="117"/>
      <c r="E26" s="117"/>
    </row>
    <row r="27">
      <c r="A27" s="117"/>
      <c r="B27" s="117"/>
      <c r="C27" s="117"/>
      <c r="D27" s="117"/>
      <c r="E27" s="117"/>
    </row>
    <row r="28">
      <c r="A28" s="117"/>
      <c r="B28" s="117"/>
      <c r="C28" s="117"/>
      <c r="D28" s="117"/>
      <c r="E28" s="117"/>
    </row>
    <row r="29">
      <c r="A29" s="117"/>
      <c r="B29" s="117"/>
      <c r="C29" s="117"/>
      <c r="D29" s="117"/>
      <c r="E29" s="117"/>
    </row>
    <row r="30">
      <c r="A30" s="117"/>
      <c r="B30" s="117"/>
      <c r="C30" s="117"/>
      <c r="D30" s="117"/>
      <c r="E30" s="117"/>
    </row>
    <row r="31">
      <c r="A31" s="117"/>
      <c r="B31" s="117"/>
      <c r="C31" s="117"/>
      <c r="D31" s="117"/>
      <c r="E31" s="117"/>
    </row>
    <row r="32">
      <c r="A32" s="117"/>
      <c r="B32" s="117"/>
      <c r="C32" s="117"/>
      <c r="D32" s="117"/>
      <c r="E32" s="117"/>
    </row>
    <row r="33">
      <c r="A33" s="117"/>
      <c r="B33" s="117"/>
      <c r="C33" s="117"/>
      <c r="D33" s="117"/>
      <c r="E33" s="117"/>
    </row>
    <row r="34">
      <c r="A34" s="117"/>
      <c r="B34" s="117"/>
      <c r="C34" s="117"/>
      <c r="D34" s="117"/>
      <c r="E34" s="117"/>
    </row>
    <row r="35">
      <c r="A35" s="117"/>
      <c r="B35" s="117"/>
      <c r="C35" s="117"/>
      <c r="D35" s="117"/>
      <c r="E35" s="117"/>
    </row>
    <row r="36">
      <c r="A36" s="117"/>
      <c r="B36" s="117"/>
      <c r="C36" s="117"/>
      <c r="D36" s="117"/>
      <c r="E36" s="117"/>
    </row>
    <row r="37">
      <c r="A37" s="117"/>
      <c r="B37" s="117"/>
      <c r="C37" s="117"/>
      <c r="D37" s="117"/>
      <c r="E37" s="117"/>
    </row>
    <row r="38">
      <c r="A38" s="117"/>
      <c r="B38" s="117"/>
      <c r="C38" s="117"/>
      <c r="D38" s="117"/>
      <c r="E38" s="117"/>
    </row>
    <row r="39">
      <c r="A39" s="117"/>
      <c r="B39" s="117"/>
      <c r="C39" s="117"/>
      <c r="D39" s="117"/>
      <c r="E39" s="117"/>
    </row>
    <row r="40">
      <c r="A40" s="117"/>
      <c r="B40" s="117"/>
      <c r="C40" s="117"/>
      <c r="D40" s="117"/>
      <c r="E40" s="117"/>
    </row>
    <row r="41">
      <c r="A41" s="117"/>
      <c r="B41" s="117"/>
      <c r="C41" s="117"/>
      <c r="D41" s="117"/>
      <c r="E41" s="117"/>
    </row>
    <row r="42">
      <c r="A42" s="117"/>
      <c r="B42" s="117"/>
      <c r="C42" s="117"/>
      <c r="D42" s="117"/>
      <c r="E42" s="117"/>
    </row>
    <row r="43">
      <c r="A43" s="117"/>
      <c r="B43" s="117"/>
      <c r="C43" s="117"/>
      <c r="D43" s="117"/>
      <c r="E43" s="117"/>
    </row>
    <row r="44">
      <c r="A44" s="117"/>
      <c r="B44" s="117"/>
      <c r="C44" s="117"/>
      <c r="D44" s="117"/>
      <c r="E44" s="117"/>
    </row>
    <row r="45">
      <c r="A45" s="117"/>
      <c r="B45" s="117"/>
      <c r="C45" s="117"/>
      <c r="D45" s="117"/>
      <c r="E45" s="117"/>
    </row>
    <row r="46">
      <c r="A46" s="117"/>
      <c r="B46" s="117"/>
      <c r="C46" s="117"/>
      <c r="D46" s="117"/>
      <c r="E46" s="117"/>
    </row>
    <row r="47">
      <c r="A47" s="117"/>
      <c r="B47" s="117"/>
      <c r="C47" s="117"/>
      <c r="D47" s="117"/>
      <c r="E47" s="117"/>
    </row>
    <row r="48">
      <c r="A48" s="117"/>
      <c r="B48" s="117"/>
      <c r="C48" s="117"/>
      <c r="D48" s="117"/>
      <c r="E48" s="117"/>
    </row>
    <row r="49">
      <c r="A49" s="117"/>
      <c r="B49" s="117"/>
      <c r="C49" s="117"/>
      <c r="D49" s="117"/>
      <c r="E49" s="117"/>
    </row>
    <row r="50">
      <c r="A50" s="117"/>
      <c r="B50" s="117"/>
      <c r="C50" s="117"/>
      <c r="D50" s="117"/>
      <c r="E50" s="117"/>
    </row>
    <row r="51">
      <c r="A51" s="117"/>
      <c r="B51" s="117"/>
      <c r="C51" s="117"/>
      <c r="D51" s="117"/>
      <c r="E51" s="117"/>
    </row>
    <row r="52">
      <c r="A52" s="117"/>
      <c r="B52" s="117"/>
      <c r="C52" s="117"/>
      <c r="D52" s="117"/>
      <c r="E52" s="117"/>
    </row>
    <row r="53">
      <c r="A53" s="117"/>
      <c r="B53" s="117"/>
      <c r="C53" s="117"/>
      <c r="D53" s="117"/>
      <c r="E53" s="117"/>
    </row>
    <row r="54">
      <c r="A54" s="117"/>
      <c r="B54" s="117"/>
      <c r="C54" s="117"/>
      <c r="D54" s="117"/>
      <c r="E54" s="117"/>
    </row>
    <row r="55">
      <c r="A55" s="117"/>
      <c r="B55" s="117"/>
      <c r="C55" s="117"/>
      <c r="D55" s="117"/>
      <c r="E55" s="117"/>
    </row>
    <row r="56">
      <c r="A56" s="117"/>
      <c r="B56" s="117"/>
      <c r="C56" s="117"/>
      <c r="D56" s="117"/>
      <c r="E56" s="117"/>
    </row>
    <row r="57">
      <c r="A57" s="117"/>
      <c r="B57" s="117"/>
      <c r="C57" s="117"/>
      <c r="D57" s="117"/>
      <c r="E57" s="117"/>
    </row>
    <row r="58">
      <c r="A58" s="117"/>
      <c r="B58" s="117"/>
      <c r="C58" s="117"/>
      <c r="D58" s="117"/>
      <c r="E58" s="117"/>
    </row>
    <row r="59">
      <c r="A59" s="117"/>
      <c r="B59" s="117"/>
      <c r="C59" s="117"/>
      <c r="D59" s="117"/>
      <c r="E59" s="117"/>
    </row>
    <row r="60">
      <c r="A60" s="117"/>
      <c r="B60" s="117"/>
      <c r="C60" s="117"/>
      <c r="D60" s="117"/>
      <c r="E60" s="117"/>
    </row>
    <row r="61">
      <c r="A61" s="117"/>
      <c r="B61" s="117"/>
      <c r="C61" s="117"/>
      <c r="D61" s="117"/>
      <c r="E61" s="117"/>
    </row>
    <row r="62">
      <c r="A62" s="117"/>
      <c r="B62" s="117"/>
      <c r="C62" s="117"/>
      <c r="D62" s="117"/>
      <c r="E62" s="117"/>
    </row>
    <row r="63">
      <c r="A63" s="117"/>
      <c r="B63" s="117"/>
      <c r="C63" s="117"/>
      <c r="D63" s="117"/>
      <c r="E63" s="117"/>
    </row>
    <row r="64">
      <c r="A64" s="117"/>
      <c r="B64" s="117"/>
      <c r="C64" s="117"/>
      <c r="D64" s="117"/>
      <c r="E64" s="117"/>
    </row>
    <row r="65">
      <c r="A65" s="117"/>
      <c r="B65" s="117"/>
      <c r="C65" s="117"/>
      <c r="D65" s="117"/>
      <c r="E65" s="117"/>
    </row>
    <row r="66">
      <c r="A66" s="117"/>
      <c r="B66" s="117"/>
      <c r="C66" s="117"/>
      <c r="D66" s="117"/>
      <c r="E66" s="117"/>
    </row>
    <row r="67">
      <c r="A67" s="117"/>
      <c r="B67" s="117"/>
      <c r="C67" s="117"/>
      <c r="D67" s="117"/>
      <c r="E67" s="117"/>
    </row>
    <row r="68">
      <c r="A68" s="117"/>
      <c r="B68" s="117"/>
      <c r="C68" s="117"/>
      <c r="D68" s="117"/>
      <c r="E68" s="117"/>
    </row>
    <row r="69">
      <c r="A69" s="117"/>
      <c r="B69" s="117"/>
      <c r="C69" s="117"/>
      <c r="D69" s="117"/>
      <c r="E69" s="117"/>
    </row>
    <row r="70">
      <c r="A70" s="117"/>
      <c r="B70" s="117"/>
      <c r="C70" s="117"/>
      <c r="D70" s="117"/>
      <c r="E70" s="117"/>
    </row>
    <row r="71">
      <c r="A71" s="117"/>
      <c r="B71" s="117"/>
      <c r="C71" s="117"/>
      <c r="D71" s="117"/>
      <c r="E71" s="117"/>
    </row>
    <row r="72">
      <c r="A72" s="117"/>
      <c r="B72" s="117"/>
      <c r="C72" s="117"/>
      <c r="D72" s="117"/>
      <c r="E72" s="117"/>
    </row>
    <row r="73">
      <c r="A73" s="117"/>
      <c r="B73" s="117"/>
      <c r="C73" s="117"/>
      <c r="D73" s="117"/>
      <c r="E73" s="117"/>
    </row>
    <row r="74">
      <c r="A74" s="117"/>
      <c r="B74" s="117"/>
      <c r="C74" s="117"/>
      <c r="D74" s="117"/>
      <c r="E74" s="117"/>
    </row>
    <row r="75">
      <c r="A75" s="117"/>
      <c r="B75" s="117"/>
      <c r="C75" s="117"/>
      <c r="D75" s="117"/>
      <c r="E75" s="117"/>
    </row>
    <row r="76">
      <c r="A76" s="117"/>
      <c r="B76" s="117"/>
      <c r="C76" s="117"/>
      <c r="D76" s="117"/>
      <c r="E76" s="117"/>
    </row>
    <row r="77">
      <c r="A77" s="117"/>
      <c r="B77" s="117"/>
      <c r="C77" s="117"/>
      <c r="D77" s="117"/>
      <c r="E77" s="117"/>
    </row>
    <row r="78">
      <c r="A78" s="117"/>
      <c r="B78" s="117"/>
      <c r="C78" s="117"/>
      <c r="D78" s="117"/>
      <c r="E78" s="117"/>
    </row>
    <row r="79">
      <c r="A79" s="117"/>
      <c r="B79" s="117"/>
      <c r="C79" s="117"/>
      <c r="D79" s="117"/>
      <c r="E79" s="117"/>
    </row>
    <row r="80">
      <c r="A80" s="117"/>
      <c r="B80" s="117"/>
      <c r="C80" s="117"/>
      <c r="D80" s="117"/>
      <c r="E80" s="117"/>
    </row>
    <row r="81">
      <c r="A81" s="117"/>
      <c r="B81" s="117"/>
      <c r="C81" s="117"/>
      <c r="D81" s="117"/>
      <c r="E81" s="117"/>
    </row>
    <row r="82">
      <c r="A82" s="117"/>
      <c r="B82" s="117"/>
      <c r="C82" s="117"/>
      <c r="D82" s="117"/>
      <c r="E82" s="117"/>
    </row>
    <row r="83">
      <c r="A83" s="117"/>
      <c r="B83" s="117"/>
      <c r="C83" s="117"/>
      <c r="D83" s="117"/>
      <c r="E83" s="117"/>
    </row>
    <row r="84">
      <c r="A84" s="117"/>
      <c r="B84" s="117"/>
      <c r="C84" s="117"/>
      <c r="D84" s="117"/>
      <c r="E84" s="117"/>
    </row>
    <row r="85">
      <c r="A85" s="117"/>
      <c r="B85" s="117"/>
      <c r="C85" s="117"/>
      <c r="D85" s="117"/>
      <c r="E85" s="117"/>
    </row>
    <row r="86">
      <c r="A86" s="117"/>
      <c r="B86" s="117"/>
      <c r="C86" s="117"/>
      <c r="D86" s="117"/>
      <c r="E86" s="117"/>
    </row>
    <row r="87">
      <c r="A87" s="117"/>
      <c r="B87" s="117"/>
      <c r="C87" s="117"/>
      <c r="D87" s="117"/>
      <c r="E87" s="117"/>
    </row>
    <row r="88">
      <c r="A88" s="117"/>
      <c r="B88" s="117"/>
      <c r="C88" s="117"/>
      <c r="D88" s="117"/>
      <c r="E88" s="117"/>
    </row>
    <row r="89">
      <c r="A89" s="117"/>
      <c r="B89" s="117"/>
      <c r="C89" s="117"/>
      <c r="D89" s="117"/>
      <c r="E89" s="117"/>
    </row>
    <row r="90">
      <c r="A90" s="117"/>
      <c r="B90" s="117"/>
      <c r="C90" s="117"/>
      <c r="D90" s="117"/>
      <c r="E90" s="117"/>
    </row>
    <row r="91">
      <c r="A91" s="117"/>
      <c r="B91" s="117"/>
      <c r="C91" s="117"/>
      <c r="D91" s="117"/>
      <c r="E91" s="117"/>
    </row>
    <row r="92">
      <c r="A92" s="117"/>
      <c r="B92" s="117"/>
      <c r="C92" s="117"/>
      <c r="D92" s="117"/>
      <c r="E92" s="117"/>
    </row>
    <row r="93">
      <c r="A93" s="117"/>
      <c r="B93" s="117"/>
      <c r="C93" s="117"/>
      <c r="D93" s="117"/>
      <c r="E93" s="117"/>
    </row>
    <row r="94">
      <c r="A94" s="117"/>
      <c r="B94" s="117"/>
      <c r="C94" s="117"/>
      <c r="D94" s="117"/>
      <c r="E94" s="117"/>
    </row>
    <row r="95">
      <c r="A95" s="117"/>
      <c r="B95" s="117"/>
      <c r="C95" s="117"/>
      <c r="D95" s="117"/>
      <c r="E95" s="117"/>
    </row>
    <row r="96">
      <c r="A96" s="117"/>
      <c r="B96" s="117"/>
      <c r="C96" s="117"/>
      <c r="D96" s="117"/>
      <c r="E96" s="117"/>
    </row>
    <row r="97">
      <c r="A97" s="117"/>
      <c r="B97" s="117"/>
      <c r="C97" s="117"/>
      <c r="D97" s="117"/>
      <c r="E97" s="117"/>
    </row>
    <row r="98">
      <c r="A98" s="117"/>
      <c r="B98" s="117"/>
      <c r="C98" s="117"/>
      <c r="D98" s="117"/>
      <c r="E98" s="117"/>
    </row>
    <row r="99">
      <c r="A99" s="117"/>
      <c r="B99" s="117"/>
      <c r="C99" s="117"/>
      <c r="D99" s="117"/>
      <c r="E99" s="117"/>
    </row>
    <row r="100">
      <c r="A100" s="117"/>
      <c r="B100" s="117"/>
      <c r="C100" s="117"/>
      <c r="D100" s="117"/>
      <c r="E100" s="117"/>
    </row>
    <row r="101">
      <c r="A101" s="117"/>
      <c r="B101" s="117"/>
      <c r="C101" s="117"/>
      <c r="D101" s="117"/>
      <c r="E101" s="117"/>
    </row>
    <row r="102">
      <c r="A102" s="117"/>
      <c r="B102" s="117"/>
      <c r="C102" s="117"/>
      <c r="D102" s="117"/>
      <c r="E102" s="117"/>
    </row>
    <row r="103">
      <c r="A103" s="117"/>
      <c r="B103" s="117"/>
      <c r="C103" s="117"/>
      <c r="D103" s="117"/>
      <c r="E103" s="117"/>
    </row>
    <row r="104">
      <c r="A104" s="117"/>
      <c r="B104" s="117"/>
      <c r="C104" s="117"/>
      <c r="D104" s="117"/>
      <c r="E104" s="117"/>
    </row>
    <row r="105">
      <c r="A105" s="117"/>
      <c r="B105" s="117"/>
      <c r="C105" s="117"/>
      <c r="D105" s="117"/>
      <c r="E105" s="117"/>
    </row>
    <row r="106">
      <c r="A106" s="117"/>
      <c r="B106" s="117"/>
      <c r="C106" s="117"/>
      <c r="D106" s="117"/>
      <c r="E106" s="117"/>
    </row>
    <row r="107">
      <c r="A107" s="117"/>
      <c r="B107" s="117"/>
      <c r="C107" s="117"/>
      <c r="D107" s="117"/>
      <c r="E107" s="117"/>
    </row>
    <row r="108">
      <c r="A108" s="117"/>
      <c r="B108" s="117"/>
      <c r="C108" s="117"/>
      <c r="D108" s="117"/>
      <c r="E108" s="117"/>
    </row>
    <row r="109">
      <c r="A109" s="117"/>
      <c r="B109" s="117"/>
      <c r="C109" s="117"/>
      <c r="D109" s="117"/>
      <c r="E109" s="117"/>
    </row>
    <row r="110">
      <c r="A110" s="117"/>
      <c r="B110" s="117"/>
      <c r="C110" s="117"/>
      <c r="D110" s="117"/>
      <c r="E110" s="117"/>
    </row>
    <row r="111">
      <c r="A111" s="117"/>
      <c r="B111" s="117"/>
      <c r="C111" s="117"/>
      <c r="D111" s="117"/>
      <c r="E111" s="117"/>
    </row>
    <row r="112">
      <c r="A112" s="117"/>
      <c r="B112" s="117"/>
      <c r="C112" s="117"/>
      <c r="D112" s="117"/>
      <c r="E112" s="117"/>
    </row>
    <row r="113">
      <c r="A113" s="117"/>
      <c r="B113" s="117"/>
      <c r="C113" s="117"/>
      <c r="D113" s="117"/>
      <c r="E113" s="117"/>
    </row>
    <row r="114">
      <c r="A114" s="117"/>
      <c r="B114" s="117"/>
      <c r="C114" s="117"/>
      <c r="D114" s="117"/>
      <c r="E114" s="117"/>
    </row>
    <row r="115">
      <c r="A115" s="117"/>
      <c r="B115" s="117"/>
      <c r="C115" s="117"/>
      <c r="D115" s="117"/>
      <c r="E115" s="117"/>
    </row>
    <row r="116">
      <c r="A116" s="117"/>
      <c r="B116" s="117"/>
      <c r="C116" s="117"/>
      <c r="D116" s="117"/>
      <c r="E116" s="117"/>
    </row>
    <row r="117">
      <c r="A117" s="117"/>
      <c r="B117" s="117"/>
      <c r="C117" s="117"/>
      <c r="D117" s="117"/>
      <c r="E117" s="117"/>
    </row>
    <row r="118">
      <c r="A118" s="117"/>
      <c r="B118" s="117"/>
      <c r="C118" s="117"/>
      <c r="D118" s="117"/>
      <c r="E118" s="117"/>
    </row>
    <row r="119">
      <c r="A119" s="117"/>
      <c r="B119" s="117"/>
      <c r="C119" s="117"/>
      <c r="D119" s="117"/>
      <c r="E119" s="117"/>
    </row>
    <row r="120">
      <c r="A120" s="117"/>
      <c r="B120" s="117"/>
      <c r="C120" s="117"/>
      <c r="D120" s="117"/>
      <c r="E120" s="117"/>
    </row>
    <row r="121">
      <c r="A121" s="117"/>
      <c r="B121" s="117"/>
      <c r="C121" s="117"/>
      <c r="D121" s="117"/>
      <c r="E121" s="117"/>
    </row>
    <row r="122">
      <c r="A122" s="117"/>
      <c r="B122" s="117"/>
      <c r="C122" s="117"/>
      <c r="D122" s="117"/>
      <c r="E122" s="117"/>
    </row>
    <row r="123">
      <c r="A123" s="117"/>
      <c r="B123" s="117"/>
      <c r="C123" s="117"/>
      <c r="D123" s="117"/>
      <c r="E123" s="117"/>
    </row>
    <row r="124">
      <c r="A124" s="117"/>
      <c r="B124" s="117"/>
      <c r="C124" s="117"/>
      <c r="D124" s="117"/>
      <c r="E124" s="117"/>
    </row>
    <row r="125">
      <c r="A125" s="117"/>
      <c r="B125" s="117"/>
      <c r="C125" s="117"/>
      <c r="D125" s="117"/>
      <c r="E125" s="117"/>
    </row>
    <row r="126">
      <c r="A126" s="117"/>
      <c r="B126" s="117"/>
      <c r="C126" s="117"/>
      <c r="D126" s="117"/>
      <c r="E126" s="117"/>
    </row>
    <row r="127">
      <c r="A127" s="117"/>
      <c r="B127" s="117"/>
      <c r="C127" s="117"/>
      <c r="D127" s="117"/>
      <c r="E127" s="117"/>
    </row>
    <row r="128">
      <c r="A128" s="117"/>
      <c r="B128" s="117"/>
      <c r="C128" s="117"/>
      <c r="D128" s="117"/>
      <c r="E128" s="117"/>
    </row>
    <row r="129">
      <c r="A129" s="117"/>
      <c r="B129" s="117"/>
      <c r="C129" s="117"/>
      <c r="D129" s="117"/>
      <c r="E129" s="117"/>
    </row>
    <row r="130">
      <c r="A130" s="117"/>
      <c r="B130" s="117"/>
      <c r="C130" s="117"/>
      <c r="D130" s="117"/>
      <c r="E130" s="117"/>
    </row>
    <row r="131">
      <c r="A131" s="117"/>
      <c r="B131" s="117"/>
      <c r="C131" s="117"/>
      <c r="D131" s="117"/>
      <c r="E131" s="117"/>
    </row>
    <row r="132">
      <c r="A132" s="117"/>
      <c r="B132" s="117"/>
      <c r="C132" s="117"/>
      <c r="D132" s="117"/>
      <c r="E132" s="117"/>
    </row>
    <row r="133">
      <c r="A133" s="117"/>
      <c r="B133" s="117"/>
      <c r="C133" s="117"/>
      <c r="D133" s="117"/>
      <c r="E133" s="117"/>
    </row>
    <row r="134">
      <c r="A134" s="117"/>
      <c r="B134" s="117"/>
      <c r="C134" s="117"/>
      <c r="D134" s="117"/>
      <c r="E134" s="117"/>
    </row>
    <row r="135">
      <c r="A135" s="117"/>
      <c r="B135" s="117"/>
      <c r="C135" s="117"/>
      <c r="D135" s="117"/>
      <c r="E135" s="117"/>
    </row>
    <row r="136">
      <c r="A136" s="117"/>
      <c r="B136" s="117"/>
      <c r="C136" s="117"/>
      <c r="D136" s="117"/>
      <c r="E136" s="117"/>
    </row>
    <row r="137">
      <c r="A137" s="117"/>
      <c r="B137" s="117"/>
      <c r="C137" s="117"/>
      <c r="D137" s="117"/>
      <c r="E137" s="117"/>
    </row>
    <row r="138">
      <c r="A138" s="117"/>
      <c r="B138" s="117"/>
      <c r="C138" s="117"/>
      <c r="D138" s="117"/>
      <c r="E138" s="117"/>
    </row>
    <row r="139">
      <c r="A139" s="117"/>
      <c r="B139" s="117"/>
      <c r="C139" s="117"/>
      <c r="D139" s="117"/>
      <c r="E139" s="117"/>
    </row>
    <row r="140">
      <c r="A140" s="117"/>
      <c r="B140" s="117"/>
      <c r="C140" s="117"/>
      <c r="D140" s="117"/>
      <c r="E140" s="117"/>
    </row>
    <row r="141">
      <c r="A141" s="117"/>
      <c r="B141" s="117"/>
      <c r="C141" s="117"/>
      <c r="D141" s="117"/>
      <c r="E141" s="117"/>
    </row>
    <row r="142">
      <c r="A142" s="117"/>
      <c r="B142" s="117"/>
      <c r="C142" s="117"/>
      <c r="D142" s="117"/>
      <c r="E142" s="117"/>
    </row>
    <row r="143">
      <c r="A143" s="117"/>
      <c r="B143" s="117"/>
      <c r="C143" s="117"/>
      <c r="D143" s="117"/>
      <c r="E143" s="117"/>
    </row>
    <row r="144">
      <c r="A144" s="117"/>
      <c r="B144" s="117"/>
      <c r="C144" s="117"/>
      <c r="D144" s="117"/>
      <c r="E144" s="117"/>
    </row>
    <row r="145">
      <c r="A145" s="117"/>
      <c r="B145" s="117"/>
      <c r="C145" s="117"/>
      <c r="D145" s="117"/>
      <c r="E145" s="117"/>
    </row>
    <row r="146">
      <c r="A146" s="117"/>
      <c r="B146" s="117"/>
      <c r="C146" s="117"/>
      <c r="D146" s="117"/>
      <c r="E146" s="117"/>
    </row>
    <row r="147">
      <c r="A147" s="117"/>
      <c r="B147" s="117"/>
      <c r="C147" s="117"/>
      <c r="D147" s="117"/>
      <c r="E147" s="117"/>
    </row>
    <row r="148">
      <c r="A148" s="117"/>
      <c r="B148" s="117"/>
      <c r="C148" s="117"/>
      <c r="D148" s="117"/>
      <c r="E148" s="117"/>
    </row>
    <row r="149">
      <c r="A149" s="117"/>
      <c r="B149" s="117"/>
      <c r="C149" s="117"/>
      <c r="D149" s="117"/>
      <c r="E149" s="117"/>
    </row>
    <row r="150">
      <c r="A150" s="117"/>
      <c r="B150" s="117"/>
      <c r="C150" s="117"/>
      <c r="D150" s="117"/>
      <c r="E150" s="117"/>
    </row>
    <row r="151">
      <c r="A151" s="117"/>
      <c r="B151" s="117"/>
      <c r="C151" s="117"/>
      <c r="D151" s="117"/>
      <c r="E151" s="117"/>
    </row>
    <row r="152">
      <c r="A152" s="117"/>
      <c r="B152" s="117"/>
      <c r="C152" s="117"/>
      <c r="D152" s="117"/>
      <c r="E152" s="117"/>
    </row>
    <row r="153">
      <c r="A153" s="117"/>
      <c r="B153" s="117"/>
      <c r="C153" s="117"/>
      <c r="D153" s="117"/>
      <c r="E153" s="117"/>
    </row>
    <row r="154">
      <c r="A154" s="117"/>
      <c r="B154" s="117"/>
      <c r="C154" s="117"/>
      <c r="D154" s="117"/>
      <c r="E154" s="117"/>
    </row>
    <row r="155">
      <c r="A155" s="117"/>
      <c r="B155" s="117"/>
      <c r="C155" s="117"/>
      <c r="D155" s="117"/>
      <c r="E155" s="117"/>
    </row>
    <row r="156">
      <c r="A156" s="117"/>
      <c r="B156" s="117"/>
      <c r="C156" s="117"/>
      <c r="D156" s="117"/>
      <c r="E156" s="117"/>
    </row>
    <row r="157">
      <c r="A157" s="117"/>
      <c r="B157" s="117"/>
      <c r="C157" s="117"/>
      <c r="D157" s="117"/>
      <c r="E157" s="117"/>
    </row>
    <row r="158">
      <c r="A158" s="117"/>
      <c r="B158" s="117"/>
      <c r="C158" s="117"/>
      <c r="D158" s="117"/>
      <c r="E158" s="117"/>
    </row>
    <row r="159">
      <c r="A159" s="117"/>
      <c r="B159" s="117"/>
      <c r="C159" s="117"/>
      <c r="D159" s="117"/>
      <c r="E159" s="117"/>
    </row>
    <row r="160">
      <c r="A160" s="117"/>
      <c r="B160" s="117"/>
      <c r="C160" s="117"/>
      <c r="D160" s="117"/>
      <c r="E160" s="117"/>
    </row>
    <row r="161">
      <c r="A161" s="117"/>
      <c r="B161" s="117"/>
      <c r="C161" s="117"/>
      <c r="D161" s="117"/>
      <c r="E161" s="117"/>
    </row>
    <row r="162">
      <c r="A162" s="117"/>
      <c r="B162" s="117"/>
      <c r="C162" s="117"/>
      <c r="D162" s="117"/>
      <c r="E162" s="117"/>
    </row>
    <row r="163">
      <c r="A163" s="117"/>
      <c r="B163" s="117"/>
      <c r="C163" s="117"/>
      <c r="D163" s="117"/>
      <c r="E163" s="117"/>
    </row>
    <row r="164">
      <c r="A164" s="117"/>
      <c r="B164" s="117"/>
      <c r="C164" s="117"/>
      <c r="D164" s="117"/>
      <c r="E164" s="117"/>
    </row>
    <row r="165">
      <c r="A165" s="117"/>
      <c r="B165" s="117"/>
      <c r="C165" s="117"/>
      <c r="D165" s="117"/>
      <c r="E165" s="117"/>
    </row>
    <row r="166">
      <c r="A166" s="117"/>
      <c r="B166" s="117"/>
      <c r="C166" s="117"/>
      <c r="D166" s="117"/>
      <c r="E166" s="117"/>
    </row>
    <row r="167">
      <c r="A167" s="117"/>
      <c r="B167" s="117"/>
      <c r="C167" s="117"/>
      <c r="D167" s="117"/>
      <c r="E167" s="117"/>
    </row>
    <row r="168">
      <c r="A168" s="117"/>
      <c r="B168" s="117"/>
      <c r="C168" s="117"/>
      <c r="D168" s="117"/>
      <c r="E168" s="117"/>
    </row>
    <row r="169">
      <c r="A169" s="117"/>
      <c r="B169" s="117"/>
      <c r="C169" s="117"/>
      <c r="D169" s="117"/>
      <c r="E169" s="117"/>
    </row>
    <row r="170">
      <c r="A170" s="117"/>
      <c r="B170" s="117"/>
      <c r="C170" s="117"/>
      <c r="D170" s="117"/>
      <c r="E170" s="117"/>
    </row>
    <row r="171">
      <c r="A171" s="117"/>
      <c r="B171" s="117"/>
      <c r="C171" s="117"/>
      <c r="D171" s="117"/>
      <c r="E171" s="117"/>
    </row>
    <row r="172">
      <c r="A172" s="117"/>
      <c r="B172" s="117"/>
      <c r="C172" s="117"/>
      <c r="D172" s="117"/>
      <c r="E172" s="117"/>
    </row>
    <row r="173">
      <c r="A173" s="117"/>
      <c r="B173" s="117"/>
      <c r="C173" s="117"/>
      <c r="D173" s="117"/>
      <c r="E173" s="117"/>
    </row>
    <row r="174">
      <c r="A174" s="117"/>
      <c r="B174" s="117"/>
      <c r="C174" s="117"/>
      <c r="D174" s="117"/>
      <c r="E174" s="117"/>
    </row>
    <row r="175">
      <c r="A175" s="117"/>
      <c r="B175" s="117"/>
      <c r="C175" s="117"/>
      <c r="D175" s="117"/>
      <c r="E175" s="117"/>
    </row>
    <row r="176">
      <c r="A176" s="117"/>
      <c r="B176" s="117"/>
      <c r="C176" s="117"/>
      <c r="D176" s="117"/>
      <c r="E176" s="117"/>
    </row>
    <row r="177">
      <c r="A177" s="117"/>
      <c r="B177" s="117"/>
      <c r="C177" s="117"/>
      <c r="D177" s="117"/>
      <c r="E177" s="117"/>
    </row>
    <row r="178">
      <c r="A178" s="117"/>
      <c r="B178" s="117"/>
      <c r="C178" s="117"/>
      <c r="D178" s="117"/>
      <c r="E178" s="117"/>
    </row>
    <row r="179">
      <c r="A179" s="117"/>
      <c r="B179" s="117"/>
      <c r="C179" s="117"/>
      <c r="D179" s="117"/>
      <c r="E179" s="117"/>
    </row>
    <row r="180">
      <c r="A180" s="117"/>
      <c r="B180" s="117"/>
      <c r="C180" s="117"/>
      <c r="D180" s="117"/>
      <c r="E180" s="117"/>
    </row>
    <row r="181">
      <c r="A181" s="117"/>
      <c r="B181" s="117"/>
      <c r="C181" s="117"/>
      <c r="D181" s="117"/>
      <c r="E181" s="117"/>
    </row>
    <row r="182">
      <c r="A182" s="117"/>
      <c r="B182" s="117"/>
      <c r="C182" s="117"/>
      <c r="D182" s="117"/>
      <c r="E182" s="117"/>
    </row>
    <row r="183">
      <c r="A183" s="117"/>
      <c r="B183" s="117"/>
      <c r="C183" s="117"/>
      <c r="D183" s="117"/>
      <c r="E183" s="117"/>
    </row>
    <row r="184">
      <c r="A184" s="117"/>
      <c r="B184" s="117"/>
      <c r="C184" s="117"/>
      <c r="D184" s="117"/>
      <c r="E184" s="117"/>
    </row>
    <row r="185">
      <c r="A185" s="117"/>
      <c r="B185" s="117"/>
      <c r="C185" s="117"/>
      <c r="D185" s="117"/>
      <c r="E185" s="117"/>
    </row>
    <row r="186">
      <c r="A186" s="117"/>
      <c r="B186" s="117"/>
      <c r="C186" s="117"/>
      <c r="D186" s="117"/>
      <c r="E186" s="117"/>
    </row>
    <row r="187">
      <c r="A187" s="117"/>
      <c r="B187" s="117"/>
      <c r="C187" s="117"/>
      <c r="D187" s="117"/>
      <c r="E187" s="117"/>
    </row>
    <row r="188">
      <c r="A188" s="117"/>
      <c r="B188" s="117"/>
      <c r="C188" s="117"/>
      <c r="D188" s="117"/>
      <c r="E188" s="117"/>
    </row>
    <row r="189">
      <c r="A189" s="117"/>
      <c r="B189" s="117"/>
      <c r="C189" s="117"/>
      <c r="D189" s="117"/>
      <c r="E189" s="117"/>
    </row>
    <row r="190">
      <c r="A190" s="117"/>
      <c r="B190" s="117"/>
      <c r="C190" s="117"/>
      <c r="D190" s="117"/>
      <c r="E190" s="117"/>
    </row>
    <row r="191">
      <c r="A191" s="117"/>
      <c r="B191" s="117"/>
      <c r="C191" s="117"/>
      <c r="D191" s="117"/>
      <c r="E191" s="117"/>
    </row>
    <row r="192">
      <c r="A192" s="117"/>
      <c r="B192" s="117"/>
      <c r="C192" s="117"/>
      <c r="D192" s="117"/>
      <c r="E192" s="117"/>
    </row>
    <row r="193">
      <c r="A193" s="117"/>
      <c r="B193" s="117"/>
      <c r="C193" s="117"/>
      <c r="D193" s="117"/>
      <c r="E193" s="117"/>
    </row>
    <row r="194">
      <c r="A194" s="117"/>
      <c r="B194" s="117"/>
      <c r="C194" s="117"/>
      <c r="D194" s="117"/>
      <c r="E194" s="117"/>
    </row>
    <row r="195">
      <c r="A195" s="117"/>
      <c r="B195" s="117"/>
      <c r="C195" s="117"/>
      <c r="D195" s="117"/>
      <c r="E195" s="117"/>
    </row>
    <row r="196">
      <c r="A196" s="117"/>
      <c r="B196" s="117"/>
      <c r="C196" s="117"/>
      <c r="D196" s="117"/>
      <c r="E196" s="117"/>
    </row>
    <row r="197">
      <c r="A197" s="117"/>
      <c r="B197" s="117"/>
      <c r="C197" s="117"/>
      <c r="D197" s="117"/>
      <c r="E197" s="117"/>
    </row>
    <row r="198">
      <c r="A198" s="117"/>
      <c r="B198" s="117"/>
      <c r="C198" s="117"/>
      <c r="D198" s="117"/>
      <c r="E198" s="117"/>
    </row>
    <row r="199">
      <c r="A199" s="117"/>
      <c r="B199" s="117"/>
      <c r="C199" s="117"/>
      <c r="D199" s="117"/>
      <c r="E199" s="117"/>
    </row>
    <row r="200">
      <c r="A200" s="117"/>
      <c r="B200" s="117"/>
      <c r="C200" s="117"/>
      <c r="D200" s="117"/>
      <c r="E200" s="117"/>
    </row>
    <row r="201">
      <c r="A201" s="117"/>
      <c r="B201" s="117"/>
      <c r="C201" s="117"/>
      <c r="D201" s="117"/>
      <c r="E201" s="117"/>
    </row>
    <row r="202">
      <c r="A202" s="117"/>
      <c r="B202" s="117"/>
      <c r="C202" s="117"/>
      <c r="D202" s="117"/>
      <c r="E202" s="117"/>
    </row>
    <row r="203">
      <c r="A203" s="117"/>
      <c r="B203" s="117"/>
      <c r="C203" s="117"/>
      <c r="D203" s="117"/>
      <c r="E203" s="117"/>
    </row>
    <row r="204">
      <c r="A204" s="117"/>
      <c r="B204" s="117"/>
      <c r="C204" s="117"/>
      <c r="D204" s="117"/>
      <c r="E204" s="117"/>
    </row>
    <row r="205">
      <c r="A205" s="117"/>
      <c r="B205" s="117"/>
      <c r="C205" s="117"/>
      <c r="D205" s="117"/>
      <c r="E205" s="117"/>
    </row>
    <row r="206">
      <c r="A206" s="117"/>
      <c r="B206" s="117"/>
      <c r="C206" s="117"/>
      <c r="D206" s="117"/>
      <c r="E206" s="117"/>
    </row>
    <row r="207">
      <c r="A207" s="117"/>
      <c r="B207" s="117"/>
      <c r="C207" s="117"/>
      <c r="D207" s="117"/>
      <c r="E207" s="117"/>
    </row>
    <row r="208">
      <c r="A208" s="117"/>
      <c r="B208" s="117"/>
      <c r="C208" s="117"/>
      <c r="D208" s="117"/>
      <c r="E208" s="117"/>
    </row>
    <row r="209">
      <c r="A209" s="117"/>
      <c r="B209" s="117"/>
      <c r="C209" s="117"/>
      <c r="D209" s="117"/>
      <c r="E209" s="117"/>
    </row>
    <row r="210">
      <c r="A210" s="117"/>
      <c r="B210" s="117"/>
      <c r="C210" s="117"/>
      <c r="D210" s="117"/>
      <c r="E210" s="117"/>
    </row>
    <row r="211">
      <c r="A211" s="117"/>
      <c r="B211" s="117"/>
      <c r="C211" s="117"/>
      <c r="D211" s="117"/>
      <c r="E211" s="117"/>
    </row>
    <row r="212">
      <c r="A212" s="117"/>
      <c r="B212" s="117"/>
      <c r="C212" s="117"/>
      <c r="D212" s="117"/>
      <c r="E212" s="117"/>
    </row>
    <row r="213">
      <c r="A213" s="117"/>
      <c r="B213" s="117"/>
      <c r="C213" s="117"/>
      <c r="D213" s="117"/>
      <c r="E213" s="117"/>
    </row>
    <row r="214">
      <c r="A214" s="117"/>
      <c r="B214" s="117"/>
      <c r="C214" s="117"/>
      <c r="D214" s="117"/>
      <c r="E214" s="117"/>
    </row>
    <row r="215">
      <c r="A215" s="117"/>
      <c r="B215" s="117"/>
      <c r="C215" s="117"/>
      <c r="D215" s="117"/>
      <c r="E215" s="117"/>
    </row>
    <row r="216">
      <c r="A216" s="117"/>
      <c r="B216" s="117"/>
      <c r="C216" s="117"/>
      <c r="D216" s="117"/>
      <c r="E216" s="117"/>
    </row>
    <row r="217">
      <c r="A217" s="117"/>
      <c r="B217" s="117"/>
      <c r="C217" s="117"/>
      <c r="D217" s="117"/>
      <c r="E217" s="117"/>
    </row>
    <row r="218">
      <c r="A218" s="117"/>
      <c r="B218" s="117"/>
      <c r="C218" s="117"/>
      <c r="D218" s="117"/>
      <c r="E218" s="117"/>
    </row>
    <row r="219">
      <c r="A219" s="117"/>
      <c r="B219" s="117"/>
      <c r="C219" s="117"/>
      <c r="D219" s="117"/>
      <c r="E219" s="117"/>
    </row>
    <row r="220">
      <c r="A220" s="117"/>
      <c r="B220" s="117"/>
      <c r="C220" s="117"/>
      <c r="D220" s="117"/>
      <c r="E220" s="117"/>
    </row>
    <row r="221">
      <c r="A221" s="117"/>
      <c r="B221" s="117"/>
      <c r="C221" s="117"/>
      <c r="D221" s="117"/>
      <c r="E221" s="117"/>
    </row>
    <row r="222">
      <c r="A222" s="117"/>
      <c r="B222" s="117"/>
      <c r="C222" s="117"/>
      <c r="D222" s="117"/>
      <c r="E222" s="117"/>
    </row>
    <row r="223">
      <c r="A223" s="117"/>
      <c r="B223" s="117"/>
      <c r="C223" s="117"/>
      <c r="D223" s="117"/>
      <c r="E223" s="117"/>
    </row>
    <row r="224">
      <c r="A224" s="117"/>
      <c r="B224" s="117"/>
      <c r="C224" s="117"/>
      <c r="D224" s="117"/>
      <c r="E224" s="117"/>
    </row>
    <row r="225">
      <c r="A225" s="117"/>
      <c r="B225" s="117"/>
      <c r="C225" s="117"/>
      <c r="D225" s="117"/>
      <c r="E225" s="117"/>
    </row>
    <row r="226">
      <c r="A226" s="117"/>
      <c r="B226" s="117"/>
      <c r="C226" s="117"/>
      <c r="D226" s="117"/>
      <c r="E226" s="117"/>
    </row>
    <row r="227">
      <c r="A227" s="117"/>
      <c r="B227" s="117"/>
      <c r="C227" s="117"/>
      <c r="D227" s="117"/>
      <c r="E227" s="117"/>
    </row>
    <row r="228">
      <c r="A228" s="117"/>
      <c r="B228" s="117"/>
      <c r="C228" s="117"/>
      <c r="D228" s="117"/>
      <c r="E228" s="117"/>
    </row>
    <row r="229">
      <c r="A229" s="117"/>
      <c r="B229" s="117"/>
      <c r="C229" s="117"/>
      <c r="D229" s="117"/>
      <c r="E229" s="117"/>
    </row>
    <row r="230">
      <c r="A230" s="117"/>
      <c r="B230" s="117"/>
      <c r="C230" s="117"/>
      <c r="D230" s="117"/>
      <c r="E230" s="117"/>
    </row>
    <row r="231">
      <c r="A231" s="117"/>
      <c r="B231" s="117"/>
      <c r="C231" s="117"/>
      <c r="D231" s="117"/>
      <c r="E231" s="117"/>
    </row>
    <row r="232">
      <c r="A232" s="117"/>
      <c r="B232" s="117"/>
      <c r="C232" s="117"/>
      <c r="D232" s="117"/>
      <c r="E232" s="117"/>
    </row>
    <row r="233">
      <c r="A233" s="117"/>
      <c r="B233" s="117"/>
      <c r="C233" s="117"/>
      <c r="D233" s="117"/>
      <c r="E233" s="117"/>
    </row>
    <row r="234">
      <c r="A234" s="117"/>
      <c r="B234" s="117"/>
      <c r="C234" s="117"/>
      <c r="D234" s="117"/>
      <c r="E234" s="117"/>
    </row>
    <row r="235">
      <c r="A235" s="117"/>
      <c r="B235" s="117"/>
      <c r="C235" s="117"/>
      <c r="D235" s="117"/>
      <c r="E235" s="117"/>
    </row>
    <row r="236">
      <c r="A236" s="117"/>
      <c r="B236" s="117"/>
      <c r="C236" s="117"/>
      <c r="D236" s="117"/>
      <c r="E236" s="117"/>
    </row>
    <row r="237">
      <c r="A237" s="117"/>
      <c r="B237" s="117"/>
      <c r="C237" s="117"/>
      <c r="D237" s="117"/>
      <c r="E237" s="117"/>
    </row>
    <row r="238">
      <c r="A238" s="117"/>
      <c r="B238" s="117"/>
      <c r="C238" s="117"/>
      <c r="D238" s="117"/>
      <c r="E238" s="117"/>
    </row>
    <row r="239">
      <c r="A239" s="117"/>
      <c r="B239" s="117"/>
      <c r="C239" s="117"/>
      <c r="D239" s="117"/>
      <c r="E239" s="117"/>
    </row>
    <row r="240">
      <c r="A240" s="117"/>
      <c r="B240" s="117"/>
      <c r="C240" s="117"/>
      <c r="D240" s="117"/>
      <c r="E240" s="117"/>
    </row>
    <row r="241">
      <c r="A241" s="117"/>
      <c r="B241" s="117"/>
      <c r="C241" s="117"/>
      <c r="D241" s="117"/>
      <c r="E241" s="117"/>
    </row>
    <row r="242">
      <c r="A242" s="117"/>
      <c r="B242" s="117"/>
      <c r="C242" s="117"/>
      <c r="D242" s="117"/>
      <c r="E242" s="117"/>
    </row>
    <row r="243">
      <c r="A243" s="117"/>
      <c r="B243" s="117"/>
      <c r="C243" s="117"/>
      <c r="D243" s="117"/>
      <c r="E243" s="117"/>
    </row>
    <row r="244">
      <c r="A244" s="117"/>
      <c r="B244" s="117"/>
      <c r="C244" s="117"/>
      <c r="D244" s="117"/>
      <c r="E244" s="117"/>
    </row>
    <row r="245">
      <c r="A245" s="117"/>
      <c r="B245" s="117"/>
      <c r="C245" s="117"/>
      <c r="D245" s="117"/>
      <c r="E245" s="117"/>
    </row>
    <row r="246">
      <c r="A246" s="117"/>
      <c r="B246" s="117"/>
      <c r="C246" s="117"/>
      <c r="D246" s="117"/>
      <c r="E246" s="117"/>
    </row>
    <row r="247">
      <c r="A247" s="117"/>
      <c r="B247" s="117"/>
      <c r="C247" s="117"/>
      <c r="D247" s="117"/>
      <c r="E247" s="117"/>
    </row>
    <row r="248">
      <c r="A248" s="117"/>
      <c r="B248" s="117"/>
      <c r="C248" s="117"/>
      <c r="D248" s="117"/>
      <c r="E248" s="117"/>
    </row>
    <row r="249">
      <c r="A249" s="117"/>
      <c r="B249" s="117"/>
      <c r="C249" s="117"/>
      <c r="D249" s="117"/>
      <c r="E249" s="117"/>
    </row>
    <row r="250">
      <c r="A250" s="117"/>
      <c r="B250" s="117"/>
      <c r="C250" s="117"/>
      <c r="D250" s="117"/>
      <c r="E250" s="117"/>
    </row>
    <row r="251">
      <c r="A251" s="117"/>
      <c r="B251" s="117"/>
      <c r="C251" s="117"/>
      <c r="D251" s="117"/>
      <c r="E251" s="117"/>
    </row>
    <row r="252">
      <c r="A252" s="117"/>
      <c r="B252" s="117"/>
      <c r="C252" s="117"/>
      <c r="D252" s="117"/>
      <c r="E252" s="117"/>
    </row>
    <row r="253">
      <c r="A253" s="117"/>
      <c r="B253" s="117"/>
      <c r="C253" s="117"/>
      <c r="D253" s="117"/>
      <c r="E253" s="117"/>
    </row>
    <row r="254">
      <c r="A254" s="117"/>
      <c r="B254" s="117"/>
      <c r="C254" s="117"/>
      <c r="D254" s="117"/>
      <c r="E254" s="117"/>
    </row>
    <row r="255">
      <c r="A255" s="117"/>
      <c r="B255" s="117"/>
      <c r="C255" s="117"/>
      <c r="D255" s="117"/>
      <c r="E255" s="117"/>
    </row>
    <row r="256">
      <c r="A256" s="117"/>
      <c r="B256" s="117"/>
      <c r="C256" s="117"/>
      <c r="D256" s="117"/>
      <c r="E256" s="117"/>
    </row>
    <row r="257">
      <c r="A257" s="117"/>
      <c r="B257" s="117"/>
      <c r="C257" s="117"/>
      <c r="D257" s="117"/>
      <c r="E257" s="117"/>
    </row>
    <row r="258">
      <c r="A258" s="117"/>
      <c r="B258" s="117"/>
      <c r="C258" s="117"/>
      <c r="D258" s="117"/>
      <c r="E258" s="117"/>
    </row>
    <row r="259">
      <c r="A259" s="117"/>
      <c r="B259" s="117"/>
      <c r="C259" s="117"/>
      <c r="D259" s="117"/>
      <c r="E259" s="117"/>
    </row>
    <row r="260">
      <c r="A260" s="117"/>
      <c r="B260" s="117"/>
      <c r="C260" s="117"/>
      <c r="D260" s="117"/>
      <c r="E260" s="117"/>
    </row>
    <row r="261">
      <c r="A261" s="117"/>
      <c r="B261" s="117"/>
      <c r="C261" s="117"/>
      <c r="D261" s="117"/>
      <c r="E261" s="117"/>
    </row>
    <row r="262">
      <c r="A262" s="117"/>
      <c r="B262" s="117"/>
      <c r="C262" s="117"/>
      <c r="D262" s="117"/>
      <c r="E262" s="117"/>
    </row>
    <row r="263">
      <c r="A263" s="117"/>
      <c r="B263" s="117"/>
      <c r="C263" s="117"/>
      <c r="D263" s="117"/>
      <c r="E263" s="117"/>
    </row>
    <row r="264">
      <c r="A264" s="117"/>
      <c r="B264" s="117"/>
      <c r="C264" s="117"/>
      <c r="D264" s="117"/>
      <c r="E264" s="117"/>
    </row>
    <row r="265">
      <c r="A265" s="117"/>
      <c r="B265" s="117"/>
      <c r="C265" s="117"/>
      <c r="D265" s="117"/>
      <c r="E265" s="117"/>
    </row>
    <row r="266">
      <c r="A266" s="117"/>
      <c r="B266" s="117"/>
      <c r="C266" s="117"/>
      <c r="D266" s="117"/>
      <c r="E266" s="117"/>
    </row>
    <row r="267">
      <c r="A267" s="117"/>
      <c r="B267" s="117"/>
      <c r="C267" s="117"/>
      <c r="D267" s="117"/>
      <c r="E267" s="117"/>
    </row>
    <row r="268">
      <c r="A268" s="117"/>
      <c r="B268" s="117"/>
      <c r="C268" s="117"/>
      <c r="D268" s="117"/>
      <c r="E268" s="117"/>
    </row>
    <row r="269">
      <c r="A269" s="117"/>
      <c r="B269" s="117"/>
      <c r="C269" s="117"/>
      <c r="D269" s="117"/>
      <c r="E269" s="117"/>
    </row>
    <row r="270">
      <c r="A270" s="117"/>
      <c r="B270" s="117"/>
      <c r="C270" s="117"/>
      <c r="D270" s="117"/>
      <c r="E270" s="117"/>
    </row>
    <row r="271">
      <c r="A271" s="117"/>
      <c r="B271" s="117"/>
      <c r="C271" s="117"/>
      <c r="D271" s="117"/>
      <c r="E271" s="117"/>
    </row>
    <row r="272">
      <c r="A272" s="117"/>
      <c r="B272" s="117"/>
      <c r="C272" s="117"/>
      <c r="D272" s="117"/>
      <c r="E272" s="117"/>
    </row>
    <row r="273">
      <c r="A273" s="117"/>
      <c r="B273" s="117"/>
      <c r="C273" s="117"/>
      <c r="D273" s="117"/>
      <c r="E273" s="117"/>
    </row>
    <row r="274">
      <c r="A274" s="117"/>
      <c r="B274" s="117"/>
      <c r="C274" s="117"/>
      <c r="D274" s="117"/>
      <c r="E274" s="117"/>
    </row>
    <row r="275">
      <c r="A275" s="117"/>
      <c r="B275" s="117"/>
      <c r="C275" s="117"/>
      <c r="D275" s="117"/>
      <c r="E275" s="117"/>
    </row>
    <row r="276">
      <c r="A276" s="117"/>
      <c r="B276" s="117"/>
      <c r="C276" s="117"/>
      <c r="D276" s="117"/>
      <c r="E276" s="117"/>
    </row>
    <row r="277">
      <c r="A277" s="117"/>
      <c r="B277" s="117"/>
      <c r="C277" s="117"/>
      <c r="D277" s="117"/>
      <c r="E277" s="117"/>
    </row>
    <row r="278">
      <c r="A278" s="117"/>
      <c r="B278" s="117"/>
      <c r="C278" s="117"/>
      <c r="D278" s="117"/>
      <c r="E278" s="117"/>
    </row>
    <row r="279">
      <c r="A279" s="117"/>
      <c r="B279" s="117"/>
      <c r="C279" s="117"/>
      <c r="D279" s="117"/>
      <c r="E279" s="117"/>
    </row>
    <row r="280">
      <c r="A280" s="117"/>
      <c r="B280" s="117"/>
      <c r="C280" s="117"/>
      <c r="D280" s="117"/>
      <c r="E280" s="117"/>
    </row>
    <row r="281">
      <c r="A281" s="117"/>
      <c r="B281" s="117"/>
      <c r="C281" s="117"/>
      <c r="D281" s="117"/>
      <c r="E281" s="117"/>
    </row>
    <row r="282">
      <c r="A282" s="117"/>
      <c r="B282" s="117"/>
      <c r="C282" s="117"/>
      <c r="D282" s="117"/>
      <c r="E282" s="117"/>
    </row>
    <row r="283">
      <c r="A283" s="117"/>
      <c r="B283" s="117"/>
      <c r="C283" s="117"/>
      <c r="D283" s="117"/>
      <c r="E283" s="117"/>
    </row>
    <row r="284">
      <c r="A284" s="117"/>
      <c r="B284" s="117"/>
      <c r="C284" s="117"/>
      <c r="D284" s="117"/>
      <c r="E284" s="117"/>
    </row>
    <row r="285">
      <c r="A285" s="117"/>
      <c r="B285" s="117"/>
      <c r="C285" s="117"/>
      <c r="D285" s="117"/>
      <c r="E285" s="117"/>
    </row>
    <row r="286">
      <c r="A286" s="117"/>
      <c r="B286" s="117"/>
      <c r="C286" s="117"/>
      <c r="D286" s="117"/>
      <c r="E286" s="117"/>
    </row>
    <row r="287">
      <c r="A287" s="117"/>
      <c r="B287" s="117"/>
      <c r="C287" s="117"/>
      <c r="D287" s="117"/>
      <c r="E287" s="117"/>
    </row>
    <row r="288">
      <c r="A288" s="117"/>
      <c r="B288" s="117"/>
      <c r="C288" s="117"/>
      <c r="D288" s="117"/>
      <c r="E288" s="117"/>
    </row>
    <row r="289">
      <c r="A289" s="117"/>
      <c r="B289" s="117"/>
      <c r="C289" s="117"/>
      <c r="D289" s="117"/>
      <c r="E289" s="117"/>
    </row>
    <row r="290">
      <c r="A290" s="117"/>
      <c r="B290" s="117"/>
      <c r="C290" s="117"/>
      <c r="D290" s="117"/>
      <c r="E290" s="117"/>
    </row>
    <row r="291">
      <c r="A291" s="117"/>
      <c r="B291" s="117"/>
      <c r="C291" s="117"/>
      <c r="D291" s="117"/>
      <c r="E291" s="117"/>
    </row>
    <row r="292">
      <c r="A292" s="117"/>
      <c r="B292" s="117"/>
      <c r="C292" s="117"/>
      <c r="D292" s="117"/>
      <c r="E292" s="117"/>
    </row>
    <row r="293">
      <c r="A293" s="117"/>
      <c r="B293" s="117"/>
      <c r="C293" s="117"/>
      <c r="D293" s="117"/>
      <c r="E293" s="117"/>
    </row>
    <row r="294">
      <c r="A294" s="117"/>
      <c r="B294" s="117"/>
      <c r="C294" s="117"/>
      <c r="D294" s="117"/>
      <c r="E294" s="117"/>
    </row>
    <row r="295">
      <c r="A295" s="117"/>
      <c r="B295" s="117"/>
      <c r="C295" s="117"/>
      <c r="D295" s="117"/>
      <c r="E295" s="117"/>
    </row>
    <row r="296">
      <c r="A296" s="117"/>
      <c r="B296" s="117"/>
      <c r="C296" s="117"/>
      <c r="D296" s="117"/>
      <c r="E296" s="117"/>
    </row>
    <row r="297">
      <c r="A297" s="117"/>
      <c r="B297" s="117"/>
      <c r="C297" s="117"/>
      <c r="D297" s="117"/>
      <c r="E297" s="117"/>
    </row>
    <row r="298">
      <c r="A298" s="117"/>
      <c r="B298" s="117"/>
      <c r="C298" s="117"/>
      <c r="D298" s="117"/>
      <c r="E298" s="117"/>
    </row>
    <row r="299">
      <c r="A299" s="117"/>
      <c r="B299" s="117"/>
      <c r="C299" s="117"/>
      <c r="D299" s="117"/>
      <c r="E299" s="117"/>
    </row>
    <row r="300">
      <c r="A300" s="117"/>
      <c r="B300" s="117"/>
      <c r="C300" s="117"/>
      <c r="D300" s="117"/>
      <c r="E300" s="117"/>
    </row>
    <row r="301">
      <c r="A301" s="117"/>
      <c r="B301" s="117"/>
      <c r="C301" s="117"/>
      <c r="D301" s="117"/>
      <c r="E301" s="117"/>
    </row>
    <row r="302">
      <c r="A302" s="117"/>
      <c r="B302" s="117"/>
      <c r="C302" s="117"/>
      <c r="D302" s="117"/>
      <c r="E302" s="117"/>
    </row>
    <row r="303">
      <c r="A303" s="117"/>
      <c r="B303" s="117"/>
      <c r="C303" s="117"/>
      <c r="D303" s="117"/>
      <c r="E303" s="117"/>
    </row>
    <row r="304">
      <c r="A304" s="117"/>
      <c r="B304" s="117"/>
      <c r="C304" s="117"/>
      <c r="D304" s="117"/>
      <c r="E304" s="117"/>
    </row>
    <row r="305">
      <c r="A305" s="117"/>
      <c r="B305" s="117"/>
      <c r="C305" s="117"/>
      <c r="D305" s="117"/>
      <c r="E305" s="117"/>
    </row>
    <row r="306">
      <c r="A306" s="117"/>
      <c r="B306" s="117"/>
      <c r="C306" s="117"/>
      <c r="D306" s="117"/>
      <c r="E306" s="117"/>
    </row>
    <row r="307">
      <c r="A307" s="117"/>
      <c r="B307" s="117"/>
      <c r="C307" s="117"/>
      <c r="D307" s="117"/>
      <c r="E307" s="117"/>
    </row>
    <row r="308">
      <c r="A308" s="117"/>
      <c r="B308" s="117"/>
      <c r="C308" s="117"/>
      <c r="D308" s="117"/>
      <c r="E308" s="117"/>
    </row>
    <row r="309">
      <c r="A309" s="117"/>
      <c r="B309" s="117"/>
      <c r="C309" s="117"/>
      <c r="D309" s="117"/>
      <c r="E309" s="117"/>
    </row>
    <row r="310">
      <c r="A310" s="117"/>
      <c r="B310" s="117"/>
      <c r="C310" s="117"/>
      <c r="D310" s="117"/>
      <c r="E310" s="117"/>
    </row>
    <row r="311">
      <c r="A311" s="117"/>
      <c r="B311" s="117"/>
      <c r="C311" s="117"/>
      <c r="D311" s="117"/>
      <c r="E311" s="117"/>
    </row>
    <row r="312">
      <c r="A312" s="117"/>
      <c r="B312" s="117"/>
      <c r="C312" s="117"/>
      <c r="D312" s="117"/>
      <c r="E312" s="117"/>
    </row>
    <row r="313">
      <c r="A313" s="117"/>
      <c r="B313" s="117"/>
      <c r="C313" s="117"/>
      <c r="D313" s="117"/>
      <c r="E313" s="117"/>
    </row>
    <row r="314">
      <c r="A314" s="117"/>
      <c r="B314" s="117"/>
      <c r="C314" s="117"/>
      <c r="D314" s="117"/>
      <c r="E314" s="117"/>
    </row>
    <row r="315">
      <c r="A315" s="117"/>
      <c r="B315" s="117"/>
      <c r="C315" s="117"/>
      <c r="D315" s="117"/>
      <c r="E315" s="117"/>
    </row>
    <row r="316">
      <c r="A316" s="117"/>
      <c r="B316" s="117"/>
      <c r="C316" s="117"/>
      <c r="D316" s="117"/>
      <c r="E316" s="117"/>
    </row>
    <row r="317">
      <c r="A317" s="117"/>
      <c r="B317" s="117"/>
      <c r="C317" s="117"/>
      <c r="D317" s="117"/>
      <c r="E317" s="117"/>
    </row>
    <row r="318">
      <c r="A318" s="117"/>
      <c r="B318" s="117"/>
      <c r="C318" s="117"/>
      <c r="D318" s="117"/>
      <c r="E318" s="117"/>
    </row>
    <row r="319">
      <c r="A319" s="117"/>
      <c r="B319" s="117"/>
      <c r="C319" s="117"/>
      <c r="D319" s="117"/>
      <c r="E319" s="117"/>
    </row>
    <row r="320">
      <c r="A320" s="117"/>
      <c r="B320" s="117"/>
      <c r="C320" s="117"/>
      <c r="D320" s="117"/>
      <c r="E320" s="117"/>
    </row>
    <row r="321">
      <c r="A321" s="117"/>
      <c r="B321" s="117"/>
      <c r="C321" s="117"/>
      <c r="D321" s="117"/>
      <c r="E321" s="117"/>
    </row>
    <row r="322">
      <c r="A322" s="117"/>
      <c r="B322" s="117"/>
      <c r="C322" s="117"/>
      <c r="D322" s="117"/>
      <c r="E322" s="117"/>
    </row>
    <row r="323">
      <c r="A323" s="117"/>
      <c r="B323" s="117"/>
      <c r="C323" s="117"/>
      <c r="D323" s="117"/>
      <c r="E323" s="117"/>
    </row>
    <row r="324">
      <c r="A324" s="117"/>
      <c r="B324" s="117"/>
      <c r="C324" s="117"/>
      <c r="D324" s="117"/>
      <c r="E324" s="117"/>
    </row>
    <row r="325">
      <c r="A325" s="117"/>
      <c r="B325" s="117"/>
      <c r="C325" s="117"/>
      <c r="D325" s="117"/>
      <c r="E325" s="117"/>
    </row>
    <row r="326">
      <c r="A326" s="117"/>
      <c r="B326" s="117"/>
      <c r="C326" s="117"/>
      <c r="D326" s="117"/>
      <c r="E326" s="117"/>
    </row>
    <row r="327">
      <c r="A327" s="117"/>
      <c r="B327" s="117"/>
      <c r="C327" s="117"/>
      <c r="D327" s="117"/>
      <c r="E327" s="117"/>
    </row>
    <row r="328">
      <c r="A328" s="117"/>
      <c r="B328" s="117"/>
      <c r="C328" s="117"/>
      <c r="D328" s="117"/>
      <c r="E328" s="117"/>
    </row>
    <row r="329">
      <c r="A329" s="117"/>
      <c r="B329" s="117"/>
      <c r="C329" s="117"/>
      <c r="D329" s="117"/>
      <c r="E329" s="117"/>
    </row>
    <row r="330">
      <c r="A330" s="117"/>
      <c r="B330" s="117"/>
      <c r="C330" s="117"/>
      <c r="D330" s="117"/>
      <c r="E330" s="117"/>
    </row>
    <row r="331">
      <c r="A331" s="117"/>
      <c r="B331" s="117"/>
      <c r="C331" s="117"/>
      <c r="D331" s="117"/>
      <c r="E331" s="117"/>
    </row>
    <row r="332">
      <c r="A332" s="117"/>
      <c r="B332" s="117"/>
      <c r="C332" s="117"/>
      <c r="D332" s="117"/>
      <c r="E332" s="117"/>
    </row>
    <row r="333">
      <c r="A333" s="117"/>
      <c r="B333" s="117"/>
      <c r="C333" s="117"/>
      <c r="D333" s="117"/>
      <c r="E333" s="117"/>
    </row>
    <row r="334">
      <c r="A334" s="117"/>
      <c r="B334" s="117"/>
      <c r="C334" s="117"/>
      <c r="D334" s="117"/>
      <c r="E334" s="117"/>
    </row>
    <row r="335">
      <c r="A335" s="117"/>
      <c r="B335" s="117"/>
      <c r="C335" s="117"/>
      <c r="D335" s="117"/>
      <c r="E335" s="117"/>
    </row>
    <row r="336">
      <c r="A336" s="117"/>
      <c r="B336" s="117"/>
      <c r="C336" s="117"/>
      <c r="D336" s="117"/>
      <c r="E336" s="117"/>
    </row>
    <row r="337">
      <c r="A337" s="117"/>
      <c r="B337" s="117"/>
      <c r="C337" s="117"/>
      <c r="D337" s="117"/>
      <c r="E337" s="117"/>
    </row>
    <row r="338">
      <c r="A338" s="117"/>
      <c r="B338" s="117"/>
      <c r="C338" s="117"/>
      <c r="D338" s="117"/>
      <c r="E338" s="117"/>
    </row>
    <row r="339">
      <c r="A339" s="117"/>
      <c r="B339" s="117"/>
      <c r="C339" s="117"/>
      <c r="D339" s="117"/>
      <c r="E339" s="117"/>
    </row>
    <row r="340">
      <c r="A340" s="117"/>
      <c r="B340" s="117"/>
      <c r="C340" s="117"/>
      <c r="D340" s="117"/>
      <c r="E340" s="117"/>
    </row>
    <row r="341">
      <c r="A341" s="117"/>
      <c r="B341" s="117"/>
      <c r="C341" s="117"/>
      <c r="D341" s="117"/>
      <c r="E341" s="117"/>
    </row>
    <row r="342">
      <c r="A342" s="117"/>
      <c r="B342" s="117"/>
      <c r="C342" s="117"/>
      <c r="D342" s="117"/>
      <c r="E342" s="117"/>
    </row>
    <row r="343">
      <c r="A343" s="117"/>
      <c r="B343" s="117"/>
      <c r="C343" s="117"/>
      <c r="D343" s="117"/>
      <c r="E343" s="117"/>
    </row>
    <row r="344">
      <c r="A344" s="117"/>
      <c r="B344" s="117"/>
      <c r="C344" s="117"/>
      <c r="D344" s="117"/>
      <c r="E344" s="117"/>
    </row>
    <row r="345">
      <c r="A345" s="117"/>
      <c r="B345" s="117"/>
      <c r="C345" s="117"/>
      <c r="D345" s="117"/>
      <c r="E345" s="117"/>
    </row>
    <row r="346">
      <c r="A346" s="117"/>
      <c r="B346" s="117"/>
      <c r="C346" s="117"/>
      <c r="D346" s="117"/>
      <c r="E346" s="117"/>
    </row>
    <row r="347">
      <c r="A347" s="117"/>
      <c r="B347" s="117"/>
      <c r="C347" s="117"/>
      <c r="D347" s="117"/>
      <c r="E347" s="117"/>
    </row>
    <row r="348">
      <c r="A348" s="117"/>
      <c r="B348" s="117"/>
      <c r="C348" s="117"/>
      <c r="D348" s="117"/>
      <c r="E348" s="117"/>
    </row>
    <row r="349">
      <c r="A349" s="117"/>
      <c r="B349" s="117"/>
      <c r="C349" s="117"/>
      <c r="D349" s="117"/>
      <c r="E349" s="117"/>
    </row>
    <row r="350">
      <c r="A350" s="117"/>
      <c r="B350" s="117"/>
      <c r="C350" s="117"/>
      <c r="D350" s="117"/>
      <c r="E350" s="117"/>
    </row>
    <row r="351">
      <c r="A351" s="117"/>
      <c r="B351" s="117"/>
      <c r="C351" s="117"/>
      <c r="D351" s="117"/>
      <c r="E351" s="117"/>
    </row>
    <row r="352">
      <c r="A352" s="117"/>
      <c r="B352" s="117"/>
      <c r="C352" s="117"/>
      <c r="D352" s="117"/>
      <c r="E352" s="117"/>
    </row>
    <row r="353">
      <c r="A353" s="117"/>
      <c r="B353" s="117"/>
      <c r="C353" s="117"/>
      <c r="D353" s="117"/>
      <c r="E353" s="117"/>
    </row>
    <row r="354">
      <c r="A354" s="117"/>
      <c r="B354" s="117"/>
      <c r="C354" s="117"/>
      <c r="D354" s="117"/>
      <c r="E354" s="117"/>
    </row>
    <row r="355">
      <c r="A355" s="117"/>
      <c r="B355" s="117"/>
      <c r="C355" s="117"/>
      <c r="D355" s="117"/>
      <c r="E355" s="117"/>
    </row>
    <row r="356">
      <c r="A356" s="117"/>
      <c r="B356" s="117"/>
      <c r="C356" s="117"/>
      <c r="D356" s="117"/>
      <c r="E356" s="117"/>
    </row>
    <row r="357">
      <c r="A357" s="117"/>
      <c r="B357" s="117"/>
      <c r="C357" s="117"/>
      <c r="D357" s="117"/>
      <c r="E357" s="117"/>
    </row>
    <row r="358">
      <c r="A358" s="117"/>
      <c r="B358" s="117"/>
      <c r="C358" s="117"/>
      <c r="D358" s="117"/>
      <c r="E358" s="117"/>
    </row>
    <row r="359">
      <c r="A359" s="117"/>
      <c r="B359" s="117"/>
      <c r="C359" s="117"/>
      <c r="D359" s="117"/>
      <c r="E359" s="117"/>
    </row>
    <row r="360">
      <c r="A360" s="117"/>
      <c r="B360" s="117"/>
      <c r="C360" s="117"/>
      <c r="D360" s="117"/>
      <c r="E360" s="117"/>
    </row>
    <row r="361">
      <c r="A361" s="117"/>
      <c r="B361" s="117"/>
      <c r="C361" s="117"/>
      <c r="D361" s="117"/>
      <c r="E361" s="117"/>
    </row>
    <row r="362">
      <c r="A362" s="117"/>
      <c r="B362" s="117"/>
      <c r="C362" s="117"/>
      <c r="D362" s="117"/>
      <c r="E362" s="117"/>
    </row>
    <row r="363">
      <c r="A363" s="117"/>
      <c r="B363" s="117"/>
      <c r="C363" s="117"/>
      <c r="D363" s="117"/>
      <c r="E363" s="117"/>
    </row>
    <row r="364">
      <c r="A364" s="117"/>
      <c r="B364" s="117"/>
      <c r="C364" s="117"/>
      <c r="D364" s="117"/>
      <c r="E364" s="117"/>
    </row>
    <row r="365">
      <c r="A365" s="117"/>
      <c r="B365" s="117"/>
      <c r="C365" s="117"/>
      <c r="D365" s="117"/>
      <c r="E365" s="117"/>
    </row>
    <row r="366">
      <c r="A366" s="117"/>
      <c r="B366" s="117"/>
      <c r="C366" s="117"/>
      <c r="D366" s="117"/>
      <c r="E366" s="117"/>
    </row>
    <row r="367">
      <c r="A367" s="117"/>
      <c r="B367" s="117"/>
      <c r="C367" s="117"/>
      <c r="D367" s="117"/>
      <c r="E367" s="117"/>
    </row>
    <row r="368">
      <c r="A368" s="117"/>
      <c r="B368" s="117"/>
      <c r="C368" s="117"/>
      <c r="D368" s="117"/>
      <c r="E368" s="117"/>
    </row>
    <row r="369">
      <c r="A369" s="117"/>
      <c r="B369" s="117"/>
      <c r="C369" s="117"/>
      <c r="D369" s="117"/>
      <c r="E369" s="117"/>
    </row>
    <row r="370">
      <c r="A370" s="117"/>
      <c r="B370" s="117"/>
      <c r="C370" s="117"/>
      <c r="D370" s="117"/>
      <c r="E370" s="117"/>
    </row>
    <row r="371">
      <c r="A371" s="117"/>
      <c r="B371" s="117"/>
      <c r="C371" s="117"/>
      <c r="D371" s="117"/>
      <c r="E371" s="117"/>
    </row>
    <row r="372">
      <c r="A372" s="117"/>
      <c r="B372" s="117"/>
      <c r="C372" s="117"/>
      <c r="D372" s="117"/>
      <c r="E372" s="117"/>
    </row>
    <row r="373">
      <c r="A373" s="117"/>
      <c r="B373" s="117"/>
      <c r="C373" s="117"/>
      <c r="D373" s="117"/>
      <c r="E373" s="117"/>
    </row>
    <row r="374">
      <c r="A374" s="117"/>
      <c r="B374" s="117"/>
      <c r="C374" s="117"/>
      <c r="D374" s="117"/>
      <c r="E374" s="117"/>
    </row>
    <row r="375">
      <c r="A375" s="117"/>
      <c r="B375" s="117"/>
      <c r="C375" s="117"/>
      <c r="D375" s="117"/>
      <c r="E375" s="117"/>
    </row>
    <row r="376">
      <c r="A376" s="117"/>
      <c r="B376" s="117"/>
      <c r="C376" s="117"/>
      <c r="D376" s="117"/>
      <c r="E376" s="117"/>
    </row>
    <row r="377">
      <c r="A377" s="117"/>
      <c r="B377" s="117"/>
      <c r="C377" s="117"/>
      <c r="D377" s="117"/>
      <c r="E377" s="117"/>
    </row>
    <row r="378">
      <c r="A378" s="117"/>
      <c r="B378" s="117"/>
      <c r="C378" s="117"/>
      <c r="D378" s="117"/>
      <c r="E378" s="117"/>
    </row>
    <row r="379">
      <c r="A379" s="117"/>
      <c r="B379" s="117"/>
      <c r="C379" s="117"/>
      <c r="D379" s="117"/>
      <c r="E379" s="117"/>
    </row>
    <row r="380">
      <c r="A380" s="117"/>
      <c r="B380" s="117"/>
      <c r="C380" s="117"/>
      <c r="D380" s="117"/>
      <c r="E380" s="117"/>
    </row>
    <row r="381">
      <c r="A381" s="117"/>
      <c r="B381" s="117"/>
      <c r="C381" s="117"/>
      <c r="D381" s="117"/>
      <c r="E381" s="117"/>
    </row>
    <row r="382">
      <c r="A382" s="117"/>
      <c r="B382" s="117"/>
      <c r="C382" s="117"/>
      <c r="D382" s="117"/>
      <c r="E382" s="117"/>
    </row>
    <row r="383">
      <c r="A383" s="117"/>
      <c r="B383" s="117"/>
      <c r="C383" s="117"/>
      <c r="D383" s="117"/>
      <c r="E383" s="117"/>
    </row>
    <row r="384">
      <c r="A384" s="117"/>
      <c r="B384" s="117"/>
      <c r="C384" s="117"/>
      <c r="D384" s="117"/>
      <c r="E384" s="117"/>
    </row>
    <row r="385">
      <c r="A385" s="117"/>
      <c r="B385" s="117"/>
      <c r="C385" s="117"/>
      <c r="D385" s="117"/>
      <c r="E385" s="117"/>
    </row>
    <row r="386">
      <c r="A386" s="117"/>
      <c r="B386" s="117"/>
      <c r="C386" s="117"/>
      <c r="D386" s="117"/>
      <c r="E386" s="117"/>
    </row>
    <row r="387">
      <c r="A387" s="117"/>
      <c r="B387" s="117"/>
      <c r="C387" s="117"/>
      <c r="D387" s="117"/>
      <c r="E387" s="117"/>
    </row>
    <row r="388">
      <c r="A388" s="117"/>
      <c r="B388" s="117"/>
      <c r="C388" s="117"/>
      <c r="D388" s="117"/>
      <c r="E388" s="117"/>
    </row>
    <row r="389">
      <c r="A389" s="117"/>
      <c r="B389" s="117"/>
      <c r="C389" s="117"/>
      <c r="D389" s="117"/>
      <c r="E389" s="117"/>
    </row>
    <row r="390">
      <c r="A390" s="117"/>
      <c r="B390" s="117"/>
      <c r="C390" s="117"/>
      <c r="D390" s="117"/>
      <c r="E390" s="117"/>
    </row>
    <row r="391">
      <c r="A391" s="117"/>
      <c r="B391" s="117"/>
      <c r="C391" s="117"/>
      <c r="D391" s="117"/>
      <c r="E391" s="117"/>
    </row>
    <row r="392">
      <c r="A392" s="117"/>
      <c r="B392" s="117"/>
      <c r="C392" s="117"/>
      <c r="D392" s="117"/>
      <c r="E392" s="117"/>
    </row>
    <row r="393">
      <c r="A393" s="117"/>
      <c r="B393" s="117"/>
      <c r="C393" s="117"/>
      <c r="D393" s="117"/>
      <c r="E393" s="117"/>
    </row>
    <row r="394">
      <c r="A394" s="117"/>
      <c r="B394" s="117"/>
      <c r="C394" s="117"/>
      <c r="D394" s="117"/>
      <c r="E394" s="117"/>
    </row>
    <row r="395">
      <c r="A395" s="117"/>
      <c r="B395" s="117"/>
      <c r="C395" s="117"/>
      <c r="D395" s="117"/>
      <c r="E395" s="117"/>
    </row>
    <row r="396">
      <c r="A396" s="117"/>
      <c r="B396" s="117"/>
      <c r="C396" s="117"/>
      <c r="D396" s="117"/>
      <c r="E396" s="117"/>
    </row>
    <row r="397">
      <c r="A397" s="117"/>
      <c r="B397" s="117"/>
      <c r="C397" s="117"/>
      <c r="D397" s="117"/>
      <c r="E397" s="117"/>
    </row>
    <row r="398">
      <c r="A398" s="117"/>
      <c r="B398" s="117"/>
      <c r="C398" s="117"/>
      <c r="D398" s="117"/>
      <c r="E398" s="117"/>
    </row>
    <row r="399">
      <c r="A399" s="117"/>
      <c r="B399" s="117"/>
      <c r="C399" s="117"/>
      <c r="D399" s="117"/>
      <c r="E399" s="117"/>
    </row>
    <row r="400">
      <c r="A400" s="117"/>
      <c r="B400" s="117"/>
      <c r="C400" s="117"/>
      <c r="D400" s="117"/>
      <c r="E400" s="117"/>
    </row>
    <row r="401">
      <c r="A401" s="117"/>
      <c r="B401" s="117"/>
      <c r="C401" s="117"/>
      <c r="D401" s="117"/>
      <c r="E401" s="117"/>
    </row>
    <row r="402">
      <c r="A402" s="117"/>
      <c r="B402" s="117"/>
      <c r="C402" s="117"/>
      <c r="D402" s="117"/>
      <c r="E402" s="117"/>
    </row>
    <row r="403">
      <c r="A403" s="117"/>
      <c r="B403" s="117"/>
      <c r="C403" s="117"/>
      <c r="D403" s="117"/>
      <c r="E403" s="117"/>
    </row>
    <row r="404">
      <c r="A404" s="117"/>
      <c r="B404" s="117"/>
      <c r="C404" s="117"/>
      <c r="D404" s="117"/>
      <c r="E404" s="117"/>
    </row>
    <row r="405">
      <c r="A405" s="117"/>
      <c r="B405" s="117"/>
      <c r="C405" s="117"/>
      <c r="D405" s="117"/>
      <c r="E405" s="117"/>
    </row>
    <row r="406">
      <c r="A406" s="117"/>
      <c r="B406" s="117"/>
      <c r="C406" s="117"/>
      <c r="D406" s="117"/>
      <c r="E406" s="117"/>
    </row>
    <row r="407">
      <c r="A407" s="117"/>
      <c r="B407" s="117"/>
      <c r="C407" s="117"/>
      <c r="D407" s="117"/>
      <c r="E407" s="117"/>
    </row>
    <row r="408">
      <c r="A408" s="117"/>
      <c r="B408" s="117"/>
      <c r="C408" s="117"/>
      <c r="D408" s="117"/>
      <c r="E408" s="117"/>
    </row>
    <row r="409">
      <c r="A409" s="117"/>
      <c r="B409" s="117"/>
      <c r="C409" s="117"/>
      <c r="D409" s="117"/>
      <c r="E409" s="117"/>
    </row>
    <row r="410">
      <c r="A410" s="117"/>
      <c r="B410" s="117"/>
      <c r="C410" s="117"/>
      <c r="D410" s="117"/>
      <c r="E410" s="117"/>
    </row>
    <row r="411">
      <c r="A411" s="117"/>
      <c r="B411" s="117"/>
      <c r="C411" s="117"/>
      <c r="D411" s="117"/>
      <c r="E411" s="117"/>
    </row>
    <row r="412">
      <c r="A412" s="117"/>
      <c r="B412" s="117"/>
      <c r="C412" s="117"/>
      <c r="D412" s="117"/>
      <c r="E412" s="117"/>
    </row>
    <row r="413">
      <c r="A413" s="117"/>
      <c r="B413" s="117"/>
      <c r="C413" s="117"/>
      <c r="D413" s="117"/>
      <c r="E413" s="117"/>
    </row>
    <row r="414">
      <c r="A414" s="117"/>
      <c r="B414" s="117"/>
      <c r="C414" s="117"/>
      <c r="D414" s="117"/>
      <c r="E414" s="117"/>
    </row>
    <row r="415">
      <c r="A415" s="117"/>
      <c r="B415" s="117"/>
      <c r="C415" s="117"/>
      <c r="D415" s="117"/>
      <c r="E415" s="117"/>
    </row>
    <row r="416">
      <c r="A416" s="117"/>
      <c r="B416" s="117"/>
      <c r="C416" s="117"/>
      <c r="D416" s="117"/>
      <c r="E416" s="117"/>
    </row>
    <row r="417">
      <c r="A417" s="117"/>
      <c r="B417" s="117"/>
      <c r="C417" s="117"/>
      <c r="D417" s="117"/>
      <c r="E417" s="117"/>
    </row>
    <row r="418">
      <c r="A418" s="117"/>
      <c r="B418" s="117"/>
      <c r="C418" s="117"/>
      <c r="D418" s="117"/>
      <c r="E418" s="117"/>
    </row>
    <row r="419">
      <c r="A419" s="117"/>
      <c r="B419" s="117"/>
      <c r="C419" s="117"/>
      <c r="D419" s="117"/>
      <c r="E419" s="117"/>
    </row>
    <row r="420">
      <c r="A420" s="117"/>
      <c r="B420" s="117"/>
      <c r="C420" s="117"/>
      <c r="D420" s="117"/>
      <c r="E420" s="117"/>
    </row>
    <row r="421">
      <c r="A421" s="117"/>
      <c r="B421" s="117"/>
      <c r="C421" s="117"/>
      <c r="D421" s="117"/>
      <c r="E421" s="117"/>
    </row>
    <row r="422">
      <c r="A422" s="117"/>
      <c r="B422" s="117"/>
      <c r="C422" s="117"/>
      <c r="D422" s="117"/>
      <c r="E422" s="117"/>
    </row>
    <row r="423">
      <c r="A423" s="117"/>
      <c r="B423" s="117"/>
      <c r="C423" s="117"/>
      <c r="D423" s="117"/>
      <c r="E423" s="117"/>
    </row>
    <row r="424">
      <c r="A424" s="117"/>
      <c r="B424" s="117"/>
      <c r="C424" s="117"/>
      <c r="D424" s="117"/>
      <c r="E424" s="117"/>
    </row>
    <row r="425">
      <c r="A425" s="117"/>
      <c r="B425" s="117"/>
      <c r="C425" s="117"/>
      <c r="D425" s="117"/>
      <c r="E425" s="117"/>
    </row>
    <row r="426">
      <c r="A426" s="117"/>
      <c r="B426" s="117"/>
      <c r="C426" s="117"/>
      <c r="D426" s="117"/>
      <c r="E426" s="117"/>
    </row>
    <row r="427">
      <c r="A427" s="117"/>
      <c r="B427" s="117"/>
      <c r="C427" s="117"/>
      <c r="D427" s="117"/>
      <c r="E427" s="117"/>
    </row>
    <row r="428">
      <c r="A428" s="117"/>
      <c r="B428" s="117"/>
      <c r="C428" s="117"/>
      <c r="D428" s="117"/>
      <c r="E428" s="117"/>
    </row>
    <row r="429">
      <c r="A429" s="117"/>
      <c r="B429" s="117"/>
      <c r="C429" s="117"/>
      <c r="D429" s="117"/>
      <c r="E429" s="117"/>
    </row>
    <row r="430">
      <c r="A430" s="117"/>
      <c r="B430" s="117"/>
      <c r="C430" s="117"/>
      <c r="D430" s="117"/>
      <c r="E430" s="117"/>
    </row>
    <row r="431">
      <c r="A431" s="117"/>
      <c r="B431" s="117"/>
      <c r="C431" s="117"/>
      <c r="D431" s="117"/>
      <c r="E431" s="117"/>
    </row>
    <row r="432">
      <c r="A432" s="117"/>
      <c r="B432" s="117"/>
      <c r="C432" s="117"/>
      <c r="D432" s="117"/>
      <c r="E432" s="117"/>
    </row>
    <row r="433">
      <c r="A433" s="117"/>
      <c r="B433" s="117"/>
      <c r="C433" s="117"/>
      <c r="D433" s="117"/>
      <c r="E433" s="117"/>
    </row>
    <row r="434">
      <c r="A434" s="117"/>
      <c r="B434" s="117"/>
      <c r="C434" s="117"/>
      <c r="D434" s="117"/>
      <c r="E434" s="117"/>
    </row>
    <row r="435">
      <c r="A435" s="117"/>
      <c r="B435" s="117"/>
      <c r="C435" s="117"/>
      <c r="D435" s="117"/>
      <c r="E435" s="117"/>
    </row>
    <row r="436">
      <c r="A436" s="117"/>
      <c r="B436" s="117"/>
      <c r="C436" s="117"/>
      <c r="D436" s="117"/>
      <c r="E436" s="117"/>
    </row>
    <row r="437">
      <c r="A437" s="117"/>
      <c r="B437" s="117"/>
      <c r="C437" s="117"/>
      <c r="D437" s="117"/>
      <c r="E437" s="117"/>
    </row>
    <row r="438">
      <c r="A438" s="117"/>
      <c r="B438" s="117"/>
      <c r="C438" s="117"/>
      <c r="D438" s="117"/>
      <c r="E438" s="117"/>
    </row>
    <row r="439">
      <c r="A439" s="117"/>
      <c r="B439" s="117"/>
      <c r="C439" s="117"/>
      <c r="D439" s="117"/>
      <c r="E439" s="117"/>
    </row>
    <row r="440">
      <c r="A440" s="117"/>
      <c r="B440" s="117"/>
      <c r="C440" s="117"/>
      <c r="D440" s="117"/>
      <c r="E440" s="117"/>
    </row>
    <row r="441">
      <c r="A441" s="117"/>
      <c r="B441" s="117"/>
      <c r="C441" s="117"/>
      <c r="D441" s="117"/>
      <c r="E441" s="117"/>
    </row>
    <row r="442">
      <c r="A442" s="117"/>
      <c r="B442" s="117"/>
      <c r="C442" s="117"/>
      <c r="D442" s="117"/>
      <c r="E442" s="117"/>
    </row>
    <row r="443">
      <c r="A443" s="117"/>
      <c r="B443" s="117"/>
      <c r="C443" s="117"/>
      <c r="D443" s="117"/>
      <c r="E443" s="117"/>
    </row>
    <row r="444">
      <c r="A444" s="117"/>
      <c r="B444" s="117"/>
      <c r="C444" s="117"/>
      <c r="D444" s="117"/>
      <c r="E444" s="117"/>
    </row>
    <row r="445">
      <c r="A445" s="117"/>
      <c r="B445" s="117"/>
      <c r="C445" s="117"/>
      <c r="D445" s="117"/>
      <c r="E445" s="117"/>
    </row>
    <row r="446">
      <c r="A446" s="117"/>
      <c r="B446" s="117"/>
      <c r="C446" s="117"/>
      <c r="D446" s="117"/>
      <c r="E446" s="117"/>
    </row>
    <row r="447">
      <c r="A447" s="117"/>
      <c r="B447" s="117"/>
      <c r="C447" s="117"/>
      <c r="D447" s="117"/>
      <c r="E447" s="117"/>
    </row>
    <row r="448">
      <c r="A448" s="117"/>
      <c r="B448" s="117"/>
      <c r="C448" s="117"/>
      <c r="D448" s="117"/>
      <c r="E448" s="117"/>
    </row>
    <row r="449">
      <c r="A449" s="117"/>
      <c r="B449" s="117"/>
      <c r="C449" s="117"/>
      <c r="D449" s="117"/>
      <c r="E449" s="117"/>
    </row>
    <row r="450">
      <c r="A450" s="117"/>
      <c r="B450" s="117"/>
      <c r="C450" s="117"/>
      <c r="D450" s="117"/>
      <c r="E450" s="117"/>
    </row>
    <row r="451">
      <c r="A451" s="117"/>
      <c r="B451" s="117"/>
      <c r="C451" s="117"/>
      <c r="D451" s="117"/>
      <c r="E451" s="117"/>
    </row>
    <row r="452">
      <c r="A452" s="117"/>
      <c r="B452" s="117"/>
      <c r="C452" s="117"/>
      <c r="D452" s="117"/>
      <c r="E452" s="117"/>
    </row>
    <row r="453">
      <c r="A453" s="117"/>
      <c r="B453" s="117"/>
      <c r="C453" s="117"/>
      <c r="D453" s="117"/>
      <c r="E453" s="117"/>
    </row>
    <row r="454">
      <c r="A454" s="117"/>
      <c r="B454" s="117"/>
      <c r="C454" s="117"/>
      <c r="D454" s="117"/>
      <c r="E454" s="117"/>
    </row>
    <row r="455">
      <c r="A455" s="117"/>
      <c r="B455" s="117"/>
      <c r="C455" s="117"/>
      <c r="D455" s="117"/>
      <c r="E455" s="117"/>
    </row>
    <row r="456">
      <c r="A456" s="117"/>
      <c r="B456" s="117"/>
      <c r="C456" s="117"/>
      <c r="D456" s="117"/>
      <c r="E456" s="117"/>
    </row>
    <row r="457">
      <c r="A457" s="117"/>
      <c r="B457" s="117"/>
      <c r="C457" s="117"/>
      <c r="D457" s="117"/>
      <c r="E457" s="117"/>
    </row>
    <row r="458">
      <c r="A458" s="117"/>
      <c r="B458" s="117"/>
      <c r="C458" s="117"/>
      <c r="D458" s="117"/>
      <c r="E458" s="117"/>
    </row>
    <row r="459">
      <c r="A459" s="117"/>
      <c r="B459" s="117"/>
      <c r="C459" s="117"/>
      <c r="D459" s="117"/>
      <c r="E459" s="117"/>
    </row>
    <row r="460">
      <c r="A460" s="117"/>
      <c r="B460" s="117"/>
      <c r="C460" s="117"/>
      <c r="D460" s="117"/>
      <c r="E460" s="117"/>
    </row>
    <row r="461">
      <c r="A461" s="117"/>
      <c r="B461" s="117"/>
      <c r="C461" s="117"/>
      <c r="D461" s="117"/>
      <c r="E461" s="117"/>
    </row>
    <row r="462">
      <c r="A462" s="117"/>
      <c r="B462" s="117"/>
      <c r="C462" s="117"/>
      <c r="D462" s="117"/>
      <c r="E462" s="117"/>
    </row>
    <row r="463">
      <c r="A463" s="117"/>
      <c r="B463" s="117"/>
      <c r="C463" s="117"/>
      <c r="D463" s="117"/>
      <c r="E463" s="117"/>
    </row>
    <row r="464">
      <c r="A464" s="117"/>
      <c r="B464" s="117"/>
      <c r="C464" s="117"/>
      <c r="D464" s="117"/>
      <c r="E464" s="117"/>
    </row>
    <row r="465">
      <c r="A465" s="117"/>
      <c r="B465" s="117"/>
      <c r="C465" s="117"/>
      <c r="D465" s="117"/>
      <c r="E465" s="117"/>
    </row>
    <row r="466">
      <c r="A466" s="117"/>
      <c r="B466" s="117"/>
      <c r="C466" s="117"/>
      <c r="D466" s="117"/>
      <c r="E466" s="117"/>
    </row>
    <row r="467">
      <c r="A467" s="117"/>
      <c r="B467" s="117"/>
      <c r="C467" s="117"/>
      <c r="D467" s="117"/>
      <c r="E467" s="117"/>
    </row>
    <row r="468">
      <c r="A468" s="117"/>
      <c r="B468" s="117"/>
      <c r="C468" s="117"/>
      <c r="D468" s="117"/>
      <c r="E468" s="117"/>
    </row>
    <row r="469">
      <c r="A469" s="117"/>
      <c r="B469" s="117"/>
      <c r="C469" s="117"/>
      <c r="D469" s="117"/>
      <c r="E469" s="117"/>
    </row>
    <row r="470">
      <c r="A470" s="117"/>
      <c r="B470" s="117"/>
      <c r="C470" s="117"/>
      <c r="D470" s="117"/>
      <c r="E470" s="117"/>
    </row>
    <row r="471">
      <c r="A471" s="117"/>
      <c r="B471" s="117"/>
      <c r="C471" s="117"/>
      <c r="D471" s="117"/>
      <c r="E471" s="117"/>
    </row>
    <row r="472">
      <c r="A472" s="117"/>
      <c r="B472" s="117"/>
      <c r="C472" s="117"/>
      <c r="D472" s="117"/>
      <c r="E472" s="117"/>
    </row>
    <row r="473">
      <c r="A473" s="117"/>
      <c r="B473" s="117"/>
      <c r="C473" s="117"/>
      <c r="D473" s="117"/>
      <c r="E473" s="117"/>
    </row>
    <row r="474">
      <c r="A474" s="117"/>
      <c r="B474" s="117"/>
      <c r="C474" s="117"/>
      <c r="D474" s="117"/>
      <c r="E474" s="117"/>
    </row>
    <row r="475">
      <c r="A475" s="117"/>
      <c r="B475" s="117"/>
      <c r="C475" s="117"/>
      <c r="D475" s="117"/>
      <c r="E475" s="117"/>
    </row>
    <row r="476">
      <c r="A476" s="117"/>
      <c r="B476" s="117"/>
      <c r="C476" s="117"/>
      <c r="D476" s="117"/>
      <c r="E476" s="117"/>
    </row>
    <row r="477">
      <c r="A477" s="117"/>
      <c r="B477" s="117"/>
      <c r="C477" s="117"/>
      <c r="D477" s="117"/>
      <c r="E477" s="117"/>
    </row>
    <row r="478">
      <c r="A478" s="117"/>
      <c r="B478" s="117"/>
      <c r="C478" s="117"/>
      <c r="D478" s="117"/>
      <c r="E478" s="117"/>
    </row>
    <row r="479">
      <c r="A479" s="117"/>
      <c r="B479" s="117"/>
      <c r="C479" s="117"/>
      <c r="D479" s="117"/>
      <c r="E479" s="117"/>
    </row>
    <row r="480">
      <c r="A480" s="117"/>
      <c r="B480" s="117"/>
      <c r="C480" s="117"/>
      <c r="D480" s="117"/>
      <c r="E480" s="117"/>
    </row>
    <row r="481">
      <c r="A481" s="117"/>
      <c r="B481" s="117"/>
      <c r="C481" s="117"/>
      <c r="D481" s="117"/>
      <c r="E481" s="117"/>
    </row>
    <row r="482">
      <c r="A482" s="117"/>
      <c r="B482" s="117"/>
      <c r="C482" s="117"/>
      <c r="D482" s="117"/>
      <c r="E482" s="117"/>
    </row>
    <row r="483">
      <c r="A483" s="117"/>
      <c r="B483" s="117"/>
      <c r="C483" s="117"/>
      <c r="D483" s="117"/>
      <c r="E483" s="117"/>
    </row>
    <row r="484">
      <c r="A484" s="117"/>
      <c r="B484" s="117"/>
      <c r="C484" s="117"/>
      <c r="D484" s="117"/>
      <c r="E484" s="117"/>
    </row>
    <row r="485">
      <c r="A485" s="117"/>
      <c r="B485" s="117"/>
      <c r="C485" s="117"/>
      <c r="D485" s="117"/>
      <c r="E485" s="117"/>
    </row>
    <row r="486">
      <c r="A486" s="117"/>
      <c r="B486" s="117"/>
      <c r="C486" s="117"/>
      <c r="D486" s="117"/>
      <c r="E486" s="117"/>
    </row>
    <row r="487">
      <c r="A487" s="117"/>
      <c r="B487" s="117"/>
      <c r="C487" s="117"/>
      <c r="D487" s="117"/>
      <c r="E487" s="117"/>
    </row>
    <row r="488">
      <c r="A488" s="117"/>
      <c r="B488" s="117"/>
      <c r="C488" s="117"/>
      <c r="D488" s="117"/>
      <c r="E488" s="117"/>
    </row>
    <row r="489">
      <c r="A489" s="117"/>
      <c r="B489" s="117"/>
      <c r="C489" s="117"/>
      <c r="D489" s="117"/>
      <c r="E489" s="117"/>
    </row>
    <row r="490">
      <c r="A490" s="117"/>
      <c r="B490" s="117"/>
      <c r="C490" s="117"/>
      <c r="D490" s="117"/>
      <c r="E490" s="117"/>
    </row>
    <row r="491">
      <c r="A491" s="117"/>
      <c r="B491" s="117"/>
      <c r="C491" s="117"/>
      <c r="D491" s="117"/>
      <c r="E491" s="117"/>
    </row>
    <row r="492">
      <c r="A492" s="117"/>
      <c r="B492" s="117"/>
      <c r="C492" s="117"/>
      <c r="D492" s="117"/>
      <c r="E492" s="117"/>
    </row>
    <row r="493">
      <c r="A493" s="117"/>
      <c r="B493" s="117"/>
      <c r="C493" s="117"/>
      <c r="D493" s="117"/>
      <c r="E493" s="117"/>
    </row>
    <row r="494">
      <c r="A494" s="117"/>
      <c r="B494" s="117"/>
      <c r="C494" s="117"/>
      <c r="D494" s="117"/>
      <c r="E494" s="117"/>
    </row>
    <row r="495">
      <c r="A495" s="117"/>
      <c r="B495" s="117"/>
      <c r="C495" s="117"/>
      <c r="D495" s="117"/>
      <c r="E495" s="117"/>
    </row>
    <row r="496">
      <c r="A496" s="117"/>
      <c r="B496" s="117"/>
      <c r="C496" s="117"/>
      <c r="D496" s="117"/>
      <c r="E496" s="117"/>
    </row>
    <row r="497">
      <c r="A497" s="117"/>
      <c r="B497" s="117"/>
      <c r="C497" s="117"/>
      <c r="D497" s="117"/>
      <c r="E497" s="117"/>
    </row>
    <row r="498">
      <c r="A498" s="117"/>
      <c r="B498" s="117"/>
      <c r="C498" s="117"/>
      <c r="D498" s="117"/>
      <c r="E498" s="117"/>
    </row>
    <row r="499">
      <c r="A499" s="117"/>
      <c r="B499" s="117"/>
      <c r="C499" s="117"/>
      <c r="D499" s="117"/>
      <c r="E499" s="117"/>
    </row>
    <row r="500">
      <c r="A500" s="117"/>
      <c r="B500" s="117"/>
      <c r="C500" s="117"/>
      <c r="D500" s="117"/>
      <c r="E500" s="117"/>
    </row>
    <row r="501">
      <c r="A501" s="117"/>
      <c r="B501" s="117"/>
      <c r="C501" s="117"/>
      <c r="D501" s="117"/>
      <c r="E501" s="117"/>
    </row>
    <row r="502">
      <c r="A502" s="117"/>
      <c r="B502" s="117"/>
      <c r="C502" s="117"/>
      <c r="D502" s="117"/>
      <c r="E502" s="117"/>
    </row>
    <row r="503">
      <c r="A503" s="117"/>
      <c r="B503" s="117"/>
      <c r="C503" s="117"/>
      <c r="D503" s="117"/>
      <c r="E503" s="117"/>
    </row>
    <row r="504">
      <c r="A504" s="117"/>
      <c r="B504" s="117"/>
      <c r="C504" s="117"/>
      <c r="D504" s="117"/>
      <c r="E504" s="117"/>
    </row>
    <row r="505">
      <c r="A505" s="117"/>
      <c r="B505" s="117"/>
      <c r="C505" s="117"/>
      <c r="D505" s="117"/>
      <c r="E505" s="117"/>
    </row>
    <row r="506">
      <c r="A506" s="117"/>
      <c r="B506" s="117"/>
      <c r="C506" s="117"/>
      <c r="D506" s="117"/>
      <c r="E506" s="117"/>
    </row>
    <row r="507">
      <c r="A507" s="117"/>
      <c r="B507" s="117"/>
      <c r="C507" s="117"/>
      <c r="D507" s="117"/>
      <c r="E507" s="117"/>
    </row>
    <row r="508">
      <c r="A508" s="117"/>
      <c r="B508" s="117"/>
      <c r="C508" s="117"/>
      <c r="D508" s="117"/>
      <c r="E508" s="117"/>
    </row>
    <row r="509">
      <c r="A509" s="117"/>
      <c r="B509" s="117"/>
      <c r="C509" s="117"/>
      <c r="D509" s="117"/>
      <c r="E509" s="117"/>
    </row>
    <row r="510">
      <c r="A510" s="117"/>
      <c r="B510" s="117"/>
      <c r="C510" s="117"/>
      <c r="D510" s="117"/>
      <c r="E510" s="117"/>
    </row>
    <row r="511">
      <c r="A511" s="117"/>
      <c r="B511" s="117"/>
      <c r="C511" s="117"/>
      <c r="D511" s="117"/>
      <c r="E511" s="117"/>
    </row>
    <row r="512">
      <c r="A512" s="117"/>
      <c r="B512" s="117"/>
      <c r="C512" s="117"/>
      <c r="D512" s="117"/>
      <c r="E512" s="117"/>
    </row>
    <row r="513">
      <c r="A513" s="117"/>
      <c r="B513" s="117"/>
      <c r="C513" s="117"/>
      <c r="D513" s="117"/>
      <c r="E513" s="117"/>
    </row>
    <row r="514">
      <c r="A514" s="117"/>
      <c r="B514" s="117"/>
      <c r="C514" s="117"/>
      <c r="D514" s="117"/>
      <c r="E514" s="117"/>
    </row>
    <row r="515">
      <c r="A515" s="117"/>
      <c r="B515" s="117"/>
      <c r="C515" s="117"/>
      <c r="D515" s="117"/>
      <c r="E515" s="117"/>
    </row>
    <row r="516">
      <c r="A516" s="117"/>
      <c r="B516" s="117"/>
      <c r="C516" s="117"/>
      <c r="D516" s="117"/>
      <c r="E516" s="117"/>
    </row>
    <row r="517">
      <c r="A517" s="117"/>
      <c r="B517" s="117"/>
      <c r="C517" s="117"/>
      <c r="D517" s="117"/>
      <c r="E517" s="117"/>
    </row>
    <row r="518">
      <c r="A518" s="117"/>
      <c r="B518" s="117"/>
      <c r="C518" s="117"/>
      <c r="D518" s="117"/>
      <c r="E518" s="117"/>
    </row>
    <row r="519">
      <c r="A519" s="117"/>
      <c r="B519" s="117"/>
      <c r="C519" s="117"/>
      <c r="D519" s="117"/>
      <c r="E519" s="117"/>
    </row>
    <row r="520">
      <c r="A520" s="117"/>
      <c r="B520" s="117"/>
      <c r="C520" s="117"/>
      <c r="D520" s="117"/>
      <c r="E520" s="117"/>
    </row>
    <row r="521">
      <c r="A521" s="117"/>
      <c r="B521" s="117"/>
      <c r="C521" s="117"/>
      <c r="D521" s="117"/>
      <c r="E521" s="117"/>
    </row>
    <row r="522">
      <c r="A522" s="117"/>
      <c r="B522" s="117"/>
      <c r="C522" s="117"/>
      <c r="D522" s="117"/>
      <c r="E522" s="117"/>
    </row>
    <row r="523">
      <c r="A523" s="117"/>
      <c r="B523" s="117"/>
      <c r="C523" s="117"/>
      <c r="D523" s="117"/>
      <c r="E523" s="117"/>
    </row>
    <row r="524">
      <c r="A524" s="117"/>
      <c r="B524" s="117"/>
      <c r="C524" s="117"/>
      <c r="D524" s="117"/>
      <c r="E524" s="117"/>
    </row>
    <row r="525">
      <c r="A525" s="117"/>
      <c r="B525" s="117"/>
      <c r="C525" s="117"/>
      <c r="D525" s="117"/>
      <c r="E525" s="117"/>
    </row>
    <row r="526">
      <c r="A526" s="117"/>
      <c r="B526" s="117"/>
      <c r="C526" s="117"/>
      <c r="D526" s="117"/>
      <c r="E526" s="117"/>
    </row>
    <row r="527">
      <c r="A527" s="117"/>
      <c r="B527" s="117"/>
      <c r="C527" s="117"/>
      <c r="D527" s="117"/>
      <c r="E527" s="117"/>
    </row>
    <row r="528">
      <c r="A528" s="117"/>
      <c r="B528" s="117"/>
      <c r="C528" s="117"/>
      <c r="D528" s="117"/>
      <c r="E528" s="117"/>
    </row>
    <row r="529">
      <c r="A529" s="117"/>
      <c r="B529" s="117"/>
      <c r="C529" s="117"/>
      <c r="D529" s="117"/>
      <c r="E529" s="117"/>
    </row>
    <row r="530">
      <c r="A530" s="117"/>
      <c r="B530" s="117"/>
      <c r="C530" s="117"/>
      <c r="D530" s="117"/>
      <c r="E530" s="117"/>
    </row>
    <row r="531">
      <c r="A531" s="117"/>
      <c r="B531" s="117"/>
      <c r="C531" s="117"/>
      <c r="D531" s="117"/>
      <c r="E531" s="117"/>
    </row>
    <row r="532">
      <c r="A532" s="117"/>
      <c r="B532" s="117"/>
      <c r="C532" s="117"/>
      <c r="D532" s="117"/>
      <c r="E532" s="117"/>
    </row>
    <row r="533">
      <c r="A533" s="117"/>
      <c r="B533" s="117"/>
      <c r="C533" s="117"/>
      <c r="D533" s="117"/>
      <c r="E533" s="117"/>
    </row>
    <row r="534">
      <c r="A534" s="117"/>
      <c r="B534" s="117"/>
      <c r="C534" s="117"/>
      <c r="D534" s="117"/>
      <c r="E534" s="117"/>
    </row>
    <row r="535">
      <c r="A535" s="117"/>
      <c r="B535" s="117"/>
      <c r="C535" s="117"/>
      <c r="D535" s="117"/>
      <c r="E535" s="117"/>
    </row>
    <row r="536">
      <c r="A536" s="117"/>
      <c r="B536" s="117"/>
      <c r="C536" s="117"/>
      <c r="D536" s="117"/>
      <c r="E536" s="117"/>
    </row>
    <row r="537">
      <c r="A537" s="117"/>
      <c r="B537" s="117"/>
      <c r="C537" s="117"/>
      <c r="D537" s="117"/>
      <c r="E537" s="117"/>
    </row>
    <row r="538">
      <c r="A538" s="117"/>
      <c r="B538" s="117"/>
      <c r="C538" s="117"/>
      <c r="D538" s="117"/>
      <c r="E538" s="117"/>
    </row>
    <row r="539">
      <c r="A539" s="117"/>
      <c r="B539" s="117"/>
      <c r="C539" s="117"/>
      <c r="D539" s="117"/>
      <c r="E539" s="117"/>
    </row>
    <row r="540">
      <c r="A540" s="117"/>
      <c r="B540" s="117"/>
      <c r="C540" s="117"/>
      <c r="D540" s="117"/>
      <c r="E540" s="117"/>
    </row>
    <row r="541">
      <c r="A541" s="117"/>
      <c r="B541" s="117"/>
      <c r="C541" s="117"/>
      <c r="D541" s="117"/>
      <c r="E541" s="117"/>
    </row>
    <row r="542">
      <c r="A542" s="117"/>
      <c r="B542" s="117"/>
      <c r="C542" s="117"/>
      <c r="D542" s="117"/>
      <c r="E542" s="117"/>
    </row>
    <row r="543">
      <c r="A543" s="117"/>
      <c r="B543" s="117"/>
      <c r="C543" s="117"/>
      <c r="D543" s="117"/>
      <c r="E543" s="117"/>
    </row>
    <row r="544">
      <c r="A544" s="117"/>
      <c r="B544" s="117"/>
      <c r="C544" s="117"/>
      <c r="D544" s="117"/>
      <c r="E544" s="117"/>
    </row>
    <row r="545">
      <c r="A545" s="117"/>
      <c r="B545" s="117"/>
      <c r="C545" s="117"/>
      <c r="D545" s="117"/>
      <c r="E545" s="117"/>
    </row>
    <row r="546">
      <c r="A546" s="117"/>
      <c r="B546" s="117"/>
      <c r="C546" s="117"/>
      <c r="D546" s="117"/>
      <c r="E546" s="117"/>
    </row>
    <row r="547">
      <c r="A547" s="117"/>
      <c r="B547" s="117"/>
      <c r="C547" s="117"/>
      <c r="D547" s="117"/>
      <c r="E547" s="117"/>
    </row>
    <row r="548">
      <c r="A548" s="117"/>
      <c r="B548" s="117"/>
      <c r="C548" s="117"/>
      <c r="D548" s="117"/>
      <c r="E548" s="117"/>
    </row>
    <row r="549">
      <c r="A549" s="117"/>
      <c r="B549" s="117"/>
      <c r="C549" s="117"/>
      <c r="D549" s="117"/>
      <c r="E549" s="117"/>
    </row>
    <row r="550">
      <c r="A550" s="117"/>
      <c r="B550" s="117"/>
      <c r="C550" s="117"/>
      <c r="D550" s="117"/>
      <c r="E550" s="117"/>
    </row>
    <row r="551">
      <c r="A551" s="117"/>
      <c r="B551" s="117"/>
      <c r="C551" s="117"/>
      <c r="D551" s="117"/>
      <c r="E551" s="117"/>
    </row>
    <row r="552">
      <c r="A552" s="117"/>
      <c r="B552" s="117"/>
      <c r="C552" s="117"/>
      <c r="D552" s="117"/>
      <c r="E552" s="117"/>
    </row>
    <row r="553">
      <c r="A553" s="117"/>
      <c r="B553" s="117"/>
      <c r="C553" s="117"/>
      <c r="D553" s="117"/>
      <c r="E553" s="117"/>
    </row>
    <row r="554">
      <c r="A554" s="117"/>
      <c r="B554" s="117"/>
      <c r="C554" s="117"/>
      <c r="D554" s="117"/>
      <c r="E554" s="117"/>
    </row>
    <row r="555">
      <c r="A555" s="117"/>
      <c r="B555" s="117"/>
      <c r="C555" s="117"/>
      <c r="D555" s="117"/>
      <c r="E555" s="117"/>
    </row>
    <row r="556">
      <c r="A556" s="117"/>
      <c r="B556" s="117"/>
      <c r="C556" s="117"/>
      <c r="D556" s="117"/>
      <c r="E556" s="117"/>
    </row>
    <row r="557">
      <c r="A557" s="117"/>
      <c r="B557" s="117"/>
      <c r="C557" s="117"/>
      <c r="D557" s="117"/>
      <c r="E557" s="117"/>
    </row>
    <row r="558">
      <c r="A558" s="117"/>
      <c r="B558" s="117"/>
      <c r="C558" s="117"/>
      <c r="D558" s="117"/>
      <c r="E558" s="117"/>
    </row>
    <row r="559">
      <c r="A559" s="117"/>
      <c r="B559" s="117"/>
      <c r="C559" s="117"/>
      <c r="D559" s="117"/>
      <c r="E559" s="117"/>
    </row>
    <row r="560">
      <c r="A560" s="117"/>
      <c r="B560" s="117"/>
      <c r="C560" s="117"/>
      <c r="D560" s="117"/>
      <c r="E560" s="117"/>
    </row>
    <row r="561">
      <c r="A561" s="117"/>
      <c r="B561" s="117"/>
      <c r="C561" s="117"/>
      <c r="D561" s="117"/>
      <c r="E561" s="117"/>
    </row>
    <row r="562">
      <c r="A562" s="117"/>
      <c r="B562" s="117"/>
      <c r="C562" s="117"/>
      <c r="D562" s="117"/>
      <c r="E562" s="117"/>
    </row>
    <row r="563">
      <c r="A563" s="117"/>
      <c r="B563" s="117"/>
      <c r="C563" s="117"/>
      <c r="D563" s="117"/>
      <c r="E563" s="117"/>
    </row>
    <row r="564">
      <c r="A564" s="117"/>
      <c r="B564" s="117"/>
      <c r="C564" s="117"/>
      <c r="D564" s="117"/>
      <c r="E564" s="117"/>
    </row>
    <row r="565">
      <c r="A565" s="117"/>
      <c r="B565" s="117"/>
      <c r="C565" s="117"/>
      <c r="D565" s="117"/>
      <c r="E565" s="117"/>
    </row>
    <row r="566">
      <c r="A566" s="117"/>
      <c r="B566" s="117"/>
      <c r="C566" s="117"/>
      <c r="D566" s="117"/>
      <c r="E566" s="117"/>
    </row>
    <row r="567">
      <c r="A567" s="117"/>
      <c r="B567" s="117"/>
      <c r="C567" s="117"/>
      <c r="D567" s="117"/>
      <c r="E567" s="117"/>
    </row>
    <row r="568">
      <c r="A568" s="117"/>
      <c r="B568" s="117"/>
      <c r="C568" s="117"/>
      <c r="D568" s="117"/>
      <c r="E568" s="117"/>
    </row>
    <row r="569">
      <c r="A569" s="117"/>
      <c r="B569" s="117"/>
      <c r="C569" s="117"/>
      <c r="D569" s="117"/>
      <c r="E569" s="117"/>
    </row>
    <row r="570">
      <c r="A570" s="117"/>
      <c r="B570" s="117"/>
      <c r="C570" s="117"/>
      <c r="D570" s="117"/>
      <c r="E570" s="117"/>
    </row>
    <row r="571">
      <c r="A571" s="117"/>
      <c r="B571" s="117"/>
      <c r="C571" s="117"/>
      <c r="D571" s="117"/>
      <c r="E571" s="117"/>
    </row>
    <row r="572">
      <c r="A572" s="117"/>
      <c r="B572" s="117"/>
      <c r="C572" s="117"/>
      <c r="D572" s="117"/>
      <c r="E572" s="117"/>
    </row>
    <row r="573">
      <c r="A573" s="117"/>
      <c r="B573" s="117"/>
      <c r="C573" s="117"/>
      <c r="D573" s="117"/>
      <c r="E573" s="117"/>
    </row>
    <row r="574">
      <c r="A574" s="117"/>
      <c r="B574" s="117"/>
      <c r="C574" s="117"/>
      <c r="D574" s="117"/>
      <c r="E574" s="117"/>
    </row>
    <row r="575">
      <c r="A575" s="117"/>
      <c r="B575" s="117"/>
      <c r="C575" s="117"/>
      <c r="D575" s="117"/>
      <c r="E575" s="117"/>
    </row>
    <row r="576">
      <c r="A576" s="117"/>
      <c r="B576" s="117"/>
      <c r="C576" s="117"/>
      <c r="D576" s="117"/>
      <c r="E576" s="117"/>
    </row>
    <row r="577">
      <c r="A577" s="117"/>
      <c r="B577" s="117"/>
      <c r="C577" s="117"/>
      <c r="D577" s="117"/>
      <c r="E577" s="117"/>
    </row>
    <row r="578">
      <c r="A578" s="117"/>
      <c r="B578" s="117"/>
      <c r="C578" s="117"/>
      <c r="D578" s="117"/>
      <c r="E578" s="117"/>
    </row>
    <row r="579">
      <c r="A579" s="117"/>
      <c r="B579" s="117"/>
      <c r="C579" s="117"/>
      <c r="D579" s="117"/>
      <c r="E579" s="117"/>
    </row>
    <row r="580">
      <c r="A580" s="117"/>
      <c r="B580" s="117"/>
      <c r="C580" s="117"/>
      <c r="D580" s="117"/>
      <c r="E580" s="117"/>
    </row>
    <row r="581">
      <c r="A581" s="117"/>
      <c r="B581" s="117"/>
      <c r="C581" s="117"/>
      <c r="D581" s="117"/>
      <c r="E581" s="117"/>
    </row>
    <row r="582">
      <c r="A582" s="117"/>
      <c r="B582" s="117"/>
      <c r="C582" s="117"/>
      <c r="D582" s="117"/>
      <c r="E582" s="117"/>
    </row>
    <row r="583">
      <c r="A583" s="117"/>
      <c r="B583" s="117"/>
      <c r="C583" s="117"/>
      <c r="D583" s="117"/>
      <c r="E583" s="117"/>
    </row>
    <row r="584">
      <c r="A584" s="117"/>
      <c r="B584" s="117"/>
      <c r="C584" s="117"/>
      <c r="D584" s="117"/>
      <c r="E584" s="117"/>
    </row>
    <row r="585">
      <c r="A585" s="117"/>
      <c r="B585" s="117"/>
      <c r="C585" s="117"/>
      <c r="D585" s="117"/>
      <c r="E585" s="117"/>
    </row>
    <row r="586">
      <c r="A586" s="117"/>
      <c r="B586" s="117"/>
      <c r="C586" s="117"/>
      <c r="D586" s="117"/>
      <c r="E586" s="117"/>
    </row>
    <row r="587">
      <c r="A587" s="117"/>
      <c r="B587" s="117"/>
      <c r="C587" s="117"/>
      <c r="D587" s="117"/>
      <c r="E587" s="117"/>
    </row>
    <row r="588">
      <c r="A588" s="117"/>
      <c r="B588" s="117"/>
      <c r="C588" s="117"/>
      <c r="D588" s="117"/>
      <c r="E588" s="117"/>
    </row>
    <row r="589">
      <c r="A589" s="117"/>
      <c r="B589" s="117"/>
      <c r="C589" s="117"/>
      <c r="D589" s="117"/>
      <c r="E589" s="117"/>
    </row>
    <row r="590">
      <c r="A590" s="117"/>
      <c r="B590" s="117"/>
      <c r="C590" s="117"/>
      <c r="D590" s="117"/>
      <c r="E590" s="117"/>
    </row>
    <row r="591">
      <c r="A591" s="117"/>
      <c r="B591" s="117"/>
      <c r="C591" s="117"/>
      <c r="D591" s="117"/>
      <c r="E591" s="117"/>
    </row>
    <row r="592">
      <c r="A592" s="117"/>
      <c r="B592" s="117"/>
      <c r="C592" s="117"/>
      <c r="D592" s="117"/>
      <c r="E592" s="117"/>
    </row>
    <row r="593">
      <c r="A593" s="117"/>
      <c r="B593" s="117"/>
      <c r="C593" s="117"/>
      <c r="D593" s="117"/>
      <c r="E593" s="117"/>
    </row>
    <row r="594">
      <c r="A594" s="117"/>
      <c r="B594" s="117"/>
      <c r="C594" s="117"/>
      <c r="D594" s="117"/>
      <c r="E594" s="117"/>
    </row>
    <row r="595">
      <c r="A595" s="117"/>
      <c r="B595" s="117"/>
      <c r="C595" s="117"/>
      <c r="D595" s="117"/>
      <c r="E595" s="117"/>
    </row>
    <row r="596">
      <c r="A596" s="117"/>
      <c r="B596" s="117"/>
      <c r="C596" s="117"/>
      <c r="D596" s="117"/>
      <c r="E596" s="117"/>
    </row>
    <row r="597">
      <c r="A597" s="117"/>
      <c r="B597" s="117"/>
      <c r="C597" s="117"/>
      <c r="D597" s="117"/>
      <c r="E597" s="117"/>
    </row>
    <row r="598">
      <c r="A598" s="117"/>
      <c r="B598" s="117"/>
      <c r="C598" s="117"/>
      <c r="D598" s="117"/>
      <c r="E598" s="117"/>
    </row>
    <row r="599">
      <c r="A599" s="117"/>
      <c r="B599" s="117"/>
      <c r="C599" s="117"/>
      <c r="D599" s="117"/>
      <c r="E599" s="117"/>
    </row>
    <row r="600">
      <c r="A600" s="117"/>
      <c r="B600" s="117"/>
      <c r="C600" s="117"/>
      <c r="D600" s="117"/>
      <c r="E600" s="117"/>
    </row>
    <row r="601">
      <c r="A601" s="117"/>
      <c r="B601" s="117"/>
      <c r="C601" s="117"/>
      <c r="D601" s="117"/>
      <c r="E601" s="117"/>
    </row>
    <row r="602">
      <c r="A602" s="117"/>
      <c r="B602" s="117"/>
      <c r="C602" s="117"/>
      <c r="D602" s="117"/>
      <c r="E602" s="117"/>
    </row>
    <row r="603">
      <c r="A603" s="117"/>
      <c r="B603" s="117"/>
      <c r="C603" s="117"/>
      <c r="D603" s="117"/>
      <c r="E603" s="117"/>
    </row>
    <row r="604">
      <c r="A604" s="117"/>
      <c r="B604" s="117"/>
      <c r="C604" s="117"/>
      <c r="D604" s="117"/>
      <c r="E604" s="117"/>
    </row>
    <row r="605">
      <c r="A605" s="117"/>
      <c r="B605" s="117"/>
      <c r="C605" s="117"/>
      <c r="D605" s="117"/>
      <c r="E605" s="117"/>
    </row>
    <row r="606">
      <c r="A606" s="117"/>
      <c r="B606" s="117"/>
      <c r="C606" s="117"/>
      <c r="D606" s="117"/>
      <c r="E606" s="117"/>
    </row>
    <row r="607">
      <c r="A607" s="117"/>
      <c r="B607" s="117"/>
      <c r="C607" s="117"/>
      <c r="D607" s="117"/>
      <c r="E607" s="117"/>
    </row>
    <row r="608">
      <c r="A608" s="117"/>
      <c r="B608" s="117"/>
      <c r="C608" s="117"/>
      <c r="D608" s="117"/>
      <c r="E608" s="117"/>
    </row>
    <row r="609">
      <c r="A609" s="117"/>
      <c r="B609" s="117"/>
      <c r="C609" s="117"/>
      <c r="D609" s="117"/>
      <c r="E609" s="117"/>
    </row>
    <row r="610">
      <c r="A610" s="117"/>
      <c r="B610" s="117"/>
      <c r="C610" s="117"/>
      <c r="D610" s="117"/>
      <c r="E610" s="117"/>
    </row>
    <row r="611">
      <c r="A611" s="117"/>
      <c r="B611" s="117"/>
      <c r="C611" s="117"/>
      <c r="D611" s="117"/>
      <c r="E611" s="117"/>
    </row>
    <row r="612">
      <c r="A612" s="117"/>
      <c r="B612" s="117"/>
      <c r="C612" s="117"/>
      <c r="D612" s="117"/>
      <c r="E612" s="117"/>
    </row>
    <row r="613">
      <c r="A613" s="117"/>
      <c r="B613" s="117"/>
      <c r="C613" s="117"/>
      <c r="D613" s="117"/>
      <c r="E613" s="117"/>
    </row>
    <row r="614">
      <c r="A614" s="117"/>
      <c r="B614" s="117"/>
      <c r="C614" s="117"/>
      <c r="D614" s="117"/>
      <c r="E614" s="117"/>
    </row>
    <row r="615">
      <c r="A615" s="117"/>
      <c r="B615" s="117"/>
      <c r="C615" s="117"/>
      <c r="D615" s="117"/>
      <c r="E615" s="117"/>
    </row>
    <row r="616">
      <c r="A616" s="117"/>
      <c r="B616" s="117"/>
      <c r="C616" s="117"/>
      <c r="D616" s="117"/>
      <c r="E616" s="117"/>
    </row>
    <row r="617">
      <c r="A617" s="117"/>
      <c r="B617" s="117"/>
      <c r="C617" s="117"/>
      <c r="D617" s="117"/>
      <c r="E617" s="117"/>
    </row>
    <row r="618">
      <c r="A618" s="117"/>
      <c r="B618" s="117"/>
      <c r="C618" s="117"/>
      <c r="D618" s="117"/>
      <c r="E618" s="117"/>
    </row>
    <row r="619">
      <c r="A619" s="117"/>
      <c r="B619" s="117"/>
      <c r="C619" s="117"/>
      <c r="D619" s="117"/>
      <c r="E619" s="117"/>
    </row>
    <row r="620">
      <c r="A620" s="117"/>
      <c r="B620" s="117"/>
      <c r="C620" s="117"/>
      <c r="D620" s="117"/>
      <c r="E620" s="117"/>
    </row>
    <row r="621">
      <c r="A621" s="117"/>
      <c r="B621" s="117"/>
      <c r="C621" s="117"/>
      <c r="D621" s="117"/>
      <c r="E621" s="117"/>
    </row>
    <row r="622">
      <c r="A622" s="117"/>
      <c r="B622" s="117"/>
      <c r="C622" s="117"/>
      <c r="D622" s="117"/>
      <c r="E622" s="117"/>
    </row>
    <row r="623">
      <c r="A623" s="117"/>
      <c r="B623" s="117"/>
      <c r="C623" s="117"/>
      <c r="D623" s="117"/>
      <c r="E623" s="117"/>
    </row>
    <row r="624">
      <c r="A624" s="117"/>
      <c r="B624" s="117"/>
      <c r="C624" s="117"/>
      <c r="D624" s="117"/>
      <c r="E624" s="117"/>
    </row>
    <row r="625">
      <c r="A625" s="117"/>
      <c r="B625" s="117"/>
      <c r="C625" s="117"/>
      <c r="D625" s="117"/>
      <c r="E625" s="117"/>
    </row>
    <row r="626">
      <c r="A626" s="117"/>
      <c r="B626" s="117"/>
      <c r="C626" s="117"/>
      <c r="D626" s="117"/>
      <c r="E626" s="117"/>
    </row>
    <row r="627">
      <c r="A627" s="117"/>
      <c r="B627" s="117"/>
      <c r="C627" s="117"/>
      <c r="D627" s="117"/>
      <c r="E627" s="117"/>
    </row>
    <row r="628">
      <c r="A628" s="117"/>
      <c r="B628" s="117"/>
      <c r="C628" s="117"/>
      <c r="D628" s="117"/>
      <c r="E628" s="117"/>
    </row>
    <row r="629">
      <c r="A629" s="117"/>
      <c r="B629" s="117"/>
      <c r="C629" s="117"/>
      <c r="D629" s="117"/>
      <c r="E629" s="117"/>
    </row>
    <row r="630">
      <c r="A630" s="117"/>
      <c r="B630" s="117"/>
      <c r="C630" s="117"/>
      <c r="D630" s="117"/>
      <c r="E630" s="117"/>
    </row>
    <row r="631">
      <c r="A631" s="117"/>
      <c r="B631" s="117"/>
      <c r="C631" s="117"/>
      <c r="D631" s="117"/>
      <c r="E631" s="117"/>
    </row>
    <row r="632">
      <c r="A632" s="117"/>
      <c r="B632" s="117"/>
      <c r="C632" s="117"/>
      <c r="D632" s="117"/>
      <c r="E632" s="117"/>
    </row>
    <row r="633">
      <c r="A633" s="117"/>
      <c r="B633" s="117"/>
      <c r="C633" s="117"/>
      <c r="D633" s="117"/>
      <c r="E633" s="117"/>
    </row>
    <row r="634">
      <c r="A634" s="117"/>
      <c r="B634" s="117"/>
      <c r="C634" s="117"/>
      <c r="D634" s="117"/>
      <c r="E634" s="117"/>
    </row>
    <row r="635">
      <c r="A635" s="117"/>
      <c r="B635" s="117"/>
      <c r="C635" s="117"/>
      <c r="D635" s="117"/>
      <c r="E635" s="117"/>
    </row>
    <row r="636">
      <c r="A636" s="117"/>
      <c r="B636" s="117"/>
      <c r="C636" s="117"/>
      <c r="D636" s="117"/>
      <c r="E636" s="117"/>
    </row>
    <row r="637">
      <c r="A637" s="117"/>
      <c r="B637" s="117"/>
      <c r="C637" s="117"/>
      <c r="D637" s="117"/>
      <c r="E637" s="117"/>
    </row>
    <row r="638">
      <c r="A638" s="117"/>
      <c r="B638" s="117"/>
      <c r="C638" s="117"/>
      <c r="D638" s="117"/>
      <c r="E638" s="117"/>
    </row>
    <row r="639">
      <c r="A639" s="117"/>
      <c r="B639" s="117"/>
      <c r="C639" s="117"/>
      <c r="D639" s="117"/>
      <c r="E639" s="117"/>
    </row>
    <row r="640">
      <c r="A640" s="117"/>
      <c r="B640" s="117"/>
      <c r="C640" s="117"/>
      <c r="D640" s="117"/>
      <c r="E640" s="117"/>
    </row>
    <row r="641">
      <c r="A641" s="117"/>
      <c r="B641" s="117"/>
      <c r="C641" s="117"/>
      <c r="D641" s="117"/>
      <c r="E641" s="117"/>
    </row>
    <row r="642">
      <c r="A642" s="117"/>
      <c r="B642" s="117"/>
      <c r="C642" s="117"/>
      <c r="D642" s="117"/>
      <c r="E642" s="117"/>
    </row>
    <row r="643">
      <c r="A643" s="117"/>
      <c r="B643" s="117"/>
      <c r="C643" s="117"/>
      <c r="D643" s="117"/>
      <c r="E643" s="117"/>
    </row>
    <row r="644">
      <c r="A644" s="117"/>
      <c r="B644" s="117"/>
      <c r="C644" s="117"/>
      <c r="D644" s="117"/>
      <c r="E644" s="117"/>
    </row>
    <row r="645">
      <c r="A645" s="117"/>
      <c r="B645" s="117"/>
      <c r="C645" s="117"/>
      <c r="D645" s="117"/>
      <c r="E645" s="117"/>
    </row>
    <row r="646">
      <c r="A646" s="117"/>
      <c r="B646" s="117"/>
      <c r="C646" s="117"/>
      <c r="D646" s="117"/>
      <c r="E646" s="117"/>
    </row>
    <row r="647">
      <c r="A647" s="117"/>
      <c r="B647" s="117"/>
      <c r="C647" s="117"/>
      <c r="D647" s="117"/>
      <c r="E647" s="117"/>
    </row>
    <row r="648">
      <c r="A648" s="117"/>
      <c r="B648" s="117"/>
      <c r="C648" s="117"/>
      <c r="D648" s="117"/>
      <c r="E648" s="117"/>
    </row>
    <row r="649">
      <c r="A649" s="117"/>
      <c r="B649" s="117"/>
      <c r="C649" s="117"/>
      <c r="D649" s="117"/>
      <c r="E649" s="117"/>
    </row>
    <row r="650">
      <c r="A650" s="117"/>
      <c r="B650" s="117"/>
      <c r="C650" s="117"/>
      <c r="D650" s="117"/>
      <c r="E650" s="117"/>
    </row>
    <row r="651">
      <c r="A651" s="117"/>
      <c r="B651" s="117"/>
      <c r="C651" s="117"/>
      <c r="D651" s="117"/>
      <c r="E651" s="117"/>
    </row>
    <row r="652">
      <c r="A652" s="117"/>
      <c r="B652" s="117"/>
      <c r="C652" s="117"/>
      <c r="D652" s="117"/>
      <c r="E652" s="117"/>
    </row>
    <row r="653">
      <c r="A653" s="117"/>
      <c r="B653" s="117"/>
      <c r="C653" s="117"/>
      <c r="D653" s="117"/>
      <c r="E653" s="117"/>
    </row>
    <row r="654">
      <c r="A654" s="117"/>
      <c r="B654" s="117"/>
      <c r="C654" s="117"/>
      <c r="D654" s="117"/>
      <c r="E654" s="117"/>
    </row>
    <row r="655">
      <c r="A655" s="117"/>
      <c r="B655" s="117"/>
      <c r="C655" s="117"/>
      <c r="D655" s="117"/>
      <c r="E655" s="117"/>
    </row>
    <row r="656">
      <c r="A656" s="117"/>
      <c r="B656" s="117"/>
      <c r="C656" s="117"/>
      <c r="D656" s="117"/>
      <c r="E656" s="117"/>
    </row>
    <row r="657">
      <c r="A657" s="117"/>
      <c r="B657" s="117"/>
      <c r="C657" s="117"/>
      <c r="D657" s="117"/>
      <c r="E657" s="117"/>
    </row>
    <row r="658">
      <c r="A658" s="117"/>
      <c r="B658" s="117"/>
      <c r="C658" s="117"/>
      <c r="D658" s="117"/>
      <c r="E658" s="117"/>
    </row>
    <row r="659">
      <c r="A659" s="117"/>
      <c r="B659" s="117"/>
      <c r="C659" s="117"/>
      <c r="D659" s="117"/>
      <c r="E659" s="117"/>
    </row>
    <row r="660">
      <c r="A660" s="117"/>
      <c r="B660" s="117"/>
      <c r="C660" s="117"/>
      <c r="D660" s="117"/>
      <c r="E660" s="117"/>
    </row>
    <row r="661">
      <c r="A661" s="117"/>
      <c r="B661" s="117"/>
      <c r="C661" s="117"/>
      <c r="D661" s="117"/>
      <c r="E661" s="117"/>
    </row>
    <row r="662">
      <c r="A662" s="117"/>
      <c r="B662" s="117"/>
      <c r="C662" s="117"/>
      <c r="D662" s="117"/>
      <c r="E662" s="117"/>
    </row>
    <row r="663">
      <c r="A663" s="117"/>
      <c r="B663" s="117"/>
      <c r="C663" s="117"/>
      <c r="D663" s="117"/>
      <c r="E663" s="117"/>
    </row>
    <row r="664">
      <c r="A664" s="117"/>
      <c r="B664" s="117"/>
      <c r="C664" s="117"/>
      <c r="D664" s="117"/>
      <c r="E664" s="117"/>
    </row>
    <row r="665">
      <c r="A665" s="117"/>
      <c r="B665" s="117"/>
      <c r="C665" s="117"/>
      <c r="D665" s="117"/>
      <c r="E665" s="117"/>
    </row>
    <row r="666">
      <c r="A666" s="117"/>
      <c r="B666" s="117"/>
      <c r="C666" s="117"/>
      <c r="D666" s="117"/>
      <c r="E666" s="117"/>
    </row>
    <row r="667">
      <c r="A667" s="117"/>
      <c r="B667" s="117"/>
      <c r="C667" s="117"/>
      <c r="D667" s="117"/>
      <c r="E667" s="117"/>
    </row>
    <row r="668">
      <c r="A668" s="117"/>
      <c r="B668" s="117"/>
      <c r="C668" s="117"/>
      <c r="D668" s="117"/>
      <c r="E668" s="117"/>
    </row>
    <row r="669">
      <c r="A669" s="117"/>
      <c r="B669" s="117"/>
      <c r="C669" s="117"/>
      <c r="D669" s="117"/>
      <c r="E669" s="117"/>
    </row>
    <row r="670">
      <c r="A670" s="117"/>
      <c r="B670" s="117"/>
      <c r="C670" s="117"/>
      <c r="D670" s="117"/>
      <c r="E670" s="117"/>
    </row>
    <row r="671">
      <c r="A671" s="117"/>
      <c r="B671" s="117"/>
      <c r="C671" s="117"/>
      <c r="D671" s="117"/>
      <c r="E671" s="117"/>
    </row>
    <row r="672">
      <c r="A672" s="117"/>
      <c r="B672" s="117"/>
      <c r="C672" s="117"/>
      <c r="D672" s="117"/>
      <c r="E672" s="117"/>
    </row>
    <row r="673">
      <c r="A673" s="117"/>
      <c r="B673" s="117"/>
      <c r="C673" s="117"/>
      <c r="D673" s="117"/>
      <c r="E673" s="117"/>
    </row>
    <row r="674">
      <c r="A674" s="117"/>
      <c r="B674" s="117"/>
      <c r="C674" s="117"/>
      <c r="D674" s="117"/>
      <c r="E674" s="117"/>
    </row>
    <row r="675">
      <c r="A675" s="117"/>
      <c r="B675" s="117"/>
      <c r="C675" s="117"/>
      <c r="D675" s="117"/>
      <c r="E675" s="117"/>
    </row>
    <row r="676">
      <c r="A676" s="117"/>
      <c r="B676" s="117"/>
      <c r="C676" s="117"/>
      <c r="D676" s="117"/>
      <c r="E676" s="117"/>
    </row>
    <row r="677">
      <c r="A677" s="117"/>
      <c r="B677" s="117"/>
      <c r="C677" s="117"/>
      <c r="D677" s="117"/>
      <c r="E677" s="117"/>
    </row>
    <row r="678">
      <c r="A678" s="117"/>
      <c r="B678" s="117"/>
      <c r="C678" s="117"/>
      <c r="D678" s="117"/>
      <c r="E678" s="117"/>
    </row>
    <row r="679">
      <c r="A679" s="117"/>
      <c r="B679" s="117"/>
      <c r="C679" s="117"/>
      <c r="D679" s="117"/>
      <c r="E679" s="117"/>
    </row>
    <row r="680">
      <c r="A680" s="117"/>
      <c r="B680" s="117"/>
      <c r="C680" s="117"/>
      <c r="D680" s="117"/>
      <c r="E680" s="117"/>
    </row>
    <row r="681">
      <c r="A681" s="117"/>
      <c r="B681" s="117"/>
      <c r="C681" s="117"/>
      <c r="D681" s="117"/>
      <c r="E681" s="117"/>
    </row>
    <row r="682">
      <c r="A682" s="117"/>
      <c r="B682" s="117"/>
      <c r="C682" s="117"/>
      <c r="D682" s="117"/>
      <c r="E682" s="117"/>
    </row>
    <row r="683">
      <c r="A683" s="117"/>
      <c r="B683" s="117"/>
      <c r="C683" s="117"/>
      <c r="D683" s="117"/>
      <c r="E683" s="117"/>
    </row>
    <row r="684">
      <c r="A684" s="117"/>
      <c r="B684" s="117"/>
      <c r="C684" s="117"/>
      <c r="D684" s="117"/>
      <c r="E684" s="117"/>
    </row>
    <row r="685">
      <c r="A685" s="117"/>
      <c r="B685" s="117"/>
      <c r="C685" s="117"/>
      <c r="D685" s="117"/>
      <c r="E685" s="117"/>
    </row>
    <row r="686">
      <c r="A686" s="117"/>
      <c r="B686" s="117"/>
      <c r="C686" s="117"/>
      <c r="D686" s="117"/>
      <c r="E686" s="117"/>
    </row>
    <row r="687">
      <c r="A687" s="117"/>
      <c r="B687" s="117"/>
      <c r="C687" s="117"/>
      <c r="D687" s="117"/>
      <c r="E687" s="117"/>
    </row>
    <row r="688">
      <c r="A688" s="117"/>
      <c r="B688" s="117"/>
      <c r="C688" s="117"/>
      <c r="D688" s="117"/>
      <c r="E688" s="117"/>
    </row>
    <row r="689">
      <c r="A689" s="117"/>
      <c r="B689" s="117"/>
      <c r="C689" s="117"/>
      <c r="D689" s="117"/>
      <c r="E689" s="117"/>
    </row>
    <row r="690">
      <c r="A690" s="117"/>
      <c r="B690" s="117"/>
      <c r="C690" s="117"/>
      <c r="D690" s="117"/>
      <c r="E690" s="117"/>
    </row>
    <row r="691">
      <c r="A691" s="117"/>
      <c r="B691" s="117"/>
      <c r="C691" s="117"/>
      <c r="D691" s="117"/>
      <c r="E691" s="117"/>
    </row>
    <row r="692">
      <c r="A692" s="117"/>
      <c r="B692" s="117"/>
      <c r="C692" s="117"/>
      <c r="D692" s="117"/>
      <c r="E692" s="117"/>
    </row>
    <row r="693">
      <c r="A693" s="117"/>
      <c r="B693" s="117"/>
      <c r="C693" s="117"/>
      <c r="D693" s="117"/>
      <c r="E693" s="117"/>
    </row>
    <row r="694">
      <c r="A694" s="117"/>
      <c r="B694" s="117"/>
      <c r="C694" s="117"/>
      <c r="D694" s="117"/>
      <c r="E694" s="117"/>
    </row>
    <row r="695">
      <c r="A695" s="117"/>
      <c r="B695" s="117"/>
      <c r="C695" s="117"/>
      <c r="D695" s="117"/>
      <c r="E695" s="117"/>
    </row>
    <row r="696">
      <c r="A696" s="117"/>
      <c r="B696" s="117"/>
      <c r="C696" s="117"/>
      <c r="D696" s="117"/>
      <c r="E696" s="117"/>
    </row>
    <row r="697">
      <c r="A697" s="117"/>
      <c r="B697" s="117"/>
      <c r="C697" s="117"/>
      <c r="D697" s="117"/>
      <c r="E697" s="117"/>
    </row>
    <row r="698">
      <c r="A698" s="117"/>
      <c r="B698" s="117"/>
      <c r="C698" s="117"/>
      <c r="D698" s="117"/>
      <c r="E698" s="117"/>
    </row>
    <row r="699">
      <c r="A699" s="117"/>
      <c r="B699" s="117"/>
      <c r="C699" s="117"/>
      <c r="D699" s="117"/>
      <c r="E699" s="117"/>
    </row>
    <row r="700">
      <c r="A700" s="117"/>
      <c r="B700" s="117"/>
      <c r="C700" s="117"/>
      <c r="D700" s="117"/>
      <c r="E700" s="117"/>
    </row>
    <row r="701">
      <c r="A701" s="117"/>
      <c r="B701" s="117"/>
      <c r="C701" s="117"/>
      <c r="D701" s="117"/>
      <c r="E701" s="117"/>
    </row>
    <row r="702">
      <c r="A702" s="117"/>
      <c r="B702" s="117"/>
      <c r="C702" s="117"/>
      <c r="D702" s="117"/>
      <c r="E702" s="117"/>
    </row>
    <row r="703">
      <c r="A703" s="117"/>
      <c r="B703" s="117"/>
      <c r="C703" s="117"/>
      <c r="D703" s="117"/>
      <c r="E703" s="117"/>
    </row>
    <row r="704">
      <c r="A704" s="117"/>
      <c r="B704" s="117"/>
      <c r="C704" s="117"/>
      <c r="D704" s="117"/>
      <c r="E704" s="117"/>
    </row>
    <row r="705">
      <c r="A705" s="117"/>
      <c r="B705" s="117"/>
      <c r="C705" s="117"/>
      <c r="D705" s="117"/>
      <c r="E705" s="117"/>
    </row>
    <row r="706">
      <c r="A706" s="117"/>
      <c r="B706" s="117"/>
      <c r="C706" s="117"/>
      <c r="D706" s="117"/>
      <c r="E706" s="117"/>
    </row>
    <row r="707">
      <c r="A707" s="117"/>
      <c r="B707" s="117"/>
      <c r="C707" s="117"/>
      <c r="D707" s="117"/>
      <c r="E707" s="117"/>
    </row>
    <row r="708">
      <c r="A708" s="117"/>
      <c r="B708" s="117"/>
      <c r="C708" s="117"/>
      <c r="D708" s="117"/>
      <c r="E708" s="117"/>
    </row>
    <row r="709">
      <c r="A709" s="117"/>
      <c r="B709" s="117"/>
      <c r="C709" s="117"/>
      <c r="D709" s="117"/>
      <c r="E709" s="117"/>
    </row>
    <row r="710">
      <c r="A710" s="117"/>
      <c r="B710" s="117"/>
      <c r="C710" s="117"/>
      <c r="D710" s="117"/>
      <c r="E710" s="117"/>
    </row>
    <row r="711">
      <c r="A711" s="117"/>
      <c r="B711" s="117"/>
      <c r="C711" s="117"/>
      <c r="D711" s="117"/>
      <c r="E711" s="117"/>
    </row>
    <row r="712">
      <c r="A712" s="117"/>
      <c r="B712" s="117"/>
      <c r="C712" s="117"/>
      <c r="D712" s="117"/>
      <c r="E712" s="117"/>
    </row>
    <row r="713">
      <c r="A713" s="117"/>
      <c r="B713" s="117"/>
      <c r="C713" s="117"/>
      <c r="D713" s="117"/>
      <c r="E713" s="117"/>
    </row>
    <row r="714">
      <c r="A714" s="117"/>
      <c r="B714" s="117"/>
      <c r="C714" s="117"/>
      <c r="D714" s="117"/>
      <c r="E714" s="117"/>
    </row>
    <row r="715">
      <c r="A715" s="117"/>
      <c r="B715" s="117"/>
      <c r="C715" s="117"/>
      <c r="D715" s="117"/>
      <c r="E715" s="117"/>
    </row>
    <row r="716">
      <c r="A716" s="117"/>
      <c r="B716" s="117"/>
      <c r="C716" s="117"/>
      <c r="D716" s="117"/>
      <c r="E716" s="117"/>
    </row>
    <row r="717">
      <c r="A717" s="117"/>
      <c r="B717" s="117"/>
      <c r="C717" s="117"/>
      <c r="D717" s="117"/>
      <c r="E717" s="117"/>
    </row>
    <row r="718">
      <c r="A718" s="117"/>
      <c r="B718" s="117"/>
      <c r="C718" s="117"/>
      <c r="D718" s="117"/>
      <c r="E718" s="117"/>
    </row>
    <row r="719">
      <c r="A719" s="117"/>
      <c r="B719" s="117"/>
      <c r="C719" s="117"/>
      <c r="D719" s="117"/>
      <c r="E719" s="117"/>
    </row>
    <row r="720">
      <c r="A720" s="117"/>
      <c r="B720" s="117"/>
      <c r="C720" s="117"/>
      <c r="D720" s="117"/>
      <c r="E720" s="117"/>
    </row>
    <row r="721">
      <c r="A721" s="117"/>
      <c r="B721" s="117"/>
      <c r="C721" s="117"/>
      <c r="D721" s="117"/>
      <c r="E721" s="117"/>
    </row>
    <row r="722">
      <c r="A722" s="117"/>
      <c r="B722" s="117"/>
      <c r="C722" s="117"/>
      <c r="D722" s="117"/>
      <c r="E722" s="117"/>
    </row>
    <row r="723">
      <c r="A723" s="117"/>
      <c r="B723" s="117"/>
      <c r="C723" s="117"/>
      <c r="D723" s="117"/>
      <c r="E723" s="117"/>
    </row>
    <row r="724">
      <c r="A724" s="117"/>
      <c r="B724" s="117"/>
      <c r="C724" s="117"/>
      <c r="D724" s="117"/>
      <c r="E724" s="117"/>
    </row>
    <row r="725">
      <c r="A725" s="117"/>
      <c r="B725" s="117"/>
      <c r="C725" s="117"/>
      <c r="D725" s="117"/>
      <c r="E725" s="117"/>
    </row>
    <row r="726">
      <c r="A726" s="117"/>
      <c r="B726" s="117"/>
      <c r="C726" s="117"/>
      <c r="D726" s="117"/>
      <c r="E726" s="117"/>
    </row>
    <row r="727">
      <c r="A727" s="117"/>
      <c r="B727" s="117"/>
      <c r="C727" s="117"/>
      <c r="D727" s="117"/>
      <c r="E727" s="117"/>
    </row>
    <row r="728">
      <c r="A728" s="117"/>
      <c r="B728" s="117"/>
      <c r="C728" s="117"/>
      <c r="D728" s="117"/>
      <c r="E728" s="117"/>
    </row>
    <row r="729">
      <c r="A729" s="117"/>
      <c r="B729" s="117"/>
      <c r="C729" s="117"/>
      <c r="D729" s="117"/>
      <c r="E729" s="117"/>
    </row>
    <row r="730">
      <c r="A730" s="117"/>
      <c r="B730" s="117"/>
      <c r="C730" s="117"/>
      <c r="D730" s="117"/>
      <c r="E730" s="117"/>
    </row>
    <row r="731">
      <c r="A731" s="117"/>
      <c r="B731" s="117"/>
      <c r="C731" s="117"/>
      <c r="D731" s="117"/>
      <c r="E731" s="117"/>
    </row>
    <row r="732">
      <c r="A732" s="117"/>
      <c r="B732" s="117"/>
      <c r="C732" s="117"/>
      <c r="D732" s="117"/>
      <c r="E732" s="117"/>
    </row>
    <row r="733">
      <c r="A733" s="117"/>
      <c r="B733" s="117"/>
      <c r="C733" s="117"/>
      <c r="D733" s="117"/>
      <c r="E733" s="117"/>
    </row>
    <row r="734">
      <c r="A734" s="117"/>
      <c r="B734" s="117"/>
      <c r="C734" s="117"/>
      <c r="D734" s="117"/>
      <c r="E734" s="117"/>
    </row>
    <row r="735">
      <c r="A735" s="117"/>
      <c r="B735" s="117"/>
      <c r="C735" s="117"/>
      <c r="D735" s="117"/>
      <c r="E735" s="117"/>
    </row>
    <row r="736">
      <c r="A736" s="117"/>
      <c r="B736" s="117"/>
      <c r="C736" s="117"/>
      <c r="D736" s="117"/>
      <c r="E736" s="117"/>
    </row>
    <row r="737">
      <c r="A737" s="117"/>
      <c r="B737" s="117"/>
      <c r="C737" s="117"/>
      <c r="D737" s="117"/>
      <c r="E737" s="117"/>
    </row>
    <row r="738">
      <c r="A738" s="117"/>
      <c r="B738" s="117"/>
      <c r="C738" s="117"/>
      <c r="D738" s="117"/>
      <c r="E738" s="117"/>
    </row>
    <row r="739">
      <c r="A739" s="117"/>
      <c r="B739" s="117"/>
      <c r="C739" s="117"/>
      <c r="D739" s="117"/>
      <c r="E739" s="117"/>
    </row>
    <row r="740">
      <c r="A740" s="117"/>
      <c r="B740" s="117"/>
      <c r="C740" s="117"/>
      <c r="D740" s="117"/>
      <c r="E740" s="117"/>
    </row>
    <row r="741">
      <c r="A741" s="117"/>
      <c r="B741" s="117"/>
      <c r="C741" s="117"/>
      <c r="D741" s="117"/>
      <c r="E741" s="117"/>
    </row>
    <row r="742">
      <c r="A742" s="117"/>
      <c r="B742" s="117"/>
      <c r="C742" s="117"/>
      <c r="D742" s="117"/>
      <c r="E742" s="117"/>
    </row>
    <row r="743">
      <c r="A743" s="117"/>
      <c r="B743" s="117"/>
      <c r="C743" s="117"/>
      <c r="D743" s="117"/>
      <c r="E743" s="117"/>
    </row>
    <row r="744">
      <c r="A744" s="117"/>
      <c r="B744" s="117"/>
      <c r="C744" s="117"/>
      <c r="D744" s="117"/>
      <c r="E744" s="117"/>
    </row>
    <row r="745">
      <c r="A745" s="117"/>
      <c r="B745" s="117"/>
      <c r="C745" s="117"/>
      <c r="D745" s="117"/>
      <c r="E745" s="117"/>
    </row>
    <row r="746">
      <c r="A746" s="117"/>
      <c r="B746" s="117"/>
      <c r="C746" s="117"/>
      <c r="D746" s="117"/>
      <c r="E746" s="117"/>
    </row>
    <row r="747">
      <c r="A747" s="117"/>
      <c r="B747" s="117"/>
      <c r="C747" s="117"/>
      <c r="D747" s="117"/>
      <c r="E747" s="117"/>
    </row>
    <row r="748">
      <c r="A748" s="117"/>
      <c r="B748" s="117"/>
      <c r="C748" s="117"/>
      <c r="D748" s="117"/>
      <c r="E748" s="117"/>
    </row>
    <row r="749">
      <c r="A749" s="117"/>
      <c r="B749" s="117"/>
      <c r="C749" s="117"/>
      <c r="D749" s="117"/>
      <c r="E749" s="117"/>
    </row>
    <row r="750">
      <c r="A750" s="117"/>
      <c r="B750" s="117"/>
      <c r="C750" s="117"/>
      <c r="D750" s="117"/>
      <c r="E750" s="117"/>
    </row>
    <row r="751">
      <c r="A751" s="117"/>
      <c r="B751" s="117"/>
      <c r="C751" s="117"/>
      <c r="D751" s="117"/>
      <c r="E751" s="117"/>
    </row>
    <row r="752">
      <c r="A752" s="117"/>
      <c r="B752" s="117"/>
      <c r="C752" s="117"/>
      <c r="D752" s="117"/>
      <c r="E752" s="117"/>
    </row>
    <row r="753">
      <c r="A753" s="117"/>
      <c r="B753" s="117"/>
      <c r="C753" s="117"/>
      <c r="D753" s="117"/>
      <c r="E753" s="117"/>
    </row>
    <row r="754">
      <c r="A754" s="117"/>
      <c r="B754" s="117"/>
      <c r="C754" s="117"/>
      <c r="D754" s="117"/>
      <c r="E754" s="117"/>
    </row>
    <row r="755">
      <c r="A755" s="117"/>
      <c r="B755" s="117"/>
      <c r="C755" s="117"/>
      <c r="D755" s="117"/>
      <c r="E755" s="117"/>
    </row>
    <row r="756">
      <c r="A756" s="117"/>
      <c r="B756" s="117"/>
      <c r="C756" s="117"/>
      <c r="D756" s="117"/>
      <c r="E756" s="117"/>
    </row>
    <row r="757">
      <c r="A757" s="117"/>
      <c r="B757" s="117"/>
      <c r="C757" s="117"/>
      <c r="D757" s="117"/>
      <c r="E757" s="117"/>
    </row>
    <row r="758">
      <c r="A758" s="117"/>
      <c r="B758" s="117"/>
      <c r="C758" s="117"/>
      <c r="D758" s="117"/>
      <c r="E758" s="117"/>
    </row>
    <row r="759">
      <c r="A759" s="117"/>
      <c r="B759" s="117"/>
      <c r="C759" s="117"/>
      <c r="D759" s="117"/>
      <c r="E759" s="117"/>
    </row>
    <row r="760">
      <c r="A760" s="117"/>
      <c r="B760" s="117"/>
      <c r="C760" s="117"/>
      <c r="D760" s="117"/>
      <c r="E760" s="117"/>
    </row>
    <row r="761">
      <c r="A761" s="117"/>
      <c r="B761" s="117"/>
      <c r="C761" s="117"/>
      <c r="D761" s="117"/>
      <c r="E761" s="117"/>
    </row>
    <row r="762">
      <c r="A762" s="117"/>
      <c r="B762" s="117"/>
      <c r="C762" s="117"/>
      <c r="D762" s="117"/>
      <c r="E762" s="117"/>
    </row>
    <row r="763">
      <c r="A763" s="117"/>
      <c r="B763" s="117"/>
      <c r="C763" s="117"/>
      <c r="D763" s="117"/>
      <c r="E763" s="117"/>
    </row>
    <row r="764">
      <c r="A764" s="117"/>
      <c r="B764" s="117"/>
      <c r="C764" s="117"/>
      <c r="D764" s="117"/>
      <c r="E764" s="117"/>
    </row>
    <row r="765">
      <c r="A765" s="117"/>
      <c r="B765" s="117"/>
      <c r="C765" s="117"/>
      <c r="D765" s="117"/>
      <c r="E765" s="117"/>
    </row>
    <row r="766">
      <c r="A766" s="117"/>
      <c r="B766" s="117"/>
      <c r="C766" s="117"/>
      <c r="D766" s="117"/>
      <c r="E766" s="117"/>
    </row>
    <row r="767">
      <c r="A767" s="117"/>
      <c r="B767" s="117"/>
      <c r="C767" s="117"/>
      <c r="D767" s="117"/>
      <c r="E767" s="117"/>
    </row>
    <row r="768">
      <c r="A768" s="117"/>
      <c r="B768" s="117"/>
      <c r="C768" s="117"/>
      <c r="D768" s="117"/>
      <c r="E768" s="117"/>
    </row>
    <row r="769">
      <c r="A769" s="117"/>
      <c r="B769" s="117"/>
      <c r="C769" s="117"/>
      <c r="D769" s="117"/>
      <c r="E769" s="117"/>
    </row>
    <row r="770">
      <c r="A770" s="117"/>
      <c r="B770" s="117"/>
      <c r="C770" s="117"/>
      <c r="D770" s="117"/>
      <c r="E770" s="117"/>
    </row>
    <row r="771">
      <c r="A771" s="117"/>
      <c r="B771" s="117"/>
      <c r="C771" s="117"/>
      <c r="D771" s="117"/>
      <c r="E771" s="117"/>
    </row>
    <row r="772">
      <c r="A772" s="117"/>
      <c r="B772" s="117"/>
      <c r="C772" s="117"/>
      <c r="D772" s="117"/>
      <c r="E772" s="117"/>
    </row>
    <row r="773">
      <c r="A773" s="117"/>
      <c r="B773" s="117"/>
      <c r="C773" s="117"/>
      <c r="D773" s="117"/>
      <c r="E773" s="117"/>
    </row>
    <row r="774">
      <c r="A774" s="117"/>
      <c r="B774" s="117"/>
      <c r="C774" s="117"/>
      <c r="D774" s="117"/>
      <c r="E774" s="117"/>
    </row>
    <row r="775">
      <c r="A775" s="117"/>
      <c r="B775" s="117"/>
      <c r="C775" s="117"/>
      <c r="D775" s="117"/>
      <c r="E775" s="117"/>
    </row>
    <row r="776">
      <c r="A776" s="117"/>
      <c r="B776" s="117"/>
      <c r="C776" s="117"/>
      <c r="D776" s="117"/>
      <c r="E776" s="117"/>
    </row>
    <row r="777">
      <c r="A777" s="117"/>
      <c r="B777" s="117"/>
      <c r="C777" s="117"/>
      <c r="D777" s="117"/>
      <c r="E777" s="117"/>
    </row>
    <row r="778">
      <c r="A778" s="117"/>
      <c r="B778" s="117"/>
      <c r="C778" s="117"/>
      <c r="D778" s="117"/>
      <c r="E778" s="117"/>
    </row>
    <row r="779">
      <c r="A779" s="117"/>
      <c r="B779" s="117"/>
      <c r="C779" s="117"/>
      <c r="D779" s="117"/>
      <c r="E779" s="117"/>
    </row>
    <row r="780">
      <c r="A780" s="117"/>
      <c r="B780" s="117"/>
      <c r="C780" s="117"/>
      <c r="D780" s="117"/>
      <c r="E780" s="117"/>
    </row>
    <row r="781">
      <c r="A781" s="117"/>
      <c r="B781" s="117"/>
      <c r="C781" s="117"/>
      <c r="D781" s="117"/>
      <c r="E781" s="117"/>
    </row>
    <row r="782">
      <c r="A782" s="117"/>
      <c r="B782" s="117"/>
      <c r="C782" s="117"/>
      <c r="D782" s="117"/>
      <c r="E782" s="117"/>
    </row>
    <row r="783">
      <c r="A783" s="117"/>
      <c r="B783" s="117"/>
      <c r="C783" s="117"/>
      <c r="D783" s="117"/>
      <c r="E783" s="117"/>
    </row>
    <row r="784">
      <c r="A784" s="117"/>
      <c r="B784" s="117"/>
      <c r="C784" s="117"/>
      <c r="D784" s="117"/>
      <c r="E784" s="117"/>
    </row>
    <row r="785">
      <c r="A785" s="117"/>
      <c r="B785" s="117"/>
      <c r="C785" s="117"/>
      <c r="D785" s="117"/>
      <c r="E785" s="117"/>
    </row>
    <row r="786">
      <c r="A786" s="117"/>
      <c r="B786" s="117"/>
      <c r="C786" s="117"/>
      <c r="D786" s="117"/>
      <c r="E786" s="117"/>
    </row>
    <row r="787">
      <c r="A787" s="117"/>
      <c r="B787" s="117"/>
      <c r="C787" s="117"/>
      <c r="D787" s="117"/>
      <c r="E787" s="117"/>
    </row>
    <row r="788">
      <c r="A788" s="117"/>
      <c r="B788" s="117"/>
      <c r="C788" s="117"/>
      <c r="D788" s="117"/>
      <c r="E788" s="117"/>
    </row>
    <row r="789">
      <c r="A789" s="117"/>
      <c r="B789" s="117"/>
      <c r="C789" s="117"/>
      <c r="D789" s="117"/>
      <c r="E789" s="117"/>
    </row>
    <row r="790">
      <c r="A790" s="117"/>
      <c r="B790" s="117"/>
      <c r="C790" s="117"/>
      <c r="D790" s="117"/>
      <c r="E790" s="117"/>
    </row>
    <row r="791">
      <c r="A791" s="117"/>
      <c r="B791" s="117"/>
      <c r="C791" s="117"/>
      <c r="D791" s="117"/>
      <c r="E791" s="117"/>
    </row>
    <row r="792">
      <c r="A792" s="117"/>
      <c r="B792" s="117"/>
      <c r="C792" s="117"/>
      <c r="D792" s="117"/>
      <c r="E792" s="117"/>
    </row>
    <row r="793">
      <c r="A793" s="117"/>
      <c r="B793" s="117"/>
      <c r="C793" s="117"/>
      <c r="D793" s="117"/>
      <c r="E793" s="117"/>
    </row>
    <row r="794">
      <c r="A794" s="117"/>
      <c r="B794" s="117"/>
      <c r="C794" s="117"/>
      <c r="D794" s="117"/>
      <c r="E794" s="117"/>
    </row>
    <row r="795">
      <c r="A795" s="117"/>
      <c r="B795" s="117"/>
      <c r="C795" s="117"/>
      <c r="D795" s="117"/>
      <c r="E795" s="117"/>
    </row>
    <row r="796">
      <c r="A796" s="117"/>
      <c r="B796" s="117"/>
      <c r="C796" s="117"/>
      <c r="D796" s="117"/>
      <c r="E796" s="117"/>
    </row>
    <row r="797">
      <c r="A797" s="117"/>
      <c r="B797" s="117"/>
      <c r="C797" s="117"/>
      <c r="D797" s="117"/>
      <c r="E797" s="117"/>
    </row>
    <row r="798">
      <c r="A798" s="117"/>
      <c r="B798" s="117"/>
      <c r="C798" s="117"/>
      <c r="D798" s="117"/>
      <c r="E798" s="117"/>
    </row>
    <row r="799">
      <c r="A799" s="117"/>
      <c r="B799" s="117"/>
      <c r="C799" s="117"/>
      <c r="D799" s="117"/>
      <c r="E799" s="117"/>
    </row>
    <row r="800">
      <c r="A800" s="117"/>
      <c r="B800" s="117"/>
      <c r="C800" s="117"/>
      <c r="D800" s="117"/>
      <c r="E800" s="117"/>
    </row>
    <row r="801">
      <c r="A801" s="117"/>
      <c r="B801" s="117"/>
      <c r="C801" s="117"/>
      <c r="D801" s="117"/>
      <c r="E801" s="117"/>
    </row>
    <row r="802">
      <c r="A802" s="117"/>
      <c r="B802" s="117"/>
      <c r="C802" s="117"/>
      <c r="D802" s="117"/>
      <c r="E802" s="117"/>
    </row>
    <row r="803">
      <c r="A803" s="117"/>
      <c r="B803" s="117"/>
      <c r="C803" s="117"/>
      <c r="D803" s="117"/>
      <c r="E803" s="117"/>
    </row>
    <row r="804">
      <c r="A804" s="117"/>
      <c r="B804" s="117"/>
      <c r="C804" s="117"/>
      <c r="D804" s="117"/>
      <c r="E804" s="117"/>
    </row>
    <row r="805">
      <c r="A805" s="117"/>
      <c r="B805" s="117"/>
      <c r="C805" s="117"/>
      <c r="D805" s="117"/>
      <c r="E805" s="117"/>
    </row>
    <row r="806">
      <c r="A806" s="117"/>
      <c r="B806" s="117"/>
      <c r="C806" s="117"/>
      <c r="D806" s="117"/>
      <c r="E806" s="117"/>
    </row>
    <row r="807">
      <c r="A807" s="117"/>
      <c r="B807" s="117"/>
      <c r="C807" s="117"/>
      <c r="D807" s="117"/>
      <c r="E807" s="117"/>
    </row>
    <row r="808">
      <c r="A808" s="117"/>
      <c r="B808" s="117"/>
      <c r="C808" s="117"/>
      <c r="D808" s="117"/>
      <c r="E808" s="117"/>
    </row>
    <row r="809">
      <c r="A809" s="117"/>
      <c r="B809" s="117"/>
      <c r="C809" s="117"/>
      <c r="D809" s="117"/>
      <c r="E809" s="117"/>
    </row>
    <row r="810">
      <c r="A810" s="117"/>
      <c r="B810" s="117"/>
      <c r="C810" s="117"/>
      <c r="D810" s="117"/>
      <c r="E810" s="117"/>
    </row>
    <row r="811">
      <c r="A811" s="117"/>
      <c r="B811" s="117"/>
      <c r="C811" s="117"/>
      <c r="D811" s="117"/>
      <c r="E811" s="117"/>
    </row>
    <row r="812">
      <c r="A812" s="117"/>
      <c r="B812" s="117"/>
      <c r="C812" s="117"/>
      <c r="D812" s="117"/>
      <c r="E812" s="117"/>
    </row>
    <row r="813">
      <c r="A813" s="117"/>
      <c r="B813" s="117"/>
      <c r="C813" s="117"/>
      <c r="D813" s="117"/>
      <c r="E813" s="117"/>
    </row>
    <row r="814">
      <c r="A814" s="117"/>
      <c r="B814" s="117"/>
      <c r="C814" s="117"/>
      <c r="D814" s="117"/>
      <c r="E814" s="117"/>
    </row>
    <row r="815">
      <c r="A815" s="117"/>
      <c r="B815" s="117"/>
      <c r="C815" s="117"/>
      <c r="D815" s="117"/>
      <c r="E815" s="117"/>
    </row>
    <row r="816">
      <c r="A816" s="117"/>
      <c r="B816" s="117"/>
      <c r="C816" s="117"/>
      <c r="D816" s="117"/>
      <c r="E816" s="117"/>
    </row>
    <row r="817">
      <c r="A817" s="117"/>
      <c r="B817" s="117"/>
      <c r="C817" s="117"/>
      <c r="D817" s="117"/>
      <c r="E817" s="117"/>
    </row>
    <row r="818">
      <c r="A818" s="117"/>
      <c r="B818" s="117"/>
      <c r="C818" s="117"/>
      <c r="D818" s="117"/>
      <c r="E818" s="117"/>
    </row>
    <row r="819">
      <c r="A819" s="117"/>
      <c r="B819" s="117"/>
      <c r="C819" s="117"/>
      <c r="D819" s="117"/>
      <c r="E819" s="117"/>
    </row>
    <row r="820">
      <c r="A820" s="117"/>
      <c r="B820" s="117"/>
      <c r="C820" s="117"/>
      <c r="D820" s="117"/>
      <c r="E820" s="117"/>
    </row>
    <row r="821">
      <c r="A821" s="117"/>
      <c r="B821" s="117"/>
      <c r="C821" s="117"/>
      <c r="D821" s="117"/>
      <c r="E821" s="117"/>
    </row>
    <row r="822">
      <c r="A822" s="117"/>
      <c r="B822" s="117"/>
      <c r="C822" s="117"/>
      <c r="D822" s="117"/>
      <c r="E822" s="117"/>
    </row>
    <row r="823">
      <c r="A823" s="117"/>
      <c r="B823" s="117"/>
      <c r="C823" s="117"/>
      <c r="D823" s="117"/>
      <c r="E823" s="117"/>
    </row>
    <row r="824">
      <c r="A824" s="117"/>
      <c r="B824" s="117"/>
      <c r="C824" s="117"/>
      <c r="D824" s="117"/>
      <c r="E824" s="117"/>
    </row>
    <row r="825">
      <c r="A825" s="117"/>
      <c r="B825" s="117"/>
      <c r="C825" s="117"/>
      <c r="D825" s="117"/>
      <c r="E825" s="117"/>
    </row>
    <row r="826">
      <c r="A826" s="117"/>
      <c r="B826" s="117"/>
      <c r="C826" s="117"/>
      <c r="D826" s="117"/>
      <c r="E826" s="117"/>
    </row>
    <row r="827">
      <c r="A827" s="117"/>
      <c r="B827" s="117"/>
      <c r="C827" s="117"/>
      <c r="D827" s="117"/>
      <c r="E827" s="117"/>
    </row>
    <row r="828">
      <c r="A828" s="117"/>
      <c r="B828" s="117"/>
      <c r="C828" s="117"/>
      <c r="D828" s="117"/>
      <c r="E828" s="117"/>
    </row>
    <row r="829">
      <c r="A829" s="117"/>
      <c r="B829" s="117"/>
      <c r="C829" s="117"/>
      <c r="D829" s="117"/>
      <c r="E829" s="117"/>
    </row>
    <row r="830">
      <c r="A830" s="117"/>
      <c r="B830" s="117"/>
      <c r="C830" s="117"/>
      <c r="D830" s="117"/>
      <c r="E830" s="117"/>
    </row>
    <row r="831">
      <c r="A831" s="117"/>
      <c r="B831" s="117"/>
      <c r="C831" s="117"/>
      <c r="D831" s="117"/>
      <c r="E831" s="117"/>
    </row>
    <row r="832">
      <c r="A832" s="117"/>
      <c r="B832" s="117"/>
      <c r="C832" s="117"/>
      <c r="D832" s="117"/>
      <c r="E832" s="117"/>
    </row>
    <row r="833">
      <c r="A833" s="117"/>
      <c r="B833" s="117"/>
      <c r="C833" s="117"/>
      <c r="D833" s="117"/>
      <c r="E833" s="117"/>
    </row>
    <row r="834">
      <c r="A834" s="117"/>
      <c r="B834" s="117"/>
      <c r="C834" s="117"/>
      <c r="D834" s="117"/>
      <c r="E834" s="117"/>
    </row>
    <row r="835">
      <c r="A835" s="117"/>
      <c r="B835" s="117"/>
      <c r="C835" s="117"/>
      <c r="D835" s="117"/>
      <c r="E835" s="117"/>
    </row>
    <row r="836">
      <c r="A836" s="117"/>
      <c r="B836" s="117"/>
      <c r="C836" s="117"/>
      <c r="D836" s="117"/>
      <c r="E836" s="117"/>
    </row>
    <row r="837">
      <c r="A837" s="117"/>
      <c r="B837" s="117"/>
      <c r="C837" s="117"/>
      <c r="D837" s="117"/>
      <c r="E837" s="117"/>
    </row>
    <row r="838">
      <c r="A838" s="117"/>
      <c r="B838" s="117"/>
      <c r="C838" s="117"/>
      <c r="D838" s="117"/>
      <c r="E838" s="117"/>
    </row>
    <row r="839">
      <c r="A839" s="117"/>
      <c r="B839" s="117"/>
      <c r="C839" s="117"/>
      <c r="D839" s="117"/>
      <c r="E839" s="117"/>
    </row>
    <row r="840">
      <c r="A840" s="117"/>
      <c r="B840" s="117"/>
      <c r="C840" s="117"/>
      <c r="D840" s="117"/>
      <c r="E840" s="117"/>
    </row>
    <row r="841">
      <c r="A841" s="117"/>
      <c r="B841" s="117"/>
      <c r="C841" s="117"/>
      <c r="D841" s="117"/>
      <c r="E841" s="117"/>
    </row>
    <row r="842">
      <c r="A842" s="117"/>
      <c r="B842" s="117"/>
      <c r="C842" s="117"/>
      <c r="D842" s="117"/>
      <c r="E842" s="117"/>
    </row>
    <row r="843">
      <c r="A843" s="117"/>
      <c r="B843" s="117"/>
      <c r="C843" s="117"/>
      <c r="D843" s="117"/>
      <c r="E843" s="117"/>
    </row>
    <row r="844">
      <c r="A844" s="117"/>
      <c r="B844" s="117"/>
      <c r="C844" s="117"/>
      <c r="D844" s="117"/>
      <c r="E844" s="117"/>
    </row>
    <row r="845">
      <c r="A845" s="117"/>
      <c r="B845" s="117"/>
      <c r="C845" s="117"/>
      <c r="D845" s="117"/>
      <c r="E845" s="117"/>
    </row>
    <row r="846">
      <c r="A846" s="117"/>
      <c r="B846" s="117"/>
      <c r="C846" s="117"/>
      <c r="D846" s="117"/>
      <c r="E846" s="117"/>
    </row>
    <row r="847">
      <c r="A847" s="117"/>
      <c r="B847" s="117"/>
      <c r="C847" s="117"/>
      <c r="D847" s="117"/>
      <c r="E847" s="117"/>
    </row>
    <row r="848">
      <c r="A848" s="117"/>
      <c r="B848" s="117"/>
      <c r="C848" s="117"/>
      <c r="D848" s="117"/>
      <c r="E848" s="117"/>
    </row>
    <row r="849">
      <c r="A849" s="117"/>
      <c r="B849" s="117"/>
      <c r="C849" s="117"/>
      <c r="D849" s="117"/>
      <c r="E849" s="117"/>
    </row>
    <row r="850">
      <c r="A850" s="117"/>
      <c r="B850" s="117"/>
      <c r="C850" s="117"/>
      <c r="D850" s="117"/>
      <c r="E850" s="117"/>
    </row>
    <row r="851">
      <c r="A851" s="117"/>
      <c r="B851" s="117"/>
      <c r="C851" s="117"/>
      <c r="D851" s="117"/>
      <c r="E851" s="117"/>
    </row>
    <row r="852">
      <c r="A852" s="117"/>
      <c r="B852" s="117"/>
      <c r="C852" s="117"/>
      <c r="D852" s="117"/>
      <c r="E852" s="117"/>
    </row>
    <row r="853">
      <c r="A853" s="117"/>
      <c r="B853" s="117"/>
      <c r="C853" s="117"/>
      <c r="D853" s="117"/>
      <c r="E853" s="117"/>
    </row>
    <row r="854">
      <c r="A854" s="117"/>
      <c r="B854" s="117"/>
      <c r="C854" s="117"/>
      <c r="D854" s="117"/>
      <c r="E854" s="117"/>
    </row>
    <row r="855">
      <c r="A855" s="117"/>
      <c r="B855" s="117"/>
      <c r="C855" s="117"/>
      <c r="D855" s="117"/>
      <c r="E855" s="117"/>
    </row>
    <row r="856">
      <c r="A856" s="117"/>
      <c r="B856" s="117"/>
      <c r="C856" s="117"/>
      <c r="D856" s="117"/>
      <c r="E856" s="117"/>
    </row>
    <row r="857">
      <c r="A857" s="117"/>
      <c r="B857" s="117"/>
      <c r="C857" s="117"/>
      <c r="D857" s="117"/>
      <c r="E857" s="117"/>
    </row>
    <row r="858">
      <c r="A858" s="117"/>
      <c r="B858" s="117"/>
      <c r="C858" s="117"/>
      <c r="D858" s="117"/>
      <c r="E858" s="117"/>
    </row>
    <row r="859">
      <c r="A859" s="117"/>
      <c r="B859" s="117"/>
      <c r="C859" s="117"/>
      <c r="D859" s="117"/>
      <c r="E859" s="117"/>
    </row>
    <row r="860">
      <c r="A860" s="117"/>
      <c r="B860" s="117"/>
      <c r="C860" s="117"/>
      <c r="D860" s="117"/>
      <c r="E860" s="117"/>
    </row>
    <row r="861">
      <c r="A861" s="117"/>
      <c r="B861" s="117"/>
      <c r="C861" s="117"/>
      <c r="D861" s="117"/>
      <c r="E861" s="117"/>
    </row>
    <row r="862">
      <c r="A862" s="117"/>
      <c r="B862" s="117"/>
      <c r="C862" s="117"/>
      <c r="D862" s="117"/>
      <c r="E862" s="117"/>
    </row>
    <row r="863">
      <c r="A863" s="117"/>
      <c r="B863" s="117"/>
      <c r="C863" s="117"/>
      <c r="D863" s="117"/>
      <c r="E863" s="117"/>
    </row>
    <row r="864">
      <c r="A864" s="117"/>
      <c r="B864" s="117"/>
      <c r="C864" s="117"/>
      <c r="D864" s="117"/>
      <c r="E864" s="117"/>
    </row>
    <row r="865">
      <c r="A865" s="117"/>
      <c r="B865" s="117"/>
      <c r="C865" s="117"/>
      <c r="D865" s="117"/>
      <c r="E865" s="117"/>
    </row>
    <row r="866">
      <c r="A866" s="117"/>
      <c r="B866" s="117"/>
      <c r="C866" s="117"/>
      <c r="D866" s="117"/>
      <c r="E866" s="117"/>
    </row>
    <row r="867">
      <c r="A867" s="117"/>
      <c r="B867" s="117"/>
      <c r="C867" s="117"/>
      <c r="D867" s="117"/>
      <c r="E867" s="117"/>
    </row>
    <row r="868">
      <c r="A868" s="117"/>
      <c r="B868" s="117"/>
      <c r="C868" s="117"/>
      <c r="D868" s="117"/>
      <c r="E868" s="117"/>
    </row>
    <row r="869">
      <c r="A869" s="117"/>
      <c r="B869" s="117"/>
      <c r="C869" s="117"/>
      <c r="D869" s="117"/>
      <c r="E869" s="117"/>
    </row>
    <row r="870">
      <c r="A870" s="117"/>
      <c r="B870" s="117"/>
      <c r="C870" s="117"/>
      <c r="D870" s="117"/>
      <c r="E870" s="117"/>
    </row>
    <row r="871">
      <c r="A871" s="117"/>
      <c r="B871" s="117"/>
      <c r="C871" s="117"/>
      <c r="D871" s="117"/>
      <c r="E871" s="117"/>
    </row>
    <row r="872">
      <c r="A872" s="117"/>
      <c r="B872" s="117"/>
      <c r="C872" s="117"/>
      <c r="D872" s="117"/>
      <c r="E872" s="117"/>
    </row>
    <row r="873">
      <c r="A873" s="117"/>
      <c r="B873" s="117"/>
      <c r="C873" s="117"/>
      <c r="D873" s="117"/>
      <c r="E873" s="117"/>
    </row>
    <row r="874">
      <c r="A874" s="117"/>
      <c r="B874" s="117"/>
      <c r="C874" s="117"/>
      <c r="D874" s="117"/>
      <c r="E874" s="117"/>
    </row>
    <row r="875">
      <c r="A875" s="117"/>
      <c r="B875" s="117"/>
      <c r="C875" s="117"/>
      <c r="D875" s="117"/>
      <c r="E875" s="117"/>
    </row>
    <row r="876">
      <c r="A876" s="117"/>
      <c r="B876" s="117"/>
      <c r="C876" s="117"/>
      <c r="D876" s="117"/>
      <c r="E876" s="117"/>
    </row>
    <row r="877">
      <c r="A877" s="117"/>
      <c r="B877" s="117"/>
      <c r="C877" s="117"/>
      <c r="D877" s="117"/>
      <c r="E877" s="117"/>
    </row>
    <row r="878">
      <c r="A878" s="117"/>
      <c r="B878" s="117"/>
      <c r="C878" s="117"/>
      <c r="D878" s="117"/>
      <c r="E878" s="117"/>
    </row>
    <row r="879">
      <c r="A879" s="117"/>
      <c r="B879" s="117"/>
      <c r="C879" s="117"/>
      <c r="D879" s="117"/>
      <c r="E879" s="117"/>
    </row>
    <row r="880">
      <c r="A880" s="117"/>
      <c r="B880" s="117"/>
      <c r="C880" s="117"/>
      <c r="D880" s="117"/>
      <c r="E880" s="117"/>
    </row>
    <row r="881">
      <c r="A881" s="117"/>
      <c r="B881" s="117"/>
      <c r="C881" s="117"/>
      <c r="D881" s="117"/>
      <c r="E881" s="117"/>
    </row>
    <row r="882">
      <c r="A882" s="117"/>
      <c r="B882" s="117"/>
      <c r="C882" s="117"/>
      <c r="D882" s="117"/>
      <c r="E882" s="117"/>
    </row>
    <row r="883">
      <c r="A883" s="117"/>
      <c r="B883" s="117"/>
      <c r="C883" s="117"/>
      <c r="D883" s="117"/>
      <c r="E883" s="117"/>
    </row>
    <row r="884">
      <c r="A884" s="117"/>
      <c r="B884" s="117"/>
      <c r="C884" s="117"/>
      <c r="D884" s="117"/>
      <c r="E884" s="117"/>
    </row>
    <row r="885">
      <c r="A885" s="117"/>
      <c r="B885" s="117"/>
      <c r="C885" s="117"/>
      <c r="D885" s="117"/>
      <c r="E885" s="117"/>
    </row>
    <row r="886">
      <c r="A886" s="117"/>
      <c r="B886" s="117"/>
      <c r="C886" s="117"/>
      <c r="D886" s="117"/>
      <c r="E886" s="117"/>
    </row>
    <row r="887">
      <c r="A887" s="117"/>
      <c r="B887" s="117"/>
      <c r="C887" s="117"/>
      <c r="D887" s="117"/>
      <c r="E887" s="117"/>
    </row>
    <row r="888">
      <c r="A888" s="117"/>
      <c r="B888" s="117"/>
      <c r="C888" s="117"/>
      <c r="D888" s="117"/>
      <c r="E888" s="117"/>
    </row>
    <row r="889">
      <c r="A889" s="117"/>
      <c r="B889" s="117"/>
      <c r="C889" s="117"/>
      <c r="D889" s="117"/>
      <c r="E889" s="117"/>
    </row>
    <row r="890">
      <c r="A890" s="117"/>
      <c r="B890" s="117"/>
      <c r="C890" s="117"/>
      <c r="D890" s="117"/>
      <c r="E890" s="117"/>
    </row>
    <row r="891">
      <c r="A891" s="117"/>
      <c r="B891" s="117"/>
      <c r="C891" s="117"/>
      <c r="D891" s="117"/>
      <c r="E891" s="117"/>
    </row>
    <row r="892">
      <c r="A892" s="117"/>
      <c r="B892" s="117"/>
      <c r="C892" s="117"/>
      <c r="D892" s="117"/>
      <c r="E892" s="117"/>
    </row>
    <row r="893">
      <c r="A893" s="117"/>
      <c r="B893" s="117"/>
      <c r="C893" s="117"/>
      <c r="D893" s="117"/>
      <c r="E893" s="117"/>
    </row>
    <row r="894">
      <c r="A894" s="117"/>
      <c r="B894" s="117"/>
      <c r="C894" s="117"/>
      <c r="D894" s="117"/>
      <c r="E894" s="117"/>
    </row>
    <row r="895">
      <c r="A895" s="117"/>
      <c r="B895" s="117"/>
      <c r="C895" s="117"/>
      <c r="D895" s="117"/>
      <c r="E895" s="117"/>
    </row>
    <row r="896">
      <c r="A896" s="117"/>
      <c r="B896" s="117"/>
      <c r="C896" s="117"/>
      <c r="D896" s="117"/>
      <c r="E896" s="117"/>
    </row>
    <row r="897">
      <c r="A897" s="117"/>
      <c r="B897" s="117"/>
      <c r="C897" s="117"/>
      <c r="D897" s="117"/>
      <c r="E897" s="117"/>
    </row>
    <row r="898">
      <c r="A898" s="117"/>
      <c r="B898" s="117"/>
      <c r="C898" s="117"/>
      <c r="D898" s="117"/>
      <c r="E898" s="117"/>
    </row>
    <row r="899">
      <c r="A899" s="117"/>
      <c r="B899" s="117"/>
      <c r="C899" s="117"/>
      <c r="D899" s="117"/>
      <c r="E899" s="117"/>
    </row>
    <row r="900">
      <c r="A900" s="117"/>
      <c r="B900" s="117"/>
      <c r="C900" s="117"/>
      <c r="D900" s="117"/>
      <c r="E900" s="117"/>
    </row>
    <row r="901">
      <c r="A901" s="117"/>
      <c r="B901" s="117"/>
      <c r="C901" s="117"/>
      <c r="D901" s="117"/>
      <c r="E901" s="117"/>
    </row>
    <row r="902">
      <c r="A902" s="117"/>
      <c r="B902" s="117"/>
      <c r="C902" s="117"/>
      <c r="D902" s="117"/>
      <c r="E902" s="117"/>
    </row>
    <row r="903">
      <c r="A903" s="117"/>
      <c r="B903" s="117"/>
      <c r="C903" s="117"/>
      <c r="D903" s="117"/>
      <c r="E903" s="117"/>
    </row>
    <row r="904">
      <c r="A904" s="117"/>
      <c r="B904" s="117"/>
      <c r="C904" s="117"/>
      <c r="D904" s="117"/>
      <c r="E904" s="117"/>
    </row>
    <row r="905">
      <c r="A905" s="117"/>
      <c r="B905" s="117"/>
      <c r="C905" s="117"/>
      <c r="D905" s="117"/>
      <c r="E905" s="117"/>
    </row>
    <row r="906">
      <c r="A906" s="117"/>
      <c r="B906" s="117"/>
      <c r="C906" s="117"/>
      <c r="D906" s="117"/>
      <c r="E906" s="117"/>
    </row>
    <row r="907">
      <c r="A907" s="117"/>
      <c r="B907" s="117"/>
      <c r="C907" s="117"/>
      <c r="D907" s="117"/>
      <c r="E907" s="117"/>
    </row>
    <row r="908">
      <c r="A908" s="117"/>
      <c r="B908" s="117"/>
      <c r="C908" s="117"/>
      <c r="D908" s="117"/>
      <c r="E908" s="117"/>
    </row>
    <row r="909">
      <c r="A909" s="117"/>
      <c r="B909" s="117"/>
      <c r="C909" s="117"/>
      <c r="D909" s="117"/>
      <c r="E909" s="117"/>
    </row>
    <row r="910">
      <c r="A910" s="117"/>
      <c r="B910" s="117"/>
      <c r="C910" s="117"/>
      <c r="D910" s="117"/>
      <c r="E910" s="117"/>
    </row>
    <row r="911">
      <c r="A911" s="117"/>
      <c r="B911" s="117"/>
      <c r="C911" s="117"/>
      <c r="D911" s="117"/>
      <c r="E911" s="117"/>
    </row>
    <row r="912">
      <c r="A912" s="117"/>
      <c r="B912" s="117"/>
      <c r="C912" s="117"/>
      <c r="D912" s="117"/>
      <c r="E912" s="117"/>
    </row>
    <row r="913">
      <c r="A913" s="117"/>
      <c r="B913" s="117"/>
      <c r="C913" s="117"/>
      <c r="D913" s="117"/>
      <c r="E913" s="117"/>
    </row>
    <row r="914">
      <c r="A914" s="117"/>
      <c r="B914" s="117"/>
      <c r="C914" s="117"/>
      <c r="D914" s="117"/>
      <c r="E914" s="117"/>
    </row>
    <row r="915">
      <c r="A915" s="117"/>
      <c r="B915" s="117"/>
      <c r="C915" s="117"/>
      <c r="D915" s="117"/>
      <c r="E915" s="117"/>
    </row>
    <row r="916">
      <c r="A916" s="117"/>
      <c r="B916" s="117"/>
      <c r="C916" s="117"/>
      <c r="D916" s="117"/>
      <c r="E916" s="117"/>
    </row>
    <row r="917">
      <c r="A917" s="117"/>
      <c r="B917" s="117"/>
      <c r="C917" s="117"/>
      <c r="D917" s="117"/>
      <c r="E917" s="117"/>
    </row>
    <row r="918">
      <c r="A918" s="117"/>
      <c r="B918" s="117"/>
      <c r="C918" s="117"/>
      <c r="D918" s="117"/>
      <c r="E918" s="117"/>
    </row>
    <row r="919">
      <c r="A919" s="117"/>
      <c r="B919" s="117"/>
      <c r="C919" s="117"/>
      <c r="D919" s="117"/>
      <c r="E919" s="117"/>
    </row>
    <row r="920">
      <c r="A920" s="117"/>
      <c r="B920" s="117"/>
      <c r="C920" s="117"/>
      <c r="D920" s="117"/>
      <c r="E920" s="117"/>
    </row>
    <row r="921">
      <c r="A921" s="117"/>
      <c r="B921" s="117"/>
      <c r="C921" s="117"/>
      <c r="D921" s="117"/>
      <c r="E921" s="117"/>
    </row>
    <row r="922">
      <c r="A922" s="117"/>
      <c r="B922" s="117"/>
      <c r="C922" s="117"/>
      <c r="D922" s="117"/>
      <c r="E922" s="117"/>
    </row>
    <row r="923">
      <c r="A923" s="117"/>
      <c r="B923" s="117"/>
      <c r="C923" s="117"/>
      <c r="D923" s="117"/>
      <c r="E923" s="117"/>
    </row>
    <row r="924">
      <c r="A924" s="117"/>
      <c r="B924" s="117"/>
      <c r="C924" s="117"/>
      <c r="D924" s="117"/>
      <c r="E924" s="117"/>
    </row>
    <row r="925">
      <c r="A925" s="117"/>
      <c r="B925" s="117"/>
      <c r="C925" s="117"/>
      <c r="D925" s="117"/>
      <c r="E925" s="117"/>
    </row>
    <row r="926">
      <c r="A926" s="117"/>
      <c r="B926" s="117"/>
      <c r="C926" s="117"/>
      <c r="D926" s="117"/>
      <c r="E926" s="117"/>
    </row>
    <row r="927">
      <c r="A927" s="117"/>
      <c r="B927" s="117"/>
      <c r="C927" s="117"/>
      <c r="D927" s="117"/>
      <c r="E927" s="117"/>
    </row>
    <row r="928">
      <c r="A928" s="117"/>
      <c r="B928" s="117"/>
      <c r="C928" s="117"/>
      <c r="D928" s="117"/>
      <c r="E928" s="117"/>
    </row>
    <row r="929">
      <c r="A929" s="117"/>
      <c r="B929" s="117"/>
      <c r="C929" s="117"/>
      <c r="D929" s="117"/>
      <c r="E929" s="117"/>
    </row>
    <row r="930">
      <c r="A930" s="117"/>
      <c r="B930" s="117"/>
      <c r="C930" s="117"/>
      <c r="D930" s="117"/>
      <c r="E930" s="117"/>
    </row>
    <row r="931">
      <c r="A931" s="117"/>
      <c r="B931" s="117"/>
      <c r="C931" s="117"/>
      <c r="D931" s="117"/>
      <c r="E931" s="117"/>
    </row>
    <row r="932">
      <c r="A932" s="117"/>
      <c r="B932" s="117"/>
      <c r="C932" s="117"/>
      <c r="D932" s="117"/>
      <c r="E932" s="117"/>
    </row>
    <row r="933">
      <c r="A933" s="117"/>
      <c r="B933" s="117"/>
      <c r="C933" s="117"/>
      <c r="D933" s="117"/>
      <c r="E933" s="117"/>
    </row>
    <row r="934">
      <c r="A934" s="117"/>
      <c r="B934" s="117"/>
      <c r="C934" s="117"/>
      <c r="D934" s="117"/>
      <c r="E934" s="117"/>
    </row>
    <row r="935">
      <c r="A935" s="117"/>
      <c r="B935" s="117"/>
      <c r="C935" s="117"/>
      <c r="D935" s="117"/>
      <c r="E935" s="117"/>
    </row>
    <row r="936">
      <c r="A936" s="117"/>
      <c r="B936" s="117"/>
      <c r="C936" s="117"/>
      <c r="D936" s="117"/>
      <c r="E936" s="117"/>
    </row>
    <row r="937">
      <c r="A937" s="117"/>
      <c r="B937" s="117"/>
      <c r="C937" s="117"/>
      <c r="D937" s="117"/>
      <c r="E937" s="117"/>
    </row>
    <row r="938">
      <c r="A938" s="117"/>
      <c r="B938" s="117"/>
      <c r="C938" s="117"/>
      <c r="D938" s="117"/>
      <c r="E938" s="117"/>
    </row>
    <row r="939">
      <c r="A939" s="117"/>
      <c r="B939" s="117"/>
      <c r="C939" s="117"/>
      <c r="D939" s="117"/>
      <c r="E939" s="117"/>
    </row>
    <row r="940">
      <c r="A940" s="117"/>
      <c r="B940" s="117"/>
      <c r="C940" s="117"/>
      <c r="D940" s="117"/>
      <c r="E940" s="117"/>
    </row>
    <row r="941">
      <c r="A941" s="117"/>
      <c r="B941" s="117"/>
      <c r="C941" s="117"/>
      <c r="D941" s="117"/>
      <c r="E941" s="117"/>
    </row>
    <row r="942">
      <c r="A942" s="117"/>
      <c r="B942" s="117"/>
      <c r="C942" s="117"/>
      <c r="D942" s="117"/>
      <c r="E942" s="117"/>
    </row>
    <row r="943">
      <c r="A943" s="117"/>
      <c r="B943" s="117"/>
      <c r="C943" s="117"/>
      <c r="D943" s="117"/>
      <c r="E943" s="117"/>
    </row>
    <row r="944">
      <c r="A944" s="117"/>
      <c r="B944" s="117"/>
      <c r="C944" s="117"/>
      <c r="D944" s="117"/>
      <c r="E944" s="117"/>
    </row>
    <row r="945">
      <c r="A945" s="117"/>
      <c r="B945" s="117"/>
      <c r="C945" s="117"/>
      <c r="D945" s="117"/>
      <c r="E945" s="117"/>
    </row>
    <row r="946">
      <c r="A946" s="117"/>
      <c r="B946" s="117"/>
      <c r="C946" s="117"/>
      <c r="D946" s="117"/>
      <c r="E946" s="117"/>
    </row>
    <row r="947">
      <c r="A947" s="117"/>
      <c r="B947" s="117"/>
      <c r="C947" s="117"/>
      <c r="D947" s="117"/>
      <c r="E947" s="117"/>
    </row>
    <row r="948">
      <c r="A948" s="117"/>
      <c r="B948" s="117"/>
      <c r="C948" s="117"/>
      <c r="D948" s="117"/>
      <c r="E948" s="117"/>
    </row>
    <row r="949">
      <c r="A949" s="117"/>
      <c r="B949" s="117"/>
      <c r="C949" s="117"/>
      <c r="D949" s="117"/>
      <c r="E949" s="117"/>
    </row>
    <row r="950">
      <c r="A950" s="117"/>
      <c r="B950" s="117"/>
      <c r="C950" s="117"/>
      <c r="D950" s="117"/>
      <c r="E950" s="117"/>
    </row>
    <row r="951">
      <c r="A951" s="117"/>
      <c r="B951" s="117"/>
      <c r="C951" s="117"/>
      <c r="D951" s="117"/>
      <c r="E951" s="117"/>
    </row>
    <row r="952">
      <c r="A952" s="117"/>
      <c r="B952" s="117"/>
      <c r="C952" s="117"/>
      <c r="D952" s="117"/>
      <c r="E952" s="117"/>
    </row>
    <row r="953">
      <c r="A953" s="117"/>
      <c r="B953" s="117"/>
      <c r="C953" s="117"/>
      <c r="D953" s="117"/>
      <c r="E953" s="117"/>
    </row>
    <row r="954">
      <c r="A954" s="117"/>
      <c r="B954" s="117"/>
      <c r="C954" s="117"/>
      <c r="D954" s="117"/>
      <c r="E954" s="117"/>
    </row>
    <row r="955">
      <c r="A955" s="117"/>
      <c r="B955" s="117"/>
      <c r="C955" s="117"/>
      <c r="D955" s="117"/>
      <c r="E955" s="117"/>
    </row>
    <row r="956">
      <c r="A956" s="117"/>
      <c r="B956" s="117"/>
      <c r="C956" s="117"/>
      <c r="D956" s="117"/>
      <c r="E956" s="117"/>
    </row>
    <row r="957">
      <c r="A957" s="117"/>
      <c r="B957" s="117"/>
      <c r="C957" s="117"/>
      <c r="D957" s="117"/>
      <c r="E957" s="117"/>
    </row>
    <row r="958">
      <c r="A958" s="117"/>
      <c r="B958" s="117"/>
      <c r="C958" s="117"/>
      <c r="D958" s="117"/>
      <c r="E958" s="117"/>
    </row>
    <row r="959">
      <c r="A959" s="117"/>
      <c r="B959" s="117"/>
      <c r="C959" s="117"/>
      <c r="D959" s="117"/>
      <c r="E959" s="117"/>
    </row>
    <row r="960">
      <c r="A960" s="117"/>
      <c r="B960" s="117"/>
      <c r="C960" s="117"/>
      <c r="D960" s="117"/>
      <c r="E960" s="117"/>
    </row>
    <row r="961">
      <c r="A961" s="117"/>
      <c r="B961" s="117"/>
      <c r="C961" s="117"/>
      <c r="D961" s="117"/>
      <c r="E961" s="117"/>
    </row>
    <row r="962">
      <c r="A962" s="117"/>
      <c r="B962" s="117"/>
      <c r="C962" s="117"/>
      <c r="D962" s="117"/>
      <c r="E962" s="117"/>
    </row>
    <row r="963">
      <c r="A963" s="117"/>
      <c r="B963" s="117"/>
      <c r="C963" s="117"/>
      <c r="D963" s="117"/>
      <c r="E963" s="117"/>
    </row>
    <row r="964">
      <c r="A964" s="117"/>
      <c r="B964" s="117"/>
      <c r="C964" s="117"/>
      <c r="D964" s="117"/>
      <c r="E964" s="117"/>
    </row>
    <row r="965">
      <c r="A965" s="117"/>
      <c r="B965" s="117"/>
      <c r="C965" s="117"/>
      <c r="D965" s="117"/>
      <c r="E965" s="117"/>
    </row>
    <row r="966">
      <c r="A966" s="117"/>
      <c r="B966" s="117"/>
      <c r="C966" s="117"/>
      <c r="D966" s="117"/>
      <c r="E966" s="117"/>
    </row>
    <row r="967">
      <c r="A967" s="117"/>
      <c r="B967" s="117"/>
      <c r="C967" s="117"/>
      <c r="D967" s="117"/>
      <c r="E967" s="117"/>
    </row>
    <row r="968">
      <c r="A968" s="117"/>
      <c r="B968" s="117"/>
      <c r="C968" s="117"/>
      <c r="D968" s="117"/>
      <c r="E968" s="117"/>
    </row>
    <row r="969">
      <c r="A969" s="117"/>
      <c r="B969" s="117"/>
      <c r="C969" s="117"/>
      <c r="D969" s="117"/>
      <c r="E969" s="117"/>
    </row>
    <row r="970">
      <c r="A970" s="117"/>
      <c r="B970" s="117"/>
      <c r="C970" s="117"/>
      <c r="D970" s="117"/>
      <c r="E970" s="117"/>
    </row>
    <row r="971">
      <c r="A971" s="117"/>
      <c r="B971" s="117"/>
      <c r="C971" s="117"/>
      <c r="D971" s="117"/>
      <c r="E971" s="117"/>
    </row>
    <row r="972">
      <c r="A972" s="117"/>
      <c r="B972" s="117"/>
      <c r="C972" s="117"/>
      <c r="D972" s="117"/>
      <c r="E972" s="117"/>
    </row>
    <row r="973">
      <c r="A973" s="117"/>
      <c r="B973" s="117"/>
      <c r="C973" s="117"/>
      <c r="D973" s="117"/>
      <c r="E973" s="117"/>
    </row>
    <row r="974">
      <c r="A974" s="117"/>
      <c r="B974" s="117"/>
      <c r="C974" s="117"/>
      <c r="D974" s="117"/>
      <c r="E974" s="117"/>
    </row>
    <row r="975">
      <c r="A975" s="117"/>
      <c r="B975" s="117"/>
      <c r="C975" s="117"/>
      <c r="D975" s="117"/>
      <c r="E975" s="117"/>
    </row>
    <row r="976">
      <c r="A976" s="117"/>
      <c r="B976" s="117"/>
      <c r="C976" s="117"/>
      <c r="D976" s="117"/>
      <c r="E976" s="117"/>
    </row>
    <row r="977">
      <c r="A977" s="117"/>
      <c r="B977" s="117"/>
      <c r="C977" s="117"/>
      <c r="D977" s="117"/>
      <c r="E977" s="117"/>
    </row>
    <row r="978">
      <c r="A978" s="117"/>
      <c r="B978" s="117"/>
      <c r="C978" s="117"/>
      <c r="D978" s="117"/>
      <c r="E978" s="117"/>
    </row>
    <row r="979">
      <c r="A979" s="117"/>
      <c r="B979" s="117"/>
      <c r="C979" s="117"/>
      <c r="D979" s="117"/>
      <c r="E979" s="117"/>
    </row>
    <row r="980">
      <c r="A980" s="117"/>
      <c r="B980" s="117"/>
      <c r="C980" s="117"/>
      <c r="D980" s="117"/>
      <c r="E980" s="117"/>
    </row>
    <row r="981">
      <c r="A981" s="117"/>
      <c r="B981" s="117"/>
      <c r="C981" s="117"/>
      <c r="D981" s="117"/>
      <c r="E981" s="117"/>
    </row>
    <row r="982">
      <c r="A982" s="117"/>
      <c r="B982" s="117"/>
      <c r="C982" s="117"/>
      <c r="D982" s="117"/>
      <c r="E982" s="117"/>
    </row>
    <row r="983">
      <c r="A983" s="117"/>
      <c r="B983" s="117"/>
      <c r="C983" s="117"/>
      <c r="D983" s="117"/>
      <c r="E983" s="117"/>
    </row>
    <row r="984">
      <c r="A984" s="117"/>
      <c r="B984" s="117"/>
      <c r="C984" s="117"/>
      <c r="D984" s="117"/>
      <c r="E984" s="117"/>
    </row>
    <row r="985">
      <c r="A985" s="117"/>
      <c r="B985" s="117"/>
      <c r="C985" s="117"/>
      <c r="D985" s="117"/>
      <c r="E985" s="117"/>
    </row>
    <row r="986">
      <c r="A986" s="117"/>
      <c r="B986" s="117"/>
      <c r="C986" s="117"/>
      <c r="D986" s="117"/>
      <c r="E986" s="117"/>
    </row>
    <row r="987">
      <c r="A987" s="117"/>
      <c r="B987" s="117"/>
      <c r="C987" s="117"/>
      <c r="D987" s="117"/>
      <c r="E987" s="117"/>
    </row>
    <row r="988">
      <c r="A988" s="117"/>
      <c r="B988" s="117"/>
      <c r="C988" s="117"/>
      <c r="D988" s="117"/>
      <c r="E988" s="117"/>
    </row>
    <row r="989">
      <c r="A989" s="117"/>
      <c r="B989" s="117"/>
      <c r="C989" s="117"/>
      <c r="D989" s="117"/>
      <c r="E989" s="117"/>
    </row>
    <row r="990">
      <c r="A990" s="117"/>
      <c r="B990" s="117"/>
      <c r="C990" s="117"/>
      <c r="D990" s="117"/>
      <c r="E990" s="117"/>
    </row>
    <row r="991">
      <c r="A991" s="117"/>
      <c r="B991" s="117"/>
      <c r="C991" s="117"/>
      <c r="D991" s="117"/>
      <c r="E991" s="117"/>
    </row>
    <row r="992">
      <c r="A992" s="117"/>
      <c r="B992" s="117"/>
      <c r="C992" s="117"/>
      <c r="D992" s="117"/>
      <c r="E992" s="117"/>
    </row>
    <row r="993">
      <c r="A993" s="117"/>
      <c r="B993" s="117"/>
      <c r="C993" s="117"/>
      <c r="D993" s="117"/>
      <c r="E993" s="117"/>
    </row>
    <row r="994">
      <c r="A994" s="117"/>
      <c r="B994" s="117"/>
      <c r="C994" s="117"/>
      <c r="D994" s="117"/>
      <c r="E994" s="117"/>
    </row>
    <row r="995">
      <c r="A995" s="117"/>
      <c r="B995" s="117"/>
      <c r="C995" s="117"/>
      <c r="D995" s="117"/>
      <c r="E995" s="117"/>
    </row>
    <row r="996">
      <c r="A996" s="117"/>
      <c r="B996" s="117"/>
      <c r="C996" s="117"/>
      <c r="D996" s="117"/>
      <c r="E996" s="117"/>
    </row>
    <row r="997">
      <c r="A997" s="117"/>
      <c r="B997" s="117"/>
      <c r="C997" s="117"/>
      <c r="D997" s="117"/>
      <c r="E997" s="117"/>
    </row>
    <row r="998">
      <c r="A998" s="117"/>
      <c r="B998" s="117"/>
      <c r="C998" s="117"/>
      <c r="D998" s="117"/>
      <c r="E998" s="117"/>
    </row>
    <row r="999">
      <c r="A999" s="117"/>
      <c r="B999" s="117"/>
      <c r="C999" s="117"/>
      <c r="D999" s="117"/>
      <c r="E999" s="117"/>
    </row>
    <row r="1000">
      <c r="A1000" s="117"/>
      <c r="B1000" s="117"/>
      <c r="C1000" s="117"/>
      <c r="D1000" s="117"/>
      <c r="E1000" s="117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7.63"/>
    <col customWidth="1" min="3" max="3" width="12.63"/>
    <col customWidth="1" min="4" max="4" width="15.13"/>
    <col customWidth="1" min="5" max="5" width="16.38"/>
    <col customWidth="1" min="6" max="6" width="37.63"/>
  </cols>
  <sheetData>
    <row r="1" ht="24.0" customHeight="1">
      <c r="A1" s="110" t="s">
        <v>227</v>
      </c>
      <c r="B1" s="110" t="s">
        <v>55</v>
      </c>
      <c r="C1" s="234" t="s">
        <v>207</v>
      </c>
      <c r="D1" s="110" t="s">
        <v>606</v>
      </c>
      <c r="E1" s="110" t="s">
        <v>607</v>
      </c>
      <c r="F1" s="110" t="s">
        <v>44</v>
      </c>
    </row>
    <row r="2">
      <c r="A2" s="117"/>
      <c r="B2" s="117"/>
      <c r="C2" s="235"/>
      <c r="D2" s="117"/>
      <c r="E2" s="117"/>
      <c r="F2" s="117"/>
    </row>
    <row r="3">
      <c r="A3" s="117"/>
      <c r="B3" s="117"/>
      <c r="C3" s="235"/>
      <c r="D3" s="117"/>
      <c r="E3" s="117"/>
      <c r="F3" s="117"/>
    </row>
    <row r="4">
      <c r="A4" s="117"/>
      <c r="B4" s="117"/>
      <c r="C4" s="235"/>
      <c r="D4" s="117"/>
      <c r="E4" s="117"/>
      <c r="F4" s="117"/>
    </row>
    <row r="5">
      <c r="A5" s="117"/>
      <c r="B5" s="117"/>
      <c r="C5" s="235"/>
      <c r="D5" s="117"/>
      <c r="E5" s="117"/>
      <c r="F5" s="117"/>
    </row>
    <row r="6">
      <c r="A6" s="117"/>
      <c r="B6" s="117"/>
      <c r="C6" s="235"/>
      <c r="D6" s="117"/>
      <c r="E6" s="117"/>
      <c r="F6" s="117"/>
    </row>
    <row r="7">
      <c r="A7" s="117"/>
      <c r="B7" s="117"/>
      <c r="C7" s="235"/>
      <c r="D7" s="117"/>
      <c r="E7" s="117"/>
      <c r="F7" s="117"/>
    </row>
    <row r="8">
      <c r="A8" s="117"/>
      <c r="B8" s="117"/>
      <c r="C8" s="235"/>
      <c r="D8" s="117"/>
      <c r="E8" s="117"/>
      <c r="F8" s="117"/>
    </row>
    <row r="9">
      <c r="A9" s="117"/>
      <c r="B9" s="117"/>
      <c r="C9" s="235"/>
      <c r="D9" s="117"/>
      <c r="E9" s="117"/>
      <c r="F9" s="117"/>
    </row>
    <row r="10">
      <c r="A10" s="117"/>
      <c r="B10" s="117"/>
      <c r="C10" s="235"/>
      <c r="D10" s="117"/>
      <c r="E10" s="117"/>
      <c r="F10" s="117"/>
    </row>
    <row r="11">
      <c r="A11" s="117"/>
      <c r="B11" s="117"/>
      <c r="C11" s="235"/>
      <c r="D11" s="117"/>
      <c r="E11" s="117"/>
      <c r="F11" s="117"/>
    </row>
    <row r="12">
      <c r="A12" s="117"/>
      <c r="B12" s="117"/>
      <c r="C12" s="235"/>
      <c r="D12" s="117"/>
      <c r="E12" s="117"/>
      <c r="F12" s="117"/>
    </row>
    <row r="13">
      <c r="A13" s="117"/>
      <c r="B13" s="117"/>
      <c r="C13" s="235"/>
      <c r="D13" s="117"/>
      <c r="E13" s="117"/>
      <c r="F13" s="117"/>
    </row>
    <row r="14">
      <c r="A14" s="117"/>
      <c r="B14" s="117"/>
      <c r="C14" s="235"/>
      <c r="D14" s="117"/>
      <c r="E14" s="117"/>
      <c r="F14" s="117"/>
    </row>
    <row r="15">
      <c r="A15" s="117"/>
      <c r="B15" s="117"/>
      <c r="C15" s="235"/>
      <c r="D15" s="117"/>
      <c r="E15" s="117"/>
      <c r="F15" s="117"/>
    </row>
    <row r="16">
      <c r="A16" s="117"/>
      <c r="B16" s="117"/>
      <c r="C16" s="235"/>
      <c r="D16" s="117"/>
      <c r="E16" s="117"/>
      <c r="F16" s="117"/>
    </row>
    <row r="17">
      <c r="A17" s="117"/>
      <c r="B17" s="117"/>
      <c r="C17" s="235"/>
      <c r="D17" s="117"/>
      <c r="E17" s="117"/>
      <c r="F17" s="117"/>
    </row>
    <row r="18">
      <c r="A18" s="117"/>
      <c r="B18" s="117"/>
      <c r="C18" s="235"/>
      <c r="D18" s="117"/>
      <c r="E18" s="117"/>
      <c r="F18" s="117"/>
    </row>
    <row r="19">
      <c r="A19" s="117"/>
      <c r="B19" s="117"/>
      <c r="C19" s="235"/>
      <c r="D19" s="117"/>
      <c r="E19" s="117"/>
      <c r="F19" s="117"/>
    </row>
    <row r="20">
      <c r="A20" s="117"/>
      <c r="B20" s="117"/>
      <c r="C20" s="235"/>
      <c r="D20" s="117"/>
      <c r="E20" s="117"/>
      <c r="F20" s="117"/>
    </row>
    <row r="21">
      <c r="A21" s="117"/>
      <c r="B21" s="117"/>
      <c r="C21" s="235"/>
      <c r="D21" s="117"/>
      <c r="E21" s="117"/>
      <c r="F21" s="117"/>
    </row>
    <row r="22">
      <c r="A22" s="117"/>
      <c r="B22" s="117"/>
      <c r="C22" s="235"/>
      <c r="D22" s="117"/>
      <c r="E22" s="117"/>
      <c r="F22" s="117"/>
    </row>
    <row r="23">
      <c r="A23" s="117"/>
      <c r="B23" s="117"/>
      <c r="C23" s="235"/>
      <c r="D23" s="117"/>
      <c r="E23" s="117"/>
      <c r="F23" s="117"/>
    </row>
    <row r="24">
      <c r="A24" s="117"/>
      <c r="B24" s="117"/>
      <c r="C24" s="235"/>
      <c r="D24" s="117"/>
      <c r="E24" s="117"/>
      <c r="F24" s="117"/>
    </row>
    <row r="25">
      <c r="A25" s="117"/>
      <c r="B25" s="117"/>
      <c r="C25" s="235"/>
      <c r="D25" s="117"/>
      <c r="E25" s="117"/>
      <c r="F25" s="117"/>
    </row>
    <row r="26">
      <c r="A26" s="117"/>
      <c r="B26" s="117"/>
      <c r="C26" s="235"/>
      <c r="D26" s="117"/>
      <c r="E26" s="117"/>
      <c r="F26" s="117"/>
    </row>
    <row r="27">
      <c r="A27" s="117"/>
      <c r="B27" s="117"/>
      <c r="C27" s="235"/>
      <c r="D27" s="117"/>
      <c r="E27" s="117"/>
      <c r="F27" s="117"/>
    </row>
    <row r="28">
      <c r="A28" s="117"/>
      <c r="B28" s="117"/>
      <c r="C28" s="235"/>
      <c r="D28" s="117"/>
      <c r="E28" s="117"/>
      <c r="F28" s="117"/>
    </row>
    <row r="29">
      <c r="A29" s="117"/>
      <c r="B29" s="117"/>
      <c r="C29" s="235"/>
      <c r="D29" s="117"/>
      <c r="E29" s="117"/>
      <c r="F29" s="117"/>
    </row>
    <row r="30">
      <c r="A30" s="117"/>
      <c r="B30" s="117"/>
      <c r="C30" s="235"/>
      <c r="D30" s="117"/>
      <c r="E30" s="117"/>
      <c r="F30" s="117"/>
    </row>
    <row r="31">
      <c r="A31" s="117"/>
      <c r="B31" s="117"/>
      <c r="C31" s="235"/>
      <c r="D31" s="117"/>
      <c r="E31" s="117"/>
      <c r="F31" s="117"/>
    </row>
    <row r="32">
      <c r="A32" s="117"/>
      <c r="B32" s="117"/>
      <c r="C32" s="235"/>
      <c r="D32" s="117"/>
      <c r="E32" s="117"/>
      <c r="F32" s="117"/>
    </row>
    <row r="33">
      <c r="A33" s="117"/>
      <c r="B33" s="117"/>
      <c r="C33" s="235"/>
      <c r="D33" s="117"/>
      <c r="E33" s="117"/>
      <c r="F33" s="117"/>
    </row>
    <row r="34">
      <c r="A34" s="117"/>
      <c r="B34" s="117"/>
      <c r="C34" s="235"/>
      <c r="D34" s="117"/>
      <c r="E34" s="117"/>
      <c r="F34" s="117"/>
    </row>
    <row r="35">
      <c r="A35" s="117"/>
      <c r="B35" s="117"/>
      <c r="C35" s="235"/>
      <c r="D35" s="117"/>
      <c r="E35" s="117"/>
      <c r="F35" s="117"/>
    </row>
    <row r="36">
      <c r="A36" s="117"/>
      <c r="B36" s="117"/>
      <c r="C36" s="235"/>
      <c r="D36" s="117"/>
      <c r="E36" s="117"/>
      <c r="F36" s="117"/>
    </row>
    <row r="37">
      <c r="A37" s="117"/>
      <c r="B37" s="117"/>
      <c r="C37" s="235"/>
      <c r="D37" s="117"/>
      <c r="E37" s="117"/>
      <c r="F37" s="117"/>
    </row>
    <row r="38">
      <c r="A38" s="117"/>
      <c r="B38" s="117"/>
      <c r="C38" s="235"/>
      <c r="D38" s="117"/>
      <c r="E38" s="117"/>
      <c r="F38" s="117"/>
    </row>
    <row r="39">
      <c r="A39" s="117"/>
      <c r="B39" s="117"/>
      <c r="C39" s="235"/>
      <c r="D39" s="117"/>
      <c r="E39" s="117"/>
      <c r="F39" s="117"/>
    </row>
    <row r="40">
      <c r="A40" s="117"/>
      <c r="B40" s="117"/>
      <c r="C40" s="235"/>
      <c r="D40" s="117"/>
      <c r="E40" s="117"/>
      <c r="F40" s="117"/>
    </row>
    <row r="41">
      <c r="A41" s="117"/>
      <c r="B41" s="117"/>
      <c r="C41" s="235"/>
      <c r="D41" s="117"/>
      <c r="E41" s="117"/>
      <c r="F41" s="117"/>
    </row>
    <row r="42">
      <c r="A42" s="117"/>
      <c r="B42" s="117"/>
      <c r="C42" s="235"/>
      <c r="D42" s="117"/>
      <c r="E42" s="117"/>
      <c r="F42" s="117"/>
    </row>
    <row r="43">
      <c r="A43" s="117"/>
      <c r="B43" s="117"/>
      <c r="C43" s="235"/>
      <c r="D43" s="117"/>
      <c r="E43" s="117"/>
      <c r="F43" s="117"/>
    </row>
    <row r="44">
      <c r="A44" s="117"/>
      <c r="B44" s="117"/>
      <c r="C44" s="235"/>
      <c r="D44" s="117"/>
      <c r="E44" s="117"/>
      <c r="F44" s="117"/>
    </row>
    <row r="45">
      <c r="A45" s="117"/>
      <c r="B45" s="117"/>
      <c r="C45" s="235"/>
      <c r="D45" s="117"/>
      <c r="E45" s="117"/>
      <c r="F45" s="117"/>
    </row>
    <row r="46">
      <c r="A46" s="117"/>
      <c r="B46" s="117"/>
      <c r="C46" s="235"/>
      <c r="D46" s="117"/>
      <c r="E46" s="117"/>
      <c r="F46" s="117"/>
    </row>
    <row r="47">
      <c r="A47" s="117"/>
      <c r="B47" s="117"/>
      <c r="C47" s="235"/>
      <c r="D47" s="117"/>
      <c r="E47" s="117"/>
      <c r="F47" s="117"/>
    </row>
    <row r="48">
      <c r="A48" s="117"/>
      <c r="B48" s="117"/>
      <c r="C48" s="235"/>
      <c r="D48" s="117"/>
      <c r="E48" s="117"/>
      <c r="F48" s="117"/>
    </row>
    <row r="49">
      <c r="A49" s="117"/>
      <c r="B49" s="117"/>
      <c r="C49" s="235"/>
      <c r="D49" s="117"/>
      <c r="E49" s="117"/>
      <c r="F49" s="117"/>
    </row>
    <row r="50">
      <c r="A50" s="117"/>
      <c r="B50" s="117"/>
      <c r="C50" s="235"/>
      <c r="D50" s="117"/>
      <c r="E50" s="117"/>
      <c r="F50" s="117"/>
    </row>
    <row r="51">
      <c r="A51" s="117"/>
      <c r="B51" s="117"/>
      <c r="C51" s="235"/>
      <c r="D51" s="117"/>
      <c r="E51" s="117"/>
      <c r="F51" s="117"/>
    </row>
    <row r="52">
      <c r="A52" s="117"/>
      <c r="B52" s="117"/>
      <c r="C52" s="235"/>
      <c r="D52" s="117"/>
      <c r="E52" s="117"/>
      <c r="F52" s="117"/>
    </row>
    <row r="53">
      <c r="A53" s="117"/>
      <c r="B53" s="117"/>
      <c r="C53" s="235"/>
      <c r="D53" s="117"/>
      <c r="E53" s="117"/>
      <c r="F53" s="117"/>
    </row>
    <row r="54">
      <c r="A54" s="117"/>
      <c r="B54" s="117"/>
      <c r="C54" s="235"/>
      <c r="D54" s="117"/>
      <c r="E54" s="117"/>
      <c r="F54" s="117"/>
    </row>
    <row r="55">
      <c r="A55" s="117"/>
      <c r="B55" s="117"/>
      <c r="C55" s="235"/>
      <c r="D55" s="117"/>
      <c r="E55" s="117"/>
      <c r="F55" s="117"/>
    </row>
    <row r="56">
      <c r="A56" s="117"/>
      <c r="B56" s="117"/>
      <c r="C56" s="235"/>
      <c r="D56" s="117"/>
      <c r="E56" s="117"/>
      <c r="F56" s="117"/>
    </row>
    <row r="57">
      <c r="A57" s="117"/>
      <c r="B57" s="117"/>
      <c r="C57" s="235"/>
      <c r="D57" s="117"/>
      <c r="E57" s="117"/>
      <c r="F57" s="117"/>
    </row>
    <row r="58">
      <c r="A58" s="117"/>
      <c r="B58" s="117"/>
      <c r="C58" s="235"/>
      <c r="D58" s="117"/>
      <c r="E58" s="117"/>
      <c r="F58" s="117"/>
    </row>
    <row r="59">
      <c r="A59" s="117"/>
      <c r="B59" s="117"/>
      <c r="C59" s="235"/>
      <c r="D59" s="117"/>
      <c r="E59" s="117"/>
      <c r="F59" s="117"/>
    </row>
    <row r="60">
      <c r="A60" s="117"/>
      <c r="B60" s="117"/>
      <c r="C60" s="235"/>
      <c r="D60" s="117"/>
      <c r="E60" s="117"/>
      <c r="F60" s="117"/>
    </row>
    <row r="61">
      <c r="A61" s="117"/>
      <c r="B61" s="117"/>
      <c r="C61" s="235"/>
      <c r="D61" s="117"/>
      <c r="E61" s="117"/>
      <c r="F61" s="117"/>
    </row>
    <row r="62">
      <c r="A62" s="117"/>
      <c r="B62" s="117"/>
      <c r="C62" s="235"/>
      <c r="D62" s="117"/>
      <c r="E62" s="117"/>
      <c r="F62" s="117"/>
    </row>
    <row r="63">
      <c r="A63" s="117"/>
      <c r="B63" s="117"/>
      <c r="C63" s="235"/>
      <c r="D63" s="117"/>
      <c r="E63" s="117"/>
      <c r="F63" s="117"/>
    </row>
    <row r="64">
      <c r="A64" s="117"/>
      <c r="B64" s="117"/>
      <c r="C64" s="235"/>
      <c r="D64" s="117"/>
      <c r="E64" s="117"/>
      <c r="F64" s="117"/>
    </row>
    <row r="65">
      <c r="A65" s="117"/>
      <c r="B65" s="117"/>
      <c r="C65" s="235"/>
      <c r="D65" s="117"/>
      <c r="E65" s="117"/>
      <c r="F65" s="117"/>
    </row>
    <row r="66">
      <c r="A66" s="117"/>
      <c r="B66" s="117"/>
      <c r="C66" s="235"/>
      <c r="D66" s="117"/>
      <c r="E66" s="117"/>
      <c r="F66" s="117"/>
    </row>
    <row r="67">
      <c r="A67" s="117"/>
      <c r="B67" s="117"/>
      <c r="C67" s="235"/>
      <c r="D67" s="117"/>
      <c r="E67" s="117"/>
      <c r="F67" s="117"/>
    </row>
    <row r="68">
      <c r="A68" s="117"/>
      <c r="B68" s="117"/>
      <c r="C68" s="235"/>
      <c r="D68" s="117"/>
      <c r="E68" s="117"/>
      <c r="F68" s="117"/>
    </row>
    <row r="69">
      <c r="A69" s="117"/>
      <c r="B69" s="117"/>
      <c r="C69" s="235"/>
      <c r="D69" s="117"/>
      <c r="E69" s="117"/>
      <c r="F69" s="117"/>
    </row>
    <row r="70">
      <c r="A70" s="117"/>
      <c r="B70" s="117"/>
      <c r="C70" s="235"/>
      <c r="D70" s="117"/>
      <c r="E70" s="117"/>
      <c r="F70" s="117"/>
    </row>
    <row r="71">
      <c r="A71" s="117"/>
      <c r="B71" s="117"/>
      <c r="C71" s="235"/>
      <c r="D71" s="117"/>
      <c r="E71" s="117"/>
      <c r="F71" s="117"/>
    </row>
    <row r="72">
      <c r="A72" s="117"/>
      <c r="B72" s="117"/>
      <c r="C72" s="235"/>
      <c r="D72" s="117"/>
      <c r="E72" s="117"/>
      <c r="F72" s="117"/>
    </row>
    <row r="73">
      <c r="A73" s="117"/>
      <c r="B73" s="117"/>
      <c r="C73" s="235"/>
      <c r="D73" s="117"/>
      <c r="E73" s="117"/>
      <c r="F73" s="117"/>
    </row>
    <row r="74">
      <c r="A74" s="117"/>
      <c r="B74" s="117"/>
      <c r="C74" s="235"/>
      <c r="D74" s="117"/>
      <c r="E74" s="117"/>
      <c r="F74" s="117"/>
    </row>
    <row r="75">
      <c r="A75" s="117"/>
      <c r="B75" s="117"/>
      <c r="C75" s="235"/>
      <c r="D75" s="117"/>
      <c r="E75" s="117"/>
      <c r="F75" s="117"/>
    </row>
    <row r="76">
      <c r="A76" s="117"/>
      <c r="B76" s="117"/>
      <c r="C76" s="235"/>
      <c r="D76" s="117"/>
      <c r="E76" s="117"/>
      <c r="F76" s="117"/>
    </row>
    <row r="77">
      <c r="A77" s="117"/>
      <c r="B77" s="117"/>
      <c r="C77" s="235"/>
      <c r="D77" s="117"/>
      <c r="E77" s="117"/>
      <c r="F77" s="117"/>
    </row>
    <row r="78">
      <c r="A78" s="117"/>
      <c r="B78" s="117"/>
      <c r="C78" s="235"/>
      <c r="D78" s="117"/>
      <c r="E78" s="117"/>
      <c r="F78" s="117"/>
    </row>
    <row r="79">
      <c r="A79" s="117"/>
      <c r="B79" s="117"/>
      <c r="C79" s="235"/>
      <c r="D79" s="117"/>
      <c r="E79" s="117"/>
      <c r="F79" s="117"/>
    </row>
    <row r="80">
      <c r="A80" s="117"/>
      <c r="B80" s="117"/>
      <c r="C80" s="235"/>
      <c r="D80" s="117"/>
      <c r="E80" s="117"/>
      <c r="F80" s="117"/>
    </row>
    <row r="81">
      <c r="A81" s="117"/>
      <c r="B81" s="117"/>
      <c r="C81" s="235"/>
      <c r="D81" s="117"/>
      <c r="E81" s="117"/>
      <c r="F81" s="117"/>
    </row>
    <row r="82">
      <c r="A82" s="117"/>
      <c r="B82" s="117"/>
      <c r="C82" s="235"/>
      <c r="D82" s="117"/>
      <c r="E82" s="117"/>
      <c r="F82" s="117"/>
    </row>
    <row r="83">
      <c r="A83" s="117"/>
      <c r="B83" s="117"/>
      <c r="C83" s="235"/>
      <c r="D83" s="117"/>
      <c r="E83" s="117"/>
      <c r="F83" s="117"/>
    </row>
    <row r="84">
      <c r="A84" s="117"/>
      <c r="B84" s="117"/>
      <c r="C84" s="235"/>
      <c r="D84" s="117"/>
      <c r="E84" s="117"/>
      <c r="F84" s="117"/>
    </row>
    <row r="85">
      <c r="A85" s="117"/>
      <c r="B85" s="117"/>
      <c r="C85" s="235"/>
      <c r="D85" s="117"/>
      <c r="E85" s="117"/>
      <c r="F85" s="117"/>
    </row>
    <row r="86">
      <c r="A86" s="117"/>
      <c r="B86" s="117"/>
      <c r="C86" s="235"/>
      <c r="D86" s="117"/>
      <c r="E86" s="117"/>
      <c r="F86" s="117"/>
    </row>
    <row r="87">
      <c r="A87" s="117"/>
      <c r="B87" s="117"/>
      <c r="C87" s="235"/>
      <c r="D87" s="117"/>
      <c r="E87" s="117"/>
      <c r="F87" s="117"/>
    </row>
    <row r="88">
      <c r="A88" s="117"/>
      <c r="B88" s="117"/>
      <c r="C88" s="235"/>
      <c r="D88" s="117"/>
      <c r="E88" s="117"/>
      <c r="F88" s="117"/>
    </row>
    <row r="89">
      <c r="A89" s="117"/>
      <c r="B89" s="117"/>
      <c r="C89" s="235"/>
      <c r="D89" s="117"/>
      <c r="E89" s="117"/>
      <c r="F89" s="117"/>
    </row>
    <row r="90">
      <c r="A90" s="117"/>
      <c r="B90" s="117"/>
      <c r="C90" s="235"/>
      <c r="D90" s="117"/>
      <c r="E90" s="117"/>
      <c r="F90" s="117"/>
    </row>
    <row r="91">
      <c r="A91" s="117"/>
      <c r="B91" s="117"/>
      <c r="C91" s="235"/>
      <c r="D91" s="117"/>
      <c r="E91" s="117"/>
      <c r="F91" s="117"/>
    </row>
    <row r="92">
      <c r="A92" s="117"/>
      <c r="B92" s="117"/>
      <c r="C92" s="235"/>
      <c r="D92" s="117"/>
      <c r="E92" s="117"/>
      <c r="F92" s="117"/>
    </row>
    <row r="93">
      <c r="A93" s="117"/>
      <c r="B93" s="117"/>
      <c r="C93" s="235"/>
      <c r="D93" s="117"/>
      <c r="E93" s="117"/>
      <c r="F93" s="117"/>
    </row>
    <row r="94">
      <c r="A94" s="117"/>
      <c r="B94" s="117"/>
      <c r="C94" s="235"/>
      <c r="D94" s="117"/>
      <c r="E94" s="117"/>
      <c r="F94" s="117"/>
    </row>
    <row r="95">
      <c r="A95" s="117"/>
      <c r="B95" s="117"/>
      <c r="C95" s="235"/>
      <c r="D95" s="117"/>
      <c r="E95" s="117"/>
      <c r="F95" s="117"/>
    </row>
    <row r="96">
      <c r="A96" s="117"/>
      <c r="B96" s="117"/>
      <c r="C96" s="235"/>
      <c r="D96" s="117"/>
      <c r="E96" s="117"/>
      <c r="F96" s="117"/>
    </row>
    <row r="97">
      <c r="A97" s="117"/>
      <c r="B97" s="117"/>
      <c r="C97" s="235"/>
      <c r="D97" s="117"/>
      <c r="E97" s="117"/>
      <c r="F97" s="117"/>
    </row>
    <row r="98">
      <c r="A98" s="117"/>
      <c r="B98" s="117"/>
      <c r="C98" s="235"/>
      <c r="D98" s="117"/>
      <c r="E98" s="117"/>
      <c r="F98" s="117"/>
    </row>
    <row r="99">
      <c r="A99" s="117"/>
      <c r="B99" s="117"/>
      <c r="C99" s="235"/>
      <c r="D99" s="117"/>
      <c r="E99" s="117"/>
      <c r="F99" s="117"/>
    </row>
    <row r="100">
      <c r="A100" s="117"/>
      <c r="B100" s="117"/>
      <c r="C100" s="235"/>
      <c r="D100" s="117"/>
      <c r="E100" s="117"/>
      <c r="F100" s="117"/>
    </row>
    <row r="101">
      <c r="A101" s="117"/>
      <c r="B101" s="117"/>
      <c r="C101" s="235"/>
      <c r="D101" s="117"/>
      <c r="E101" s="117"/>
      <c r="F101" s="117"/>
    </row>
    <row r="102">
      <c r="A102" s="117"/>
      <c r="B102" s="117"/>
      <c r="C102" s="235"/>
      <c r="D102" s="117"/>
      <c r="E102" s="117"/>
      <c r="F102" s="117"/>
    </row>
    <row r="103">
      <c r="A103" s="117"/>
      <c r="B103" s="117"/>
      <c r="C103" s="235"/>
      <c r="D103" s="117"/>
      <c r="E103" s="117"/>
      <c r="F103" s="117"/>
    </row>
    <row r="104">
      <c r="A104" s="117"/>
      <c r="B104" s="117"/>
      <c r="C104" s="235"/>
      <c r="D104" s="117"/>
      <c r="E104" s="117"/>
      <c r="F104" s="117"/>
    </row>
    <row r="105">
      <c r="A105" s="117"/>
      <c r="B105" s="117"/>
      <c r="C105" s="235"/>
      <c r="D105" s="117"/>
      <c r="E105" s="117"/>
      <c r="F105" s="117"/>
    </row>
    <row r="106">
      <c r="A106" s="117"/>
      <c r="B106" s="117"/>
      <c r="C106" s="235"/>
      <c r="D106" s="117"/>
      <c r="E106" s="117"/>
      <c r="F106" s="117"/>
    </row>
    <row r="107">
      <c r="A107" s="117"/>
      <c r="B107" s="117"/>
      <c r="C107" s="235"/>
      <c r="D107" s="117"/>
      <c r="E107" s="117"/>
      <c r="F107" s="117"/>
    </row>
    <row r="108">
      <c r="A108" s="117"/>
      <c r="B108" s="117"/>
      <c r="C108" s="235"/>
      <c r="D108" s="117"/>
      <c r="E108" s="117"/>
      <c r="F108" s="117"/>
    </row>
    <row r="109">
      <c r="A109" s="117"/>
      <c r="B109" s="117"/>
      <c r="C109" s="235"/>
      <c r="D109" s="117"/>
      <c r="E109" s="117"/>
      <c r="F109" s="117"/>
    </row>
    <row r="110">
      <c r="A110" s="117"/>
      <c r="B110" s="117"/>
      <c r="C110" s="235"/>
      <c r="D110" s="117"/>
      <c r="E110" s="117"/>
      <c r="F110" s="117"/>
    </row>
    <row r="111">
      <c r="A111" s="117"/>
      <c r="B111" s="117"/>
      <c r="C111" s="235"/>
      <c r="D111" s="117"/>
      <c r="E111" s="117"/>
      <c r="F111" s="117"/>
    </row>
    <row r="112">
      <c r="A112" s="117"/>
      <c r="B112" s="117"/>
      <c r="C112" s="235"/>
      <c r="D112" s="117"/>
      <c r="E112" s="117"/>
      <c r="F112" s="117"/>
    </row>
    <row r="113">
      <c r="A113" s="117"/>
      <c r="B113" s="117"/>
      <c r="C113" s="235"/>
      <c r="D113" s="117"/>
      <c r="E113" s="117"/>
      <c r="F113" s="117"/>
    </row>
    <row r="114">
      <c r="A114" s="117"/>
      <c r="B114" s="117"/>
      <c r="C114" s="235"/>
      <c r="D114" s="117"/>
      <c r="E114" s="117"/>
      <c r="F114" s="117"/>
    </row>
    <row r="115">
      <c r="A115" s="117"/>
      <c r="B115" s="117"/>
      <c r="C115" s="235"/>
      <c r="D115" s="117"/>
      <c r="E115" s="117"/>
      <c r="F115" s="117"/>
    </row>
    <row r="116">
      <c r="A116" s="117"/>
      <c r="B116" s="117"/>
      <c r="C116" s="235"/>
      <c r="D116" s="117"/>
      <c r="E116" s="117"/>
      <c r="F116" s="117"/>
    </row>
    <row r="117">
      <c r="A117" s="117"/>
      <c r="B117" s="117"/>
      <c r="C117" s="235"/>
      <c r="D117" s="117"/>
      <c r="E117" s="117"/>
      <c r="F117" s="117"/>
    </row>
    <row r="118">
      <c r="A118" s="117"/>
      <c r="B118" s="117"/>
      <c r="C118" s="235"/>
      <c r="D118" s="117"/>
      <c r="E118" s="117"/>
      <c r="F118" s="117"/>
    </row>
    <row r="119">
      <c r="A119" s="117"/>
      <c r="B119" s="117"/>
      <c r="C119" s="235"/>
      <c r="D119" s="117"/>
      <c r="E119" s="117"/>
      <c r="F119" s="117"/>
    </row>
    <row r="120">
      <c r="A120" s="117"/>
      <c r="B120" s="117"/>
      <c r="C120" s="235"/>
      <c r="D120" s="117"/>
      <c r="E120" s="117"/>
      <c r="F120" s="117"/>
    </row>
    <row r="121">
      <c r="A121" s="117"/>
      <c r="B121" s="117"/>
      <c r="C121" s="235"/>
      <c r="D121" s="117"/>
      <c r="E121" s="117"/>
      <c r="F121" s="117"/>
    </row>
    <row r="122">
      <c r="A122" s="117"/>
      <c r="B122" s="117"/>
      <c r="C122" s="235"/>
      <c r="D122" s="117"/>
      <c r="E122" s="117"/>
      <c r="F122" s="117"/>
    </row>
    <row r="123">
      <c r="A123" s="117"/>
      <c r="B123" s="117"/>
      <c r="C123" s="235"/>
      <c r="D123" s="117"/>
      <c r="E123" s="117"/>
      <c r="F123" s="117"/>
    </row>
    <row r="124">
      <c r="A124" s="117"/>
      <c r="B124" s="117"/>
      <c r="C124" s="235"/>
      <c r="D124" s="117"/>
      <c r="E124" s="117"/>
      <c r="F124" s="117"/>
    </row>
    <row r="125">
      <c r="A125" s="117"/>
      <c r="B125" s="117"/>
      <c r="C125" s="235"/>
      <c r="D125" s="117"/>
      <c r="E125" s="117"/>
      <c r="F125" s="117"/>
    </row>
    <row r="126">
      <c r="A126" s="117"/>
      <c r="B126" s="117"/>
      <c r="C126" s="235"/>
      <c r="D126" s="117"/>
      <c r="E126" s="117"/>
      <c r="F126" s="117"/>
    </row>
    <row r="127">
      <c r="A127" s="117"/>
      <c r="B127" s="117"/>
      <c r="C127" s="235"/>
      <c r="D127" s="117"/>
      <c r="E127" s="117"/>
      <c r="F127" s="117"/>
    </row>
    <row r="128">
      <c r="A128" s="117"/>
      <c r="B128" s="117"/>
      <c r="C128" s="235"/>
      <c r="D128" s="117"/>
      <c r="E128" s="117"/>
      <c r="F128" s="117"/>
    </row>
    <row r="129">
      <c r="A129" s="117"/>
      <c r="B129" s="117"/>
      <c r="C129" s="235"/>
      <c r="D129" s="117"/>
      <c r="E129" s="117"/>
      <c r="F129" s="117"/>
    </row>
    <row r="130">
      <c r="A130" s="117"/>
      <c r="B130" s="117"/>
      <c r="C130" s="235"/>
      <c r="D130" s="117"/>
      <c r="E130" s="117"/>
      <c r="F130" s="117"/>
    </row>
    <row r="131">
      <c r="A131" s="117"/>
      <c r="B131" s="117"/>
      <c r="C131" s="235"/>
      <c r="D131" s="117"/>
      <c r="E131" s="117"/>
      <c r="F131" s="117"/>
    </row>
    <row r="132">
      <c r="A132" s="117"/>
      <c r="B132" s="117"/>
      <c r="C132" s="235"/>
      <c r="D132" s="117"/>
      <c r="E132" s="117"/>
      <c r="F132" s="117"/>
    </row>
    <row r="133">
      <c r="A133" s="117"/>
      <c r="B133" s="117"/>
      <c r="C133" s="235"/>
      <c r="D133" s="117"/>
      <c r="E133" s="117"/>
      <c r="F133" s="117"/>
    </row>
    <row r="134">
      <c r="A134" s="117"/>
      <c r="B134" s="117"/>
      <c r="C134" s="235"/>
      <c r="D134" s="117"/>
      <c r="E134" s="117"/>
      <c r="F134" s="117"/>
    </row>
    <row r="135">
      <c r="A135" s="117"/>
      <c r="B135" s="117"/>
      <c r="C135" s="235"/>
      <c r="D135" s="117"/>
      <c r="E135" s="117"/>
      <c r="F135" s="117"/>
    </row>
    <row r="136">
      <c r="A136" s="117"/>
      <c r="B136" s="117"/>
      <c r="C136" s="235"/>
      <c r="D136" s="117"/>
      <c r="E136" s="117"/>
      <c r="F136" s="117"/>
    </row>
    <row r="137">
      <c r="A137" s="117"/>
      <c r="B137" s="117"/>
      <c r="C137" s="235"/>
      <c r="D137" s="117"/>
      <c r="E137" s="117"/>
      <c r="F137" s="117"/>
    </row>
    <row r="138">
      <c r="A138" s="117"/>
      <c r="B138" s="117"/>
      <c r="C138" s="235"/>
      <c r="D138" s="117"/>
      <c r="E138" s="117"/>
      <c r="F138" s="117"/>
    </row>
    <row r="139">
      <c r="A139" s="117"/>
      <c r="B139" s="117"/>
      <c r="C139" s="235"/>
      <c r="D139" s="117"/>
      <c r="E139" s="117"/>
      <c r="F139" s="117"/>
    </row>
    <row r="140">
      <c r="A140" s="117"/>
      <c r="B140" s="117"/>
      <c r="C140" s="235"/>
      <c r="D140" s="117"/>
      <c r="E140" s="117"/>
      <c r="F140" s="117"/>
    </row>
    <row r="141">
      <c r="A141" s="117"/>
      <c r="B141" s="117"/>
      <c r="C141" s="235"/>
      <c r="D141" s="117"/>
      <c r="E141" s="117"/>
      <c r="F141" s="117"/>
    </row>
    <row r="142">
      <c r="A142" s="117"/>
      <c r="B142" s="117"/>
      <c r="C142" s="235"/>
      <c r="D142" s="117"/>
      <c r="E142" s="117"/>
      <c r="F142" s="117"/>
    </row>
    <row r="143">
      <c r="A143" s="117"/>
      <c r="B143" s="117"/>
      <c r="C143" s="235"/>
      <c r="D143" s="117"/>
      <c r="E143" s="117"/>
      <c r="F143" s="117"/>
    </row>
    <row r="144">
      <c r="A144" s="117"/>
      <c r="B144" s="117"/>
      <c r="C144" s="235"/>
      <c r="D144" s="117"/>
      <c r="E144" s="117"/>
      <c r="F144" s="117"/>
    </row>
    <row r="145">
      <c r="A145" s="117"/>
      <c r="B145" s="117"/>
      <c r="C145" s="235"/>
      <c r="D145" s="117"/>
      <c r="E145" s="117"/>
      <c r="F145" s="117"/>
    </row>
    <row r="146">
      <c r="A146" s="117"/>
      <c r="B146" s="117"/>
      <c r="C146" s="235"/>
      <c r="D146" s="117"/>
      <c r="E146" s="117"/>
      <c r="F146" s="117"/>
    </row>
    <row r="147">
      <c r="A147" s="117"/>
      <c r="B147" s="117"/>
      <c r="C147" s="235"/>
      <c r="D147" s="117"/>
      <c r="E147" s="117"/>
      <c r="F147" s="117"/>
    </row>
    <row r="148">
      <c r="A148" s="117"/>
      <c r="B148" s="117"/>
      <c r="C148" s="235"/>
      <c r="D148" s="117"/>
      <c r="E148" s="117"/>
      <c r="F148" s="117"/>
    </row>
    <row r="149">
      <c r="A149" s="117"/>
      <c r="B149" s="117"/>
      <c r="C149" s="235"/>
      <c r="D149" s="117"/>
      <c r="E149" s="117"/>
      <c r="F149" s="117"/>
    </row>
    <row r="150">
      <c r="A150" s="117"/>
      <c r="B150" s="117"/>
      <c r="C150" s="235"/>
      <c r="D150" s="117"/>
      <c r="E150" s="117"/>
      <c r="F150" s="117"/>
    </row>
    <row r="151">
      <c r="A151" s="117"/>
      <c r="B151" s="117"/>
      <c r="C151" s="235"/>
      <c r="D151" s="117"/>
      <c r="E151" s="117"/>
      <c r="F151" s="117"/>
    </row>
    <row r="152">
      <c r="A152" s="117"/>
      <c r="B152" s="117"/>
      <c r="C152" s="235"/>
      <c r="D152" s="117"/>
      <c r="E152" s="117"/>
      <c r="F152" s="117"/>
    </row>
    <row r="153">
      <c r="A153" s="117"/>
      <c r="B153" s="117"/>
      <c r="C153" s="235"/>
      <c r="D153" s="117"/>
      <c r="E153" s="117"/>
      <c r="F153" s="117"/>
    </row>
    <row r="154">
      <c r="A154" s="117"/>
      <c r="B154" s="117"/>
      <c r="C154" s="235"/>
      <c r="D154" s="117"/>
      <c r="E154" s="117"/>
      <c r="F154" s="117"/>
    </row>
    <row r="155">
      <c r="A155" s="117"/>
      <c r="B155" s="117"/>
      <c r="C155" s="235"/>
      <c r="D155" s="117"/>
      <c r="E155" s="117"/>
      <c r="F155" s="117"/>
    </row>
    <row r="156">
      <c r="A156" s="117"/>
      <c r="B156" s="117"/>
      <c r="C156" s="235"/>
      <c r="D156" s="117"/>
      <c r="E156" s="117"/>
      <c r="F156" s="117"/>
    </row>
    <row r="157">
      <c r="A157" s="117"/>
      <c r="B157" s="117"/>
      <c r="C157" s="235"/>
      <c r="D157" s="117"/>
      <c r="E157" s="117"/>
      <c r="F157" s="117"/>
    </row>
    <row r="158">
      <c r="A158" s="117"/>
      <c r="B158" s="117"/>
      <c r="C158" s="235"/>
      <c r="D158" s="117"/>
      <c r="E158" s="117"/>
      <c r="F158" s="117"/>
    </row>
    <row r="159">
      <c r="A159" s="117"/>
      <c r="B159" s="117"/>
      <c r="C159" s="235"/>
      <c r="D159" s="117"/>
      <c r="E159" s="117"/>
      <c r="F159" s="117"/>
    </row>
    <row r="160">
      <c r="A160" s="117"/>
      <c r="B160" s="117"/>
      <c r="C160" s="235"/>
      <c r="D160" s="117"/>
      <c r="E160" s="117"/>
      <c r="F160" s="117"/>
    </row>
    <row r="161">
      <c r="A161" s="117"/>
      <c r="B161" s="117"/>
      <c r="C161" s="235"/>
      <c r="D161" s="117"/>
      <c r="E161" s="117"/>
      <c r="F161" s="117"/>
    </row>
    <row r="162">
      <c r="A162" s="117"/>
      <c r="B162" s="117"/>
      <c r="C162" s="235"/>
      <c r="D162" s="117"/>
      <c r="E162" s="117"/>
      <c r="F162" s="117"/>
    </row>
    <row r="163">
      <c r="A163" s="117"/>
      <c r="B163" s="117"/>
      <c r="C163" s="235"/>
      <c r="D163" s="117"/>
      <c r="E163" s="117"/>
      <c r="F163" s="117"/>
    </row>
    <row r="164">
      <c r="A164" s="117"/>
      <c r="B164" s="117"/>
      <c r="C164" s="235"/>
      <c r="D164" s="117"/>
      <c r="E164" s="117"/>
      <c r="F164" s="117"/>
    </row>
    <row r="165">
      <c r="A165" s="117"/>
      <c r="B165" s="117"/>
      <c r="C165" s="235"/>
      <c r="D165" s="117"/>
      <c r="E165" s="117"/>
      <c r="F165" s="117"/>
    </row>
    <row r="166">
      <c r="A166" s="117"/>
      <c r="B166" s="117"/>
      <c r="C166" s="235"/>
      <c r="D166" s="117"/>
      <c r="E166" s="117"/>
      <c r="F166" s="117"/>
    </row>
    <row r="167">
      <c r="A167" s="117"/>
      <c r="B167" s="117"/>
      <c r="C167" s="235"/>
      <c r="D167" s="117"/>
      <c r="E167" s="117"/>
      <c r="F167" s="117"/>
    </row>
    <row r="168">
      <c r="A168" s="117"/>
      <c r="B168" s="117"/>
      <c r="C168" s="235"/>
      <c r="D168" s="117"/>
      <c r="E168" s="117"/>
      <c r="F168" s="117"/>
    </row>
    <row r="169">
      <c r="A169" s="117"/>
      <c r="B169" s="117"/>
      <c r="C169" s="235"/>
      <c r="D169" s="117"/>
      <c r="E169" s="117"/>
      <c r="F169" s="117"/>
    </row>
    <row r="170">
      <c r="A170" s="117"/>
      <c r="B170" s="117"/>
      <c r="C170" s="235"/>
      <c r="D170" s="117"/>
      <c r="E170" s="117"/>
      <c r="F170" s="117"/>
    </row>
    <row r="171">
      <c r="A171" s="117"/>
      <c r="B171" s="117"/>
      <c r="C171" s="235"/>
      <c r="D171" s="117"/>
      <c r="E171" s="117"/>
      <c r="F171" s="117"/>
    </row>
    <row r="172">
      <c r="A172" s="117"/>
      <c r="B172" s="117"/>
      <c r="C172" s="235"/>
      <c r="D172" s="117"/>
      <c r="E172" s="117"/>
      <c r="F172" s="117"/>
    </row>
    <row r="173">
      <c r="A173" s="117"/>
      <c r="B173" s="117"/>
      <c r="C173" s="235"/>
      <c r="D173" s="117"/>
      <c r="E173" s="117"/>
      <c r="F173" s="117"/>
    </row>
    <row r="174">
      <c r="A174" s="117"/>
      <c r="B174" s="117"/>
      <c r="C174" s="235"/>
      <c r="D174" s="117"/>
      <c r="E174" s="117"/>
      <c r="F174" s="117"/>
    </row>
    <row r="175">
      <c r="A175" s="117"/>
      <c r="B175" s="117"/>
      <c r="C175" s="235"/>
      <c r="D175" s="117"/>
      <c r="E175" s="117"/>
      <c r="F175" s="117"/>
    </row>
    <row r="176">
      <c r="A176" s="117"/>
      <c r="B176" s="117"/>
      <c r="C176" s="235"/>
      <c r="D176" s="117"/>
      <c r="E176" s="117"/>
      <c r="F176" s="117"/>
    </row>
    <row r="177">
      <c r="A177" s="117"/>
      <c r="B177" s="117"/>
      <c r="C177" s="235"/>
      <c r="D177" s="117"/>
      <c r="E177" s="117"/>
      <c r="F177" s="117"/>
    </row>
    <row r="178">
      <c r="A178" s="117"/>
      <c r="B178" s="117"/>
      <c r="C178" s="235"/>
      <c r="D178" s="117"/>
      <c r="E178" s="117"/>
      <c r="F178" s="117"/>
    </row>
    <row r="179">
      <c r="A179" s="117"/>
      <c r="B179" s="117"/>
      <c r="C179" s="235"/>
      <c r="D179" s="117"/>
      <c r="E179" s="117"/>
      <c r="F179" s="117"/>
    </row>
    <row r="180">
      <c r="A180" s="117"/>
      <c r="B180" s="117"/>
      <c r="C180" s="235"/>
      <c r="D180" s="117"/>
      <c r="E180" s="117"/>
      <c r="F180" s="117"/>
    </row>
    <row r="181">
      <c r="A181" s="117"/>
      <c r="B181" s="117"/>
      <c r="C181" s="235"/>
      <c r="D181" s="117"/>
      <c r="E181" s="117"/>
      <c r="F181" s="117"/>
    </row>
    <row r="182">
      <c r="A182" s="117"/>
      <c r="B182" s="117"/>
      <c r="C182" s="235"/>
      <c r="D182" s="117"/>
      <c r="E182" s="117"/>
      <c r="F182" s="117"/>
    </row>
    <row r="183">
      <c r="A183" s="117"/>
      <c r="B183" s="117"/>
      <c r="C183" s="235"/>
      <c r="D183" s="117"/>
      <c r="E183" s="117"/>
      <c r="F183" s="117"/>
    </row>
    <row r="184">
      <c r="A184" s="117"/>
      <c r="B184" s="117"/>
      <c r="C184" s="235"/>
      <c r="D184" s="117"/>
      <c r="E184" s="117"/>
      <c r="F184" s="117"/>
    </row>
    <row r="185">
      <c r="A185" s="117"/>
      <c r="B185" s="117"/>
      <c r="C185" s="235"/>
      <c r="D185" s="117"/>
      <c r="E185" s="117"/>
      <c r="F185" s="117"/>
    </row>
    <row r="186">
      <c r="A186" s="117"/>
      <c r="B186" s="117"/>
      <c r="C186" s="235"/>
      <c r="D186" s="117"/>
      <c r="E186" s="117"/>
      <c r="F186" s="117"/>
    </row>
    <row r="187">
      <c r="A187" s="117"/>
      <c r="B187" s="117"/>
      <c r="C187" s="235"/>
      <c r="D187" s="117"/>
      <c r="E187" s="117"/>
      <c r="F187" s="117"/>
    </row>
    <row r="188">
      <c r="A188" s="117"/>
      <c r="B188" s="117"/>
      <c r="C188" s="235"/>
      <c r="D188" s="117"/>
      <c r="E188" s="117"/>
      <c r="F188" s="117"/>
    </row>
    <row r="189">
      <c r="A189" s="117"/>
      <c r="B189" s="117"/>
      <c r="C189" s="235"/>
      <c r="D189" s="117"/>
      <c r="E189" s="117"/>
      <c r="F189" s="117"/>
    </row>
    <row r="190">
      <c r="A190" s="117"/>
      <c r="B190" s="117"/>
      <c r="C190" s="235"/>
      <c r="D190" s="117"/>
      <c r="E190" s="117"/>
      <c r="F190" s="117"/>
    </row>
    <row r="191">
      <c r="A191" s="117"/>
      <c r="B191" s="117"/>
      <c r="C191" s="235"/>
      <c r="D191" s="117"/>
      <c r="E191" s="117"/>
      <c r="F191" s="117"/>
    </row>
    <row r="192">
      <c r="A192" s="117"/>
      <c r="B192" s="117"/>
      <c r="C192" s="235"/>
      <c r="D192" s="117"/>
      <c r="E192" s="117"/>
      <c r="F192" s="117"/>
    </row>
    <row r="193">
      <c r="A193" s="117"/>
      <c r="B193" s="117"/>
      <c r="C193" s="235"/>
      <c r="D193" s="117"/>
      <c r="E193" s="117"/>
      <c r="F193" s="117"/>
    </row>
    <row r="194">
      <c r="A194" s="117"/>
      <c r="B194" s="117"/>
      <c r="C194" s="235"/>
      <c r="D194" s="117"/>
      <c r="E194" s="117"/>
      <c r="F194" s="117"/>
    </row>
    <row r="195">
      <c r="A195" s="117"/>
      <c r="B195" s="117"/>
      <c r="C195" s="235"/>
      <c r="D195" s="117"/>
      <c r="E195" s="117"/>
      <c r="F195" s="117"/>
    </row>
    <row r="196">
      <c r="A196" s="117"/>
      <c r="B196" s="117"/>
      <c r="C196" s="235"/>
      <c r="D196" s="117"/>
      <c r="E196" s="117"/>
      <c r="F196" s="117"/>
    </row>
    <row r="197">
      <c r="A197" s="117"/>
      <c r="B197" s="117"/>
      <c r="C197" s="235"/>
      <c r="D197" s="117"/>
      <c r="E197" s="117"/>
      <c r="F197" s="117"/>
    </row>
    <row r="198">
      <c r="A198" s="117"/>
      <c r="B198" s="117"/>
      <c r="C198" s="235"/>
      <c r="D198" s="117"/>
      <c r="E198" s="117"/>
      <c r="F198" s="117"/>
    </row>
    <row r="199">
      <c r="A199" s="117"/>
      <c r="B199" s="117"/>
      <c r="C199" s="235"/>
      <c r="D199" s="117"/>
      <c r="E199" s="117"/>
      <c r="F199" s="117"/>
    </row>
    <row r="200">
      <c r="A200" s="117"/>
      <c r="B200" s="117"/>
      <c r="C200" s="235"/>
      <c r="D200" s="117"/>
      <c r="E200" s="117"/>
      <c r="F200" s="117"/>
    </row>
    <row r="201">
      <c r="A201" s="117"/>
      <c r="B201" s="117"/>
      <c r="C201" s="235"/>
      <c r="D201" s="117"/>
      <c r="E201" s="117"/>
      <c r="F201" s="117"/>
    </row>
    <row r="202">
      <c r="A202" s="117"/>
      <c r="B202" s="117"/>
      <c r="C202" s="235"/>
      <c r="D202" s="117"/>
      <c r="E202" s="117"/>
      <c r="F202" s="117"/>
    </row>
    <row r="203">
      <c r="A203" s="117"/>
      <c r="B203" s="117"/>
      <c r="C203" s="235"/>
      <c r="D203" s="117"/>
      <c r="E203" s="117"/>
      <c r="F203" s="117"/>
    </row>
    <row r="204">
      <c r="A204" s="117"/>
      <c r="B204" s="117"/>
      <c r="C204" s="235"/>
      <c r="D204" s="117"/>
      <c r="E204" s="117"/>
      <c r="F204" s="117"/>
    </row>
    <row r="205">
      <c r="A205" s="117"/>
      <c r="B205" s="117"/>
      <c r="C205" s="235"/>
      <c r="D205" s="117"/>
      <c r="E205" s="117"/>
      <c r="F205" s="117"/>
    </row>
    <row r="206">
      <c r="A206" s="117"/>
      <c r="B206" s="117"/>
      <c r="C206" s="235"/>
      <c r="D206" s="117"/>
      <c r="E206" s="117"/>
      <c r="F206" s="117"/>
    </row>
    <row r="207">
      <c r="A207" s="117"/>
      <c r="B207" s="117"/>
      <c r="C207" s="235"/>
      <c r="D207" s="117"/>
      <c r="E207" s="117"/>
      <c r="F207" s="117"/>
    </row>
    <row r="208">
      <c r="A208" s="117"/>
      <c r="B208" s="117"/>
      <c r="C208" s="235"/>
      <c r="D208" s="117"/>
      <c r="E208" s="117"/>
      <c r="F208" s="117"/>
    </row>
    <row r="209">
      <c r="A209" s="117"/>
      <c r="B209" s="117"/>
      <c r="C209" s="235"/>
      <c r="D209" s="117"/>
      <c r="E209" s="117"/>
      <c r="F209" s="117"/>
    </row>
    <row r="210">
      <c r="A210" s="117"/>
      <c r="B210" s="117"/>
      <c r="C210" s="235"/>
      <c r="D210" s="117"/>
      <c r="E210" s="117"/>
      <c r="F210" s="117"/>
    </row>
    <row r="211">
      <c r="A211" s="117"/>
      <c r="B211" s="117"/>
      <c r="C211" s="235"/>
      <c r="D211" s="117"/>
      <c r="E211" s="117"/>
      <c r="F211" s="117"/>
    </row>
    <row r="212">
      <c r="A212" s="117"/>
      <c r="B212" s="117"/>
      <c r="C212" s="235"/>
      <c r="D212" s="117"/>
      <c r="E212" s="117"/>
      <c r="F212" s="117"/>
    </row>
    <row r="213">
      <c r="A213" s="117"/>
      <c r="B213" s="117"/>
      <c r="C213" s="235"/>
      <c r="D213" s="117"/>
      <c r="E213" s="117"/>
      <c r="F213" s="117"/>
    </row>
    <row r="214">
      <c r="A214" s="117"/>
      <c r="B214" s="117"/>
      <c r="C214" s="235"/>
      <c r="D214" s="117"/>
      <c r="E214" s="117"/>
      <c r="F214" s="117"/>
    </row>
    <row r="215">
      <c r="A215" s="117"/>
      <c r="B215" s="117"/>
      <c r="C215" s="235"/>
      <c r="D215" s="117"/>
      <c r="E215" s="117"/>
      <c r="F215" s="117"/>
    </row>
    <row r="216">
      <c r="A216" s="117"/>
      <c r="B216" s="117"/>
      <c r="C216" s="235"/>
      <c r="D216" s="117"/>
      <c r="E216" s="117"/>
      <c r="F216" s="117"/>
    </row>
    <row r="217">
      <c r="A217" s="117"/>
      <c r="B217" s="117"/>
      <c r="C217" s="235"/>
      <c r="D217" s="117"/>
      <c r="E217" s="117"/>
      <c r="F217" s="117"/>
    </row>
    <row r="218">
      <c r="A218" s="117"/>
      <c r="B218" s="117"/>
      <c r="C218" s="235"/>
      <c r="D218" s="117"/>
      <c r="E218" s="117"/>
      <c r="F218" s="117"/>
    </row>
    <row r="219">
      <c r="A219" s="117"/>
      <c r="B219" s="117"/>
      <c r="C219" s="235"/>
      <c r="D219" s="117"/>
      <c r="E219" s="117"/>
      <c r="F219" s="117"/>
    </row>
    <row r="220">
      <c r="A220" s="117"/>
      <c r="B220" s="117"/>
      <c r="C220" s="235"/>
      <c r="D220" s="117"/>
      <c r="E220" s="117"/>
      <c r="F220" s="117"/>
    </row>
    <row r="221">
      <c r="A221" s="117"/>
      <c r="B221" s="117"/>
      <c r="C221" s="235"/>
      <c r="D221" s="117"/>
      <c r="E221" s="117"/>
      <c r="F221" s="117"/>
    </row>
    <row r="222">
      <c r="A222" s="117"/>
      <c r="B222" s="117"/>
      <c r="C222" s="235"/>
      <c r="D222" s="117"/>
      <c r="E222" s="117"/>
      <c r="F222" s="117"/>
    </row>
    <row r="223">
      <c r="A223" s="117"/>
      <c r="B223" s="117"/>
      <c r="C223" s="235"/>
      <c r="D223" s="117"/>
      <c r="E223" s="117"/>
      <c r="F223" s="117"/>
    </row>
    <row r="224">
      <c r="A224" s="117"/>
      <c r="B224" s="117"/>
      <c r="C224" s="235"/>
      <c r="D224" s="117"/>
      <c r="E224" s="117"/>
      <c r="F224" s="117"/>
    </row>
    <row r="225">
      <c r="A225" s="117"/>
      <c r="B225" s="117"/>
      <c r="C225" s="235"/>
      <c r="D225" s="117"/>
      <c r="E225" s="117"/>
      <c r="F225" s="117"/>
    </row>
    <row r="226">
      <c r="A226" s="117"/>
      <c r="B226" s="117"/>
      <c r="C226" s="235"/>
      <c r="D226" s="117"/>
      <c r="E226" s="117"/>
      <c r="F226" s="117"/>
    </row>
    <row r="227">
      <c r="A227" s="117"/>
      <c r="B227" s="117"/>
      <c r="C227" s="235"/>
      <c r="D227" s="117"/>
      <c r="E227" s="117"/>
      <c r="F227" s="117"/>
    </row>
    <row r="228">
      <c r="A228" s="117"/>
      <c r="B228" s="117"/>
      <c r="C228" s="235"/>
      <c r="D228" s="117"/>
      <c r="E228" s="117"/>
      <c r="F228" s="117"/>
    </row>
    <row r="229">
      <c r="A229" s="117"/>
      <c r="B229" s="117"/>
      <c r="C229" s="235"/>
      <c r="D229" s="117"/>
      <c r="E229" s="117"/>
      <c r="F229" s="117"/>
    </row>
    <row r="230">
      <c r="A230" s="117"/>
      <c r="B230" s="117"/>
      <c r="C230" s="235"/>
      <c r="D230" s="117"/>
      <c r="E230" s="117"/>
      <c r="F230" s="117"/>
    </row>
    <row r="231">
      <c r="A231" s="117"/>
      <c r="B231" s="117"/>
      <c r="C231" s="235"/>
      <c r="D231" s="117"/>
      <c r="E231" s="117"/>
      <c r="F231" s="117"/>
    </row>
    <row r="232">
      <c r="A232" s="117"/>
      <c r="B232" s="117"/>
      <c r="C232" s="235"/>
      <c r="D232" s="117"/>
      <c r="E232" s="117"/>
      <c r="F232" s="117"/>
    </row>
    <row r="233">
      <c r="A233" s="117"/>
      <c r="B233" s="117"/>
      <c r="C233" s="235"/>
      <c r="D233" s="117"/>
      <c r="E233" s="117"/>
      <c r="F233" s="117"/>
    </row>
    <row r="234">
      <c r="A234" s="117"/>
      <c r="B234" s="117"/>
      <c r="C234" s="235"/>
      <c r="D234" s="117"/>
      <c r="E234" s="117"/>
      <c r="F234" s="117"/>
    </row>
    <row r="235">
      <c r="A235" s="117"/>
      <c r="B235" s="117"/>
      <c r="C235" s="235"/>
      <c r="D235" s="117"/>
      <c r="E235" s="117"/>
      <c r="F235" s="117"/>
    </row>
    <row r="236">
      <c r="A236" s="117"/>
      <c r="B236" s="117"/>
      <c r="C236" s="235"/>
      <c r="D236" s="117"/>
      <c r="E236" s="117"/>
      <c r="F236" s="117"/>
    </row>
    <row r="237">
      <c r="A237" s="117"/>
      <c r="B237" s="117"/>
      <c r="C237" s="235"/>
      <c r="D237" s="117"/>
      <c r="E237" s="117"/>
      <c r="F237" s="117"/>
    </row>
    <row r="238">
      <c r="A238" s="117"/>
      <c r="B238" s="117"/>
      <c r="C238" s="235"/>
      <c r="D238" s="117"/>
      <c r="E238" s="117"/>
      <c r="F238" s="117"/>
    </row>
    <row r="239">
      <c r="A239" s="117"/>
      <c r="B239" s="117"/>
      <c r="C239" s="235"/>
      <c r="D239" s="117"/>
      <c r="E239" s="117"/>
      <c r="F239" s="117"/>
    </row>
    <row r="240">
      <c r="A240" s="117"/>
      <c r="B240" s="117"/>
      <c r="C240" s="235"/>
      <c r="D240" s="117"/>
      <c r="E240" s="117"/>
      <c r="F240" s="117"/>
    </row>
    <row r="241">
      <c r="A241" s="117"/>
      <c r="B241" s="117"/>
      <c r="C241" s="235"/>
      <c r="D241" s="117"/>
      <c r="E241" s="117"/>
      <c r="F241" s="117"/>
    </row>
    <row r="242">
      <c r="A242" s="117"/>
      <c r="B242" s="117"/>
      <c r="C242" s="235"/>
      <c r="D242" s="117"/>
      <c r="E242" s="117"/>
      <c r="F242" s="117"/>
    </row>
    <row r="243">
      <c r="A243" s="117"/>
      <c r="B243" s="117"/>
      <c r="C243" s="235"/>
      <c r="D243" s="117"/>
      <c r="E243" s="117"/>
      <c r="F243" s="117"/>
    </row>
    <row r="244">
      <c r="A244" s="117"/>
      <c r="B244" s="117"/>
      <c r="C244" s="235"/>
      <c r="D244" s="117"/>
      <c r="E244" s="117"/>
      <c r="F244" s="117"/>
    </row>
    <row r="245">
      <c r="A245" s="117"/>
      <c r="B245" s="117"/>
      <c r="C245" s="235"/>
      <c r="D245" s="117"/>
      <c r="E245" s="117"/>
      <c r="F245" s="117"/>
    </row>
    <row r="246">
      <c r="A246" s="117"/>
      <c r="B246" s="117"/>
      <c r="C246" s="235"/>
      <c r="D246" s="117"/>
      <c r="E246" s="117"/>
      <c r="F246" s="117"/>
    </row>
    <row r="247">
      <c r="A247" s="117"/>
      <c r="B247" s="117"/>
      <c r="C247" s="235"/>
      <c r="D247" s="117"/>
      <c r="E247" s="117"/>
      <c r="F247" s="117"/>
    </row>
    <row r="248">
      <c r="A248" s="117"/>
      <c r="B248" s="117"/>
      <c r="C248" s="235"/>
      <c r="D248" s="117"/>
      <c r="E248" s="117"/>
      <c r="F248" s="117"/>
    </row>
    <row r="249">
      <c r="A249" s="117"/>
      <c r="B249" s="117"/>
      <c r="C249" s="235"/>
      <c r="D249" s="117"/>
      <c r="E249" s="117"/>
      <c r="F249" s="117"/>
    </row>
    <row r="250">
      <c r="A250" s="117"/>
      <c r="B250" s="117"/>
      <c r="C250" s="235"/>
      <c r="D250" s="117"/>
      <c r="E250" s="117"/>
      <c r="F250" s="117"/>
    </row>
    <row r="251">
      <c r="A251" s="117"/>
      <c r="B251" s="117"/>
      <c r="C251" s="235"/>
      <c r="D251" s="117"/>
      <c r="E251" s="117"/>
      <c r="F251" s="117"/>
    </row>
    <row r="252">
      <c r="A252" s="117"/>
      <c r="B252" s="117"/>
      <c r="C252" s="235"/>
      <c r="D252" s="117"/>
      <c r="E252" s="117"/>
      <c r="F252" s="117"/>
    </row>
    <row r="253">
      <c r="A253" s="117"/>
      <c r="B253" s="117"/>
      <c r="C253" s="235"/>
      <c r="D253" s="117"/>
      <c r="E253" s="117"/>
      <c r="F253" s="117"/>
    </row>
    <row r="254">
      <c r="A254" s="117"/>
      <c r="B254" s="117"/>
      <c r="C254" s="235"/>
      <c r="D254" s="117"/>
      <c r="E254" s="117"/>
      <c r="F254" s="117"/>
    </row>
    <row r="255">
      <c r="A255" s="117"/>
      <c r="B255" s="117"/>
      <c r="C255" s="235"/>
      <c r="D255" s="117"/>
      <c r="E255" s="117"/>
      <c r="F255" s="117"/>
    </row>
    <row r="256">
      <c r="A256" s="117"/>
      <c r="B256" s="117"/>
      <c r="C256" s="235"/>
      <c r="D256" s="117"/>
      <c r="E256" s="117"/>
      <c r="F256" s="117"/>
    </row>
    <row r="257">
      <c r="A257" s="117"/>
      <c r="B257" s="117"/>
      <c r="C257" s="235"/>
      <c r="D257" s="117"/>
      <c r="E257" s="117"/>
      <c r="F257" s="117"/>
    </row>
    <row r="258">
      <c r="A258" s="117"/>
      <c r="B258" s="117"/>
      <c r="C258" s="235"/>
      <c r="D258" s="117"/>
      <c r="E258" s="117"/>
      <c r="F258" s="117"/>
    </row>
    <row r="259">
      <c r="A259" s="117"/>
      <c r="B259" s="117"/>
      <c r="C259" s="235"/>
      <c r="D259" s="117"/>
      <c r="E259" s="117"/>
      <c r="F259" s="117"/>
    </row>
    <row r="260">
      <c r="A260" s="117"/>
      <c r="B260" s="117"/>
      <c r="C260" s="235"/>
      <c r="D260" s="117"/>
      <c r="E260" s="117"/>
      <c r="F260" s="117"/>
    </row>
    <row r="261">
      <c r="A261" s="117"/>
      <c r="B261" s="117"/>
      <c r="C261" s="235"/>
      <c r="D261" s="117"/>
      <c r="E261" s="117"/>
      <c r="F261" s="117"/>
    </row>
    <row r="262">
      <c r="A262" s="117"/>
      <c r="B262" s="117"/>
      <c r="C262" s="235"/>
      <c r="D262" s="117"/>
      <c r="E262" s="117"/>
      <c r="F262" s="117"/>
    </row>
    <row r="263">
      <c r="A263" s="117"/>
      <c r="B263" s="117"/>
      <c r="C263" s="235"/>
      <c r="D263" s="117"/>
      <c r="E263" s="117"/>
      <c r="F263" s="117"/>
    </row>
    <row r="264">
      <c r="A264" s="117"/>
      <c r="B264" s="117"/>
      <c r="C264" s="235"/>
      <c r="D264" s="117"/>
      <c r="E264" s="117"/>
      <c r="F264" s="117"/>
    </row>
    <row r="265">
      <c r="A265" s="117"/>
      <c r="B265" s="117"/>
      <c r="C265" s="235"/>
      <c r="D265" s="117"/>
      <c r="E265" s="117"/>
      <c r="F265" s="117"/>
    </row>
    <row r="266">
      <c r="A266" s="117"/>
      <c r="B266" s="117"/>
      <c r="C266" s="235"/>
      <c r="D266" s="117"/>
      <c r="E266" s="117"/>
      <c r="F266" s="117"/>
    </row>
    <row r="267">
      <c r="A267" s="117"/>
      <c r="B267" s="117"/>
      <c r="C267" s="235"/>
      <c r="D267" s="117"/>
      <c r="E267" s="117"/>
      <c r="F267" s="117"/>
    </row>
    <row r="268">
      <c r="A268" s="117"/>
      <c r="B268" s="117"/>
      <c r="C268" s="235"/>
      <c r="D268" s="117"/>
      <c r="E268" s="117"/>
      <c r="F268" s="117"/>
    </row>
    <row r="269">
      <c r="A269" s="117"/>
      <c r="B269" s="117"/>
      <c r="C269" s="235"/>
      <c r="D269" s="117"/>
      <c r="E269" s="117"/>
      <c r="F269" s="117"/>
    </row>
    <row r="270">
      <c r="A270" s="117"/>
      <c r="B270" s="117"/>
      <c r="C270" s="235"/>
      <c r="D270" s="117"/>
      <c r="E270" s="117"/>
      <c r="F270" s="117"/>
    </row>
    <row r="271">
      <c r="A271" s="117"/>
      <c r="B271" s="117"/>
      <c r="C271" s="235"/>
      <c r="D271" s="117"/>
      <c r="E271" s="117"/>
      <c r="F271" s="117"/>
    </row>
    <row r="272">
      <c r="A272" s="117"/>
      <c r="B272" s="117"/>
      <c r="C272" s="235"/>
      <c r="D272" s="117"/>
      <c r="E272" s="117"/>
      <c r="F272" s="117"/>
    </row>
    <row r="273">
      <c r="A273" s="117"/>
      <c r="B273" s="117"/>
      <c r="C273" s="235"/>
      <c r="D273" s="117"/>
      <c r="E273" s="117"/>
      <c r="F273" s="117"/>
    </row>
    <row r="274">
      <c r="A274" s="117"/>
      <c r="B274" s="117"/>
      <c r="C274" s="235"/>
      <c r="D274" s="117"/>
      <c r="E274" s="117"/>
      <c r="F274" s="117"/>
    </row>
    <row r="275">
      <c r="A275" s="117"/>
      <c r="B275" s="117"/>
      <c r="C275" s="235"/>
      <c r="D275" s="117"/>
      <c r="E275" s="117"/>
      <c r="F275" s="117"/>
    </row>
    <row r="276">
      <c r="A276" s="117"/>
      <c r="B276" s="117"/>
      <c r="C276" s="235"/>
      <c r="D276" s="117"/>
      <c r="E276" s="117"/>
      <c r="F276" s="117"/>
    </row>
    <row r="277">
      <c r="A277" s="117"/>
      <c r="B277" s="117"/>
      <c r="C277" s="235"/>
      <c r="D277" s="117"/>
      <c r="E277" s="117"/>
      <c r="F277" s="117"/>
    </row>
    <row r="278">
      <c r="A278" s="117"/>
      <c r="B278" s="117"/>
      <c r="C278" s="235"/>
      <c r="D278" s="117"/>
      <c r="E278" s="117"/>
      <c r="F278" s="117"/>
    </row>
    <row r="279">
      <c r="A279" s="117"/>
      <c r="B279" s="117"/>
      <c r="C279" s="235"/>
      <c r="D279" s="117"/>
      <c r="E279" s="117"/>
      <c r="F279" s="117"/>
    </row>
    <row r="280">
      <c r="A280" s="117"/>
      <c r="B280" s="117"/>
      <c r="C280" s="235"/>
      <c r="D280" s="117"/>
      <c r="E280" s="117"/>
      <c r="F280" s="117"/>
    </row>
    <row r="281">
      <c r="A281" s="117"/>
      <c r="B281" s="117"/>
      <c r="C281" s="235"/>
      <c r="D281" s="117"/>
      <c r="E281" s="117"/>
      <c r="F281" s="117"/>
    </row>
    <row r="282">
      <c r="A282" s="117"/>
      <c r="B282" s="117"/>
      <c r="C282" s="235"/>
      <c r="D282" s="117"/>
      <c r="E282" s="117"/>
      <c r="F282" s="117"/>
    </row>
    <row r="283">
      <c r="A283" s="117"/>
      <c r="B283" s="117"/>
      <c r="C283" s="235"/>
      <c r="D283" s="117"/>
      <c r="E283" s="117"/>
      <c r="F283" s="117"/>
    </row>
    <row r="284">
      <c r="A284" s="117"/>
      <c r="B284" s="117"/>
      <c r="C284" s="235"/>
      <c r="D284" s="117"/>
      <c r="E284" s="117"/>
      <c r="F284" s="117"/>
    </row>
    <row r="285">
      <c r="A285" s="117"/>
      <c r="B285" s="117"/>
      <c r="C285" s="235"/>
      <c r="D285" s="117"/>
      <c r="E285" s="117"/>
      <c r="F285" s="117"/>
    </row>
    <row r="286">
      <c r="A286" s="117"/>
      <c r="B286" s="117"/>
      <c r="C286" s="235"/>
      <c r="D286" s="117"/>
      <c r="E286" s="117"/>
      <c r="F286" s="117"/>
    </row>
    <row r="287">
      <c r="A287" s="117"/>
      <c r="B287" s="117"/>
      <c r="C287" s="235"/>
      <c r="D287" s="117"/>
      <c r="E287" s="117"/>
      <c r="F287" s="117"/>
    </row>
    <row r="288">
      <c r="A288" s="117"/>
      <c r="B288" s="117"/>
      <c r="C288" s="235"/>
      <c r="D288" s="117"/>
      <c r="E288" s="117"/>
      <c r="F288" s="117"/>
    </row>
    <row r="289">
      <c r="A289" s="117"/>
      <c r="B289" s="117"/>
      <c r="C289" s="235"/>
      <c r="D289" s="117"/>
      <c r="E289" s="117"/>
      <c r="F289" s="117"/>
    </row>
    <row r="290">
      <c r="A290" s="117"/>
      <c r="B290" s="117"/>
      <c r="C290" s="235"/>
      <c r="D290" s="117"/>
      <c r="E290" s="117"/>
      <c r="F290" s="117"/>
    </row>
    <row r="291">
      <c r="A291" s="117"/>
      <c r="B291" s="117"/>
      <c r="C291" s="235"/>
      <c r="D291" s="117"/>
      <c r="E291" s="117"/>
      <c r="F291" s="117"/>
    </row>
    <row r="292">
      <c r="A292" s="117"/>
      <c r="B292" s="117"/>
      <c r="C292" s="235"/>
      <c r="D292" s="117"/>
      <c r="E292" s="117"/>
      <c r="F292" s="117"/>
    </row>
    <row r="293">
      <c r="A293" s="117"/>
      <c r="B293" s="117"/>
      <c r="C293" s="235"/>
      <c r="D293" s="117"/>
      <c r="E293" s="117"/>
      <c r="F293" s="117"/>
    </row>
    <row r="294">
      <c r="A294" s="117"/>
      <c r="B294" s="117"/>
      <c r="C294" s="235"/>
      <c r="D294" s="117"/>
      <c r="E294" s="117"/>
      <c r="F294" s="117"/>
    </row>
    <row r="295">
      <c r="A295" s="117"/>
      <c r="B295" s="117"/>
      <c r="C295" s="235"/>
      <c r="D295" s="117"/>
      <c r="E295" s="117"/>
      <c r="F295" s="117"/>
    </row>
    <row r="296">
      <c r="A296" s="117"/>
      <c r="B296" s="117"/>
      <c r="C296" s="235"/>
      <c r="D296" s="117"/>
      <c r="E296" s="117"/>
      <c r="F296" s="117"/>
    </row>
    <row r="297">
      <c r="A297" s="117"/>
      <c r="B297" s="117"/>
      <c r="C297" s="235"/>
      <c r="D297" s="117"/>
      <c r="E297" s="117"/>
      <c r="F297" s="117"/>
    </row>
    <row r="298">
      <c r="A298" s="117"/>
      <c r="B298" s="117"/>
      <c r="C298" s="235"/>
      <c r="D298" s="117"/>
      <c r="E298" s="117"/>
      <c r="F298" s="117"/>
    </row>
    <row r="299">
      <c r="A299" s="117"/>
      <c r="B299" s="117"/>
      <c r="C299" s="235"/>
      <c r="D299" s="117"/>
      <c r="E299" s="117"/>
      <c r="F299" s="117"/>
    </row>
    <row r="300">
      <c r="A300" s="117"/>
      <c r="B300" s="117"/>
      <c r="C300" s="235"/>
      <c r="D300" s="117"/>
      <c r="E300" s="117"/>
      <c r="F300" s="117"/>
    </row>
    <row r="301">
      <c r="A301" s="117"/>
      <c r="B301" s="117"/>
      <c r="C301" s="235"/>
      <c r="D301" s="117"/>
      <c r="E301" s="117"/>
      <c r="F301" s="117"/>
    </row>
    <row r="302">
      <c r="A302" s="117"/>
      <c r="B302" s="117"/>
      <c r="C302" s="235"/>
      <c r="D302" s="117"/>
      <c r="E302" s="117"/>
      <c r="F302" s="117"/>
    </row>
    <row r="303">
      <c r="A303" s="117"/>
      <c r="B303" s="117"/>
      <c r="C303" s="235"/>
      <c r="D303" s="117"/>
      <c r="E303" s="117"/>
      <c r="F303" s="117"/>
    </row>
    <row r="304">
      <c r="A304" s="117"/>
      <c r="B304" s="117"/>
      <c r="C304" s="235"/>
      <c r="D304" s="117"/>
      <c r="E304" s="117"/>
      <c r="F304" s="117"/>
    </row>
    <row r="305">
      <c r="A305" s="117"/>
      <c r="B305" s="117"/>
      <c r="C305" s="235"/>
      <c r="D305" s="117"/>
      <c r="E305" s="117"/>
      <c r="F305" s="117"/>
    </row>
    <row r="306">
      <c r="A306" s="117"/>
      <c r="B306" s="117"/>
      <c r="C306" s="235"/>
      <c r="D306" s="117"/>
      <c r="E306" s="117"/>
      <c r="F306" s="117"/>
    </row>
    <row r="307">
      <c r="A307" s="117"/>
      <c r="B307" s="117"/>
      <c r="C307" s="235"/>
      <c r="D307" s="117"/>
      <c r="E307" s="117"/>
      <c r="F307" s="117"/>
    </row>
    <row r="308">
      <c r="A308" s="117"/>
      <c r="B308" s="117"/>
      <c r="C308" s="235"/>
      <c r="D308" s="117"/>
      <c r="E308" s="117"/>
      <c r="F308" s="117"/>
    </row>
    <row r="309">
      <c r="A309" s="117"/>
      <c r="B309" s="117"/>
      <c r="C309" s="235"/>
      <c r="D309" s="117"/>
      <c r="E309" s="117"/>
      <c r="F309" s="117"/>
    </row>
    <row r="310">
      <c r="A310" s="117"/>
      <c r="B310" s="117"/>
      <c r="C310" s="235"/>
      <c r="D310" s="117"/>
      <c r="E310" s="117"/>
      <c r="F310" s="117"/>
    </row>
    <row r="311">
      <c r="A311" s="117"/>
      <c r="B311" s="117"/>
      <c r="C311" s="235"/>
      <c r="D311" s="117"/>
      <c r="E311" s="117"/>
      <c r="F311" s="117"/>
    </row>
    <row r="312">
      <c r="A312" s="117"/>
      <c r="B312" s="117"/>
      <c r="C312" s="235"/>
      <c r="D312" s="117"/>
      <c r="E312" s="117"/>
      <c r="F312" s="117"/>
    </row>
    <row r="313">
      <c r="A313" s="117"/>
      <c r="B313" s="117"/>
      <c r="C313" s="235"/>
      <c r="D313" s="117"/>
      <c r="E313" s="117"/>
      <c r="F313" s="117"/>
    </row>
    <row r="314">
      <c r="A314" s="117"/>
      <c r="B314" s="117"/>
      <c r="C314" s="235"/>
      <c r="D314" s="117"/>
      <c r="E314" s="117"/>
      <c r="F314" s="117"/>
    </row>
    <row r="315">
      <c r="A315" s="117"/>
      <c r="B315" s="117"/>
      <c r="C315" s="235"/>
      <c r="D315" s="117"/>
      <c r="E315" s="117"/>
      <c r="F315" s="117"/>
    </row>
    <row r="316">
      <c r="A316" s="117"/>
      <c r="B316" s="117"/>
      <c r="C316" s="235"/>
      <c r="D316" s="117"/>
      <c r="E316" s="117"/>
      <c r="F316" s="117"/>
    </row>
    <row r="317">
      <c r="A317" s="117"/>
      <c r="B317" s="117"/>
      <c r="C317" s="235"/>
      <c r="D317" s="117"/>
      <c r="E317" s="117"/>
      <c r="F317" s="117"/>
    </row>
    <row r="318">
      <c r="A318" s="117"/>
      <c r="B318" s="117"/>
      <c r="C318" s="235"/>
      <c r="D318" s="117"/>
      <c r="E318" s="117"/>
      <c r="F318" s="117"/>
    </row>
    <row r="319">
      <c r="A319" s="117"/>
      <c r="B319" s="117"/>
      <c r="C319" s="235"/>
      <c r="D319" s="117"/>
      <c r="E319" s="117"/>
      <c r="F319" s="117"/>
    </row>
    <row r="320">
      <c r="A320" s="117"/>
      <c r="B320" s="117"/>
      <c r="C320" s="235"/>
      <c r="D320" s="117"/>
      <c r="E320" s="117"/>
      <c r="F320" s="117"/>
    </row>
    <row r="321">
      <c r="A321" s="117"/>
      <c r="B321" s="117"/>
      <c r="C321" s="235"/>
      <c r="D321" s="117"/>
      <c r="E321" s="117"/>
      <c r="F321" s="117"/>
    </row>
    <row r="322">
      <c r="A322" s="117"/>
      <c r="B322" s="117"/>
      <c r="C322" s="235"/>
      <c r="D322" s="117"/>
      <c r="E322" s="117"/>
      <c r="F322" s="117"/>
    </row>
    <row r="323">
      <c r="A323" s="117"/>
      <c r="B323" s="117"/>
      <c r="C323" s="235"/>
      <c r="D323" s="117"/>
      <c r="E323" s="117"/>
      <c r="F323" s="117"/>
    </row>
    <row r="324">
      <c r="A324" s="117"/>
      <c r="B324" s="117"/>
      <c r="C324" s="235"/>
      <c r="D324" s="117"/>
      <c r="E324" s="117"/>
      <c r="F324" s="117"/>
    </row>
    <row r="325">
      <c r="A325" s="117"/>
      <c r="B325" s="117"/>
      <c r="C325" s="235"/>
      <c r="D325" s="117"/>
      <c r="E325" s="117"/>
      <c r="F325" s="117"/>
    </row>
    <row r="326">
      <c r="A326" s="117"/>
      <c r="B326" s="117"/>
      <c r="C326" s="235"/>
      <c r="D326" s="117"/>
      <c r="E326" s="117"/>
      <c r="F326" s="117"/>
    </row>
    <row r="327">
      <c r="A327" s="117"/>
      <c r="B327" s="117"/>
      <c r="C327" s="235"/>
      <c r="D327" s="117"/>
      <c r="E327" s="117"/>
      <c r="F327" s="117"/>
    </row>
    <row r="328">
      <c r="A328" s="117"/>
      <c r="B328" s="117"/>
      <c r="C328" s="235"/>
      <c r="D328" s="117"/>
      <c r="E328" s="117"/>
      <c r="F328" s="117"/>
    </row>
    <row r="329">
      <c r="A329" s="117"/>
      <c r="B329" s="117"/>
      <c r="C329" s="235"/>
      <c r="D329" s="117"/>
      <c r="E329" s="117"/>
      <c r="F329" s="117"/>
    </row>
    <row r="330">
      <c r="A330" s="117"/>
      <c r="B330" s="117"/>
      <c r="C330" s="235"/>
      <c r="D330" s="117"/>
      <c r="E330" s="117"/>
      <c r="F330" s="117"/>
    </row>
    <row r="331">
      <c r="A331" s="117"/>
      <c r="B331" s="117"/>
      <c r="C331" s="235"/>
      <c r="D331" s="117"/>
      <c r="E331" s="117"/>
      <c r="F331" s="117"/>
    </row>
    <row r="332">
      <c r="A332" s="117"/>
      <c r="B332" s="117"/>
      <c r="C332" s="235"/>
      <c r="D332" s="117"/>
      <c r="E332" s="117"/>
      <c r="F332" s="117"/>
    </row>
    <row r="333">
      <c r="A333" s="117"/>
      <c r="B333" s="117"/>
      <c r="C333" s="235"/>
      <c r="D333" s="117"/>
      <c r="E333" s="117"/>
      <c r="F333" s="117"/>
    </row>
    <row r="334">
      <c r="A334" s="117"/>
      <c r="B334" s="117"/>
      <c r="C334" s="235"/>
      <c r="D334" s="117"/>
      <c r="E334" s="117"/>
      <c r="F334" s="117"/>
    </row>
    <row r="335">
      <c r="A335" s="117"/>
      <c r="B335" s="117"/>
      <c r="C335" s="235"/>
      <c r="D335" s="117"/>
      <c r="E335" s="117"/>
      <c r="F335" s="117"/>
    </row>
    <row r="336">
      <c r="A336" s="117"/>
      <c r="B336" s="117"/>
      <c r="C336" s="235"/>
      <c r="D336" s="117"/>
      <c r="E336" s="117"/>
      <c r="F336" s="117"/>
    </row>
    <row r="337">
      <c r="A337" s="117"/>
      <c r="B337" s="117"/>
      <c r="C337" s="235"/>
      <c r="D337" s="117"/>
      <c r="E337" s="117"/>
      <c r="F337" s="117"/>
    </row>
    <row r="338">
      <c r="A338" s="117"/>
      <c r="B338" s="117"/>
      <c r="C338" s="235"/>
      <c r="D338" s="117"/>
      <c r="E338" s="117"/>
      <c r="F338" s="117"/>
    </row>
    <row r="339">
      <c r="A339" s="117"/>
      <c r="B339" s="117"/>
      <c r="C339" s="235"/>
      <c r="D339" s="117"/>
      <c r="E339" s="117"/>
      <c r="F339" s="117"/>
    </row>
    <row r="340">
      <c r="A340" s="117"/>
      <c r="B340" s="117"/>
      <c r="C340" s="235"/>
      <c r="D340" s="117"/>
      <c r="E340" s="117"/>
      <c r="F340" s="117"/>
    </row>
    <row r="341">
      <c r="A341" s="117"/>
      <c r="B341" s="117"/>
      <c r="C341" s="235"/>
      <c r="D341" s="117"/>
      <c r="E341" s="117"/>
      <c r="F341" s="117"/>
    </row>
    <row r="342">
      <c r="A342" s="117"/>
      <c r="B342" s="117"/>
      <c r="C342" s="235"/>
      <c r="D342" s="117"/>
      <c r="E342" s="117"/>
      <c r="F342" s="117"/>
    </row>
    <row r="343">
      <c r="A343" s="117"/>
      <c r="B343" s="117"/>
      <c r="C343" s="235"/>
      <c r="D343" s="117"/>
      <c r="E343" s="117"/>
      <c r="F343" s="117"/>
    </row>
    <row r="344">
      <c r="A344" s="117"/>
      <c r="B344" s="117"/>
      <c r="C344" s="235"/>
      <c r="D344" s="117"/>
      <c r="E344" s="117"/>
      <c r="F344" s="117"/>
    </row>
    <row r="345">
      <c r="A345" s="117"/>
      <c r="B345" s="117"/>
      <c r="C345" s="235"/>
      <c r="D345" s="117"/>
      <c r="E345" s="117"/>
      <c r="F345" s="117"/>
    </row>
    <row r="346">
      <c r="A346" s="117"/>
      <c r="B346" s="117"/>
      <c r="C346" s="235"/>
      <c r="D346" s="117"/>
      <c r="E346" s="117"/>
      <c r="F346" s="117"/>
    </row>
    <row r="347">
      <c r="A347" s="117"/>
      <c r="B347" s="117"/>
      <c r="C347" s="235"/>
      <c r="D347" s="117"/>
      <c r="E347" s="117"/>
      <c r="F347" s="117"/>
    </row>
    <row r="348">
      <c r="A348" s="117"/>
      <c r="B348" s="117"/>
      <c r="C348" s="235"/>
      <c r="D348" s="117"/>
      <c r="E348" s="117"/>
      <c r="F348" s="117"/>
    </row>
    <row r="349">
      <c r="A349" s="117"/>
      <c r="B349" s="117"/>
      <c r="C349" s="235"/>
      <c r="D349" s="117"/>
      <c r="E349" s="117"/>
      <c r="F349" s="117"/>
    </row>
    <row r="350">
      <c r="A350" s="117"/>
      <c r="B350" s="117"/>
      <c r="C350" s="235"/>
      <c r="D350" s="117"/>
      <c r="E350" s="117"/>
      <c r="F350" s="117"/>
    </row>
    <row r="351">
      <c r="A351" s="117"/>
      <c r="B351" s="117"/>
      <c r="C351" s="235"/>
      <c r="D351" s="117"/>
      <c r="E351" s="117"/>
      <c r="F351" s="117"/>
    </row>
    <row r="352">
      <c r="A352" s="117"/>
      <c r="B352" s="117"/>
      <c r="C352" s="235"/>
      <c r="D352" s="117"/>
      <c r="E352" s="117"/>
      <c r="F352" s="117"/>
    </row>
    <row r="353">
      <c r="A353" s="117"/>
      <c r="B353" s="117"/>
      <c r="C353" s="235"/>
      <c r="D353" s="117"/>
      <c r="E353" s="117"/>
      <c r="F353" s="117"/>
    </row>
    <row r="354">
      <c r="A354" s="117"/>
      <c r="B354" s="117"/>
      <c r="C354" s="235"/>
      <c r="D354" s="117"/>
      <c r="E354" s="117"/>
      <c r="F354" s="117"/>
    </row>
    <row r="355">
      <c r="A355" s="117"/>
      <c r="B355" s="117"/>
      <c r="C355" s="235"/>
      <c r="D355" s="117"/>
      <c r="E355" s="117"/>
      <c r="F355" s="117"/>
    </row>
    <row r="356">
      <c r="A356" s="117"/>
      <c r="B356" s="117"/>
      <c r="C356" s="235"/>
      <c r="D356" s="117"/>
      <c r="E356" s="117"/>
      <c r="F356" s="117"/>
    </row>
    <row r="357">
      <c r="A357" s="117"/>
      <c r="B357" s="117"/>
      <c r="C357" s="235"/>
      <c r="D357" s="117"/>
      <c r="E357" s="117"/>
      <c r="F357" s="117"/>
    </row>
    <row r="358">
      <c r="A358" s="117"/>
      <c r="B358" s="117"/>
      <c r="C358" s="235"/>
      <c r="D358" s="117"/>
      <c r="E358" s="117"/>
      <c r="F358" s="117"/>
    </row>
    <row r="359">
      <c r="A359" s="117"/>
      <c r="B359" s="117"/>
      <c r="C359" s="235"/>
      <c r="D359" s="117"/>
      <c r="E359" s="117"/>
      <c r="F359" s="117"/>
    </row>
    <row r="360">
      <c r="A360" s="117"/>
      <c r="B360" s="117"/>
      <c r="C360" s="235"/>
      <c r="D360" s="117"/>
      <c r="E360" s="117"/>
      <c r="F360" s="117"/>
    </row>
    <row r="361">
      <c r="A361" s="117"/>
      <c r="B361" s="117"/>
      <c r="C361" s="235"/>
      <c r="D361" s="117"/>
      <c r="E361" s="117"/>
      <c r="F361" s="117"/>
    </row>
    <row r="362">
      <c r="A362" s="117"/>
      <c r="B362" s="117"/>
      <c r="C362" s="235"/>
      <c r="D362" s="117"/>
      <c r="E362" s="117"/>
      <c r="F362" s="117"/>
    </row>
    <row r="363">
      <c r="A363" s="117"/>
      <c r="B363" s="117"/>
      <c r="C363" s="235"/>
      <c r="D363" s="117"/>
      <c r="E363" s="117"/>
      <c r="F363" s="117"/>
    </row>
    <row r="364">
      <c r="A364" s="117"/>
      <c r="B364" s="117"/>
      <c r="C364" s="235"/>
      <c r="D364" s="117"/>
      <c r="E364" s="117"/>
      <c r="F364" s="117"/>
    </row>
    <row r="365">
      <c r="A365" s="117"/>
      <c r="B365" s="117"/>
      <c r="C365" s="235"/>
      <c r="D365" s="117"/>
      <c r="E365" s="117"/>
      <c r="F365" s="117"/>
    </row>
    <row r="366">
      <c r="A366" s="117"/>
      <c r="B366" s="117"/>
      <c r="C366" s="235"/>
      <c r="D366" s="117"/>
      <c r="E366" s="117"/>
      <c r="F366" s="117"/>
    </row>
    <row r="367">
      <c r="A367" s="117"/>
      <c r="B367" s="117"/>
      <c r="C367" s="235"/>
      <c r="D367" s="117"/>
      <c r="E367" s="117"/>
      <c r="F367" s="117"/>
    </row>
    <row r="368">
      <c r="A368" s="117"/>
      <c r="B368" s="117"/>
      <c r="C368" s="235"/>
      <c r="D368" s="117"/>
      <c r="E368" s="117"/>
      <c r="F368" s="117"/>
    </row>
    <row r="369">
      <c r="A369" s="117"/>
      <c r="B369" s="117"/>
      <c r="C369" s="235"/>
      <c r="D369" s="117"/>
      <c r="E369" s="117"/>
      <c r="F369" s="117"/>
    </row>
    <row r="370">
      <c r="A370" s="117"/>
      <c r="B370" s="117"/>
      <c r="C370" s="235"/>
      <c r="D370" s="117"/>
      <c r="E370" s="117"/>
      <c r="F370" s="117"/>
    </row>
    <row r="371">
      <c r="A371" s="117"/>
      <c r="B371" s="117"/>
      <c r="C371" s="235"/>
      <c r="D371" s="117"/>
      <c r="E371" s="117"/>
      <c r="F371" s="117"/>
    </row>
    <row r="372">
      <c r="A372" s="117"/>
      <c r="B372" s="117"/>
      <c r="C372" s="235"/>
      <c r="D372" s="117"/>
      <c r="E372" s="117"/>
      <c r="F372" s="117"/>
    </row>
    <row r="373">
      <c r="A373" s="117"/>
      <c r="B373" s="117"/>
      <c r="C373" s="235"/>
      <c r="D373" s="117"/>
      <c r="E373" s="117"/>
      <c r="F373" s="117"/>
    </row>
    <row r="374">
      <c r="A374" s="117"/>
      <c r="B374" s="117"/>
      <c r="C374" s="235"/>
      <c r="D374" s="117"/>
      <c r="E374" s="117"/>
      <c r="F374" s="117"/>
    </row>
    <row r="375">
      <c r="A375" s="117"/>
      <c r="B375" s="117"/>
      <c r="C375" s="235"/>
      <c r="D375" s="117"/>
      <c r="E375" s="117"/>
      <c r="F375" s="117"/>
    </row>
    <row r="376">
      <c r="A376" s="117"/>
      <c r="B376" s="117"/>
      <c r="C376" s="235"/>
      <c r="D376" s="117"/>
      <c r="E376" s="117"/>
      <c r="F376" s="117"/>
    </row>
    <row r="377">
      <c r="A377" s="117"/>
      <c r="B377" s="117"/>
      <c r="C377" s="235"/>
      <c r="D377" s="117"/>
      <c r="E377" s="117"/>
      <c r="F377" s="117"/>
    </row>
    <row r="378">
      <c r="A378" s="117"/>
      <c r="B378" s="117"/>
      <c r="C378" s="235"/>
      <c r="D378" s="117"/>
      <c r="E378" s="117"/>
      <c r="F378" s="117"/>
    </row>
    <row r="379">
      <c r="A379" s="117"/>
      <c r="B379" s="117"/>
      <c r="C379" s="235"/>
      <c r="D379" s="117"/>
      <c r="E379" s="117"/>
      <c r="F379" s="117"/>
    </row>
    <row r="380">
      <c r="A380" s="117"/>
      <c r="B380" s="117"/>
      <c r="C380" s="235"/>
      <c r="D380" s="117"/>
      <c r="E380" s="117"/>
      <c r="F380" s="117"/>
    </row>
    <row r="381">
      <c r="A381" s="117"/>
      <c r="B381" s="117"/>
      <c r="C381" s="235"/>
      <c r="D381" s="117"/>
      <c r="E381" s="117"/>
      <c r="F381" s="117"/>
    </row>
    <row r="382">
      <c r="A382" s="117"/>
      <c r="B382" s="117"/>
      <c r="C382" s="235"/>
      <c r="D382" s="117"/>
      <c r="E382" s="117"/>
      <c r="F382" s="117"/>
    </row>
    <row r="383">
      <c r="A383" s="117"/>
      <c r="B383" s="117"/>
      <c r="C383" s="235"/>
      <c r="D383" s="117"/>
      <c r="E383" s="117"/>
      <c r="F383" s="117"/>
    </row>
    <row r="384">
      <c r="A384" s="117"/>
      <c r="B384" s="117"/>
      <c r="C384" s="235"/>
      <c r="D384" s="117"/>
      <c r="E384" s="117"/>
      <c r="F384" s="117"/>
    </row>
    <row r="385">
      <c r="A385" s="117"/>
      <c r="B385" s="117"/>
      <c r="C385" s="235"/>
      <c r="D385" s="117"/>
      <c r="E385" s="117"/>
      <c r="F385" s="117"/>
    </row>
    <row r="386">
      <c r="A386" s="117"/>
      <c r="B386" s="117"/>
      <c r="C386" s="235"/>
      <c r="D386" s="117"/>
      <c r="E386" s="117"/>
      <c r="F386" s="117"/>
    </row>
    <row r="387">
      <c r="A387" s="117"/>
      <c r="B387" s="117"/>
      <c r="C387" s="235"/>
      <c r="D387" s="117"/>
      <c r="E387" s="117"/>
      <c r="F387" s="117"/>
    </row>
    <row r="388">
      <c r="A388" s="117"/>
      <c r="B388" s="117"/>
      <c r="C388" s="235"/>
      <c r="D388" s="117"/>
      <c r="E388" s="117"/>
      <c r="F388" s="117"/>
    </row>
    <row r="389">
      <c r="A389" s="117"/>
      <c r="B389" s="117"/>
      <c r="C389" s="235"/>
      <c r="D389" s="117"/>
      <c r="E389" s="117"/>
      <c r="F389" s="117"/>
    </row>
    <row r="390">
      <c r="A390" s="117"/>
      <c r="B390" s="117"/>
      <c r="C390" s="235"/>
      <c r="D390" s="117"/>
      <c r="E390" s="117"/>
      <c r="F390" s="117"/>
    </row>
    <row r="391">
      <c r="A391" s="117"/>
      <c r="B391" s="117"/>
      <c r="C391" s="235"/>
      <c r="D391" s="117"/>
      <c r="E391" s="117"/>
      <c r="F391" s="117"/>
    </row>
    <row r="392">
      <c r="A392" s="117"/>
      <c r="B392" s="117"/>
      <c r="C392" s="235"/>
      <c r="D392" s="117"/>
      <c r="E392" s="117"/>
      <c r="F392" s="117"/>
    </row>
    <row r="393">
      <c r="A393" s="117"/>
      <c r="B393" s="117"/>
      <c r="C393" s="235"/>
      <c r="D393" s="117"/>
      <c r="E393" s="117"/>
      <c r="F393" s="117"/>
    </row>
    <row r="394">
      <c r="A394" s="117"/>
      <c r="B394" s="117"/>
      <c r="C394" s="235"/>
      <c r="D394" s="117"/>
      <c r="E394" s="117"/>
      <c r="F394" s="117"/>
    </row>
    <row r="395">
      <c r="A395" s="117"/>
      <c r="B395" s="117"/>
      <c r="C395" s="235"/>
      <c r="D395" s="117"/>
      <c r="E395" s="117"/>
      <c r="F395" s="117"/>
    </row>
    <row r="396">
      <c r="A396" s="117"/>
      <c r="B396" s="117"/>
      <c r="C396" s="235"/>
      <c r="D396" s="117"/>
      <c r="E396" s="117"/>
      <c r="F396" s="117"/>
    </row>
    <row r="397">
      <c r="A397" s="117"/>
      <c r="B397" s="117"/>
      <c r="C397" s="235"/>
      <c r="D397" s="117"/>
      <c r="E397" s="117"/>
      <c r="F397" s="117"/>
    </row>
    <row r="398">
      <c r="A398" s="117"/>
      <c r="B398" s="117"/>
      <c r="C398" s="235"/>
      <c r="D398" s="117"/>
      <c r="E398" s="117"/>
      <c r="F398" s="117"/>
    </row>
    <row r="399">
      <c r="A399" s="117"/>
      <c r="B399" s="117"/>
      <c r="C399" s="235"/>
      <c r="D399" s="117"/>
      <c r="E399" s="117"/>
      <c r="F399" s="117"/>
    </row>
    <row r="400">
      <c r="A400" s="117"/>
      <c r="B400" s="117"/>
      <c r="C400" s="235"/>
      <c r="D400" s="117"/>
      <c r="E400" s="117"/>
      <c r="F400" s="117"/>
    </row>
    <row r="401">
      <c r="A401" s="117"/>
      <c r="B401" s="117"/>
      <c r="C401" s="235"/>
      <c r="D401" s="117"/>
      <c r="E401" s="117"/>
      <c r="F401" s="117"/>
    </row>
    <row r="402">
      <c r="A402" s="117"/>
      <c r="B402" s="117"/>
      <c r="C402" s="235"/>
      <c r="D402" s="117"/>
      <c r="E402" s="117"/>
      <c r="F402" s="117"/>
    </row>
    <row r="403">
      <c r="A403" s="117"/>
      <c r="B403" s="117"/>
      <c r="C403" s="235"/>
      <c r="D403" s="117"/>
      <c r="E403" s="117"/>
      <c r="F403" s="117"/>
    </row>
    <row r="404">
      <c r="A404" s="117"/>
      <c r="B404" s="117"/>
      <c r="C404" s="235"/>
      <c r="D404" s="117"/>
      <c r="E404" s="117"/>
      <c r="F404" s="117"/>
    </row>
    <row r="405">
      <c r="A405" s="117"/>
      <c r="B405" s="117"/>
      <c r="C405" s="235"/>
      <c r="D405" s="117"/>
      <c r="E405" s="117"/>
      <c r="F405" s="117"/>
    </row>
    <row r="406">
      <c r="A406" s="117"/>
      <c r="B406" s="117"/>
      <c r="C406" s="235"/>
      <c r="D406" s="117"/>
      <c r="E406" s="117"/>
      <c r="F406" s="117"/>
    </row>
    <row r="407">
      <c r="A407" s="117"/>
      <c r="B407" s="117"/>
      <c r="C407" s="235"/>
      <c r="D407" s="117"/>
      <c r="E407" s="117"/>
      <c r="F407" s="117"/>
    </row>
    <row r="408">
      <c r="A408" s="117"/>
      <c r="B408" s="117"/>
      <c r="C408" s="235"/>
      <c r="D408" s="117"/>
      <c r="E408" s="117"/>
      <c r="F408" s="117"/>
    </row>
    <row r="409">
      <c r="A409" s="117"/>
      <c r="B409" s="117"/>
      <c r="C409" s="235"/>
      <c r="D409" s="117"/>
      <c r="E409" s="117"/>
      <c r="F409" s="117"/>
    </row>
    <row r="410">
      <c r="A410" s="117"/>
      <c r="B410" s="117"/>
      <c r="C410" s="235"/>
      <c r="D410" s="117"/>
      <c r="E410" s="117"/>
      <c r="F410" s="117"/>
    </row>
    <row r="411">
      <c r="A411" s="117"/>
      <c r="B411" s="117"/>
      <c r="C411" s="235"/>
      <c r="D411" s="117"/>
      <c r="E411" s="117"/>
      <c r="F411" s="117"/>
    </row>
    <row r="412">
      <c r="A412" s="117"/>
      <c r="B412" s="117"/>
      <c r="C412" s="235"/>
      <c r="D412" s="117"/>
      <c r="E412" s="117"/>
      <c r="F412" s="117"/>
    </row>
    <row r="413">
      <c r="A413" s="117"/>
      <c r="B413" s="117"/>
      <c r="C413" s="235"/>
      <c r="D413" s="117"/>
      <c r="E413" s="117"/>
      <c r="F413" s="117"/>
    </row>
    <row r="414">
      <c r="A414" s="117"/>
      <c r="B414" s="117"/>
      <c r="C414" s="235"/>
      <c r="D414" s="117"/>
      <c r="E414" s="117"/>
      <c r="F414" s="117"/>
    </row>
    <row r="415">
      <c r="A415" s="117"/>
      <c r="B415" s="117"/>
      <c r="C415" s="235"/>
      <c r="D415" s="117"/>
      <c r="E415" s="117"/>
      <c r="F415" s="117"/>
    </row>
    <row r="416">
      <c r="A416" s="117"/>
      <c r="B416" s="117"/>
      <c r="C416" s="235"/>
      <c r="D416" s="117"/>
      <c r="E416" s="117"/>
      <c r="F416" s="117"/>
    </row>
    <row r="417">
      <c r="A417" s="117"/>
      <c r="B417" s="117"/>
      <c r="C417" s="235"/>
      <c r="D417" s="117"/>
      <c r="E417" s="117"/>
      <c r="F417" s="117"/>
    </row>
    <row r="418">
      <c r="A418" s="117"/>
      <c r="B418" s="117"/>
      <c r="C418" s="235"/>
      <c r="D418" s="117"/>
      <c r="E418" s="117"/>
      <c r="F418" s="117"/>
    </row>
    <row r="419">
      <c r="A419" s="117"/>
      <c r="B419" s="117"/>
      <c r="C419" s="235"/>
      <c r="D419" s="117"/>
      <c r="E419" s="117"/>
      <c r="F419" s="117"/>
    </row>
    <row r="420">
      <c r="A420" s="117"/>
      <c r="B420" s="117"/>
      <c r="C420" s="235"/>
      <c r="D420" s="117"/>
      <c r="E420" s="117"/>
      <c r="F420" s="117"/>
    </row>
    <row r="421">
      <c r="A421" s="117"/>
      <c r="B421" s="117"/>
      <c r="C421" s="235"/>
      <c r="D421" s="117"/>
      <c r="E421" s="117"/>
      <c r="F421" s="117"/>
    </row>
    <row r="422">
      <c r="A422" s="117"/>
      <c r="B422" s="117"/>
      <c r="C422" s="235"/>
      <c r="D422" s="117"/>
      <c r="E422" s="117"/>
      <c r="F422" s="117"/>
    </row>
    <row r="423">
      <c r="A423" s="117"/>
      <c r="B423" s="117"/>
      <c r="C423" s="235"/>
      <c r="D423" s="117"/>
      <c r="E423" s="117"/>
      <c r="F423" s="117"/>
    </row>
    <row r="424">
      <c r="A424" s="117"/>
      <c r="B424" s="117"/>
      <c r="C424" s="235"/>
      <c r="D424" s="117"/>
      <c r="E424" s="117"/>
      <c r="F424" s="117"/>
    </row>
    <row r="425">
      <c r="A425" s="117"/>
      <c r="B425" s="117"/>
      <c r="C425" s="235"/>
      <c r="D425" s="117"/>
      <c r="E425" s="117"/>
      <c r="F425" s="117"/>
    </row>
    <row r="426">
      <c r="A426" s="117"/>
      <c r="B426" s="117"/>
      <c r="C426" s="235"/>
      <c r="D426" s="117"/>
      <c r="E426" s="117"/>
      <c r="F426" s="117"/>
    </row>
    <row r="427">
      <c r="A427" s="117"/>
      <c r="B427" s="117"/>
      <c r="C427" s="235"/>
      <c r="D427" s="117"/>
      <c r="E427" s="117"/>
      <c r="F427" s="117"/>
    </row>
    <row r="428">
      <c r="A428" s="117"/>
      <c r="B428" s="117"/>
      <c r="C428" s="235"/>
      <c r="D428" s="117"/>
      <c r="E428" s="117"/>
      <c r="F428" s="117"/>
    </row>
    <row r="429">
      <c r="A429" s="117"/>
      <c r="B429" s="117"/>
      <c r="C429" s="235"/>
      <c r="D429" s="117"/>
      <c r="E429" s="117"/>
      <c r="F429" s="117"/>
    </row>
    <row r="430">
      <c r="A430" s="117"/>
      <c r="B430" s="117"/>
      <c r="C430" s="235"/>
      <c r="D430" s="117"/>
      <c r="E430" s="117"/>
      <c r="F430" s="117"/>
    </row>
    <row r="431">
      <c r="A431" s="117"/>
      <c r="B431" s="117"/>
      <c r="C431" s="235"/>
      <c r="D431" s="117"/>
      <c r="E431" s="117"/>
      <c r="F431" s="117"/>
    </row>
    <row r="432">
      <c r="A432" s="117"/>
      <c r="B432" s="117"/>
      <c r="C432" s="235"/>
      <c r="D432" s="117"/>
      <c r="E432" s="117"/>
      <c r="F432" s="117"/>
    </row>
    <row r="433">
      <c r="A433" s="117"/>
      <c r="B433" s="117"/>
      <c r="C433" s="235"/>
      <c r="D433" s="117"/>
      <c r="E433" s="117"/>
      <c r="F433" s="117"/>
    </row>
    <row r="434">
      <c r="A434" s="117"/>
      <c r="B434" s="117"/>
      <c r="C434" s="235"/>
      <c r="D434" s="117"/>
      <c r="E434" s="117"/>
      <c r="F434" s="117"/>
    </row>
    <row r="435">
      <c r="A435" s="117"/>
      <c r="B435" s="117"/>
      <c r="C435" s="235"/>
      <c r="D435" s="117"/>
      <c r="E435" s="117"/>
      <c r="F435" s="117"/>
    </row>
    <row r="436">
      <c r="A436" s="117"/>
      <c r="B436" s="117"/>
      <c r="C436" s="235"/>
      <c r="D436" s="117"/>
      <c r="E436" s="117"/>
      <c r="F436" s="117"/>
    </row>
    <row r="437">
      <c r="A437" s="117"/>
      <c r="B437" s="117"/>
      <c r="C437" s="235"/>
      <c r="D437" s="117"/>
      <c r="E437" s="117"/>
      <c r="F437" s="117"/>
    </row>
    <row r="438">
      <c r="A438" s="117"/>
      <c r="B438" s="117"/>
      <c r="C438" s="235"/>
      <c r="D438" s="117"/>
      <c r="E438" s="117"/>
      <c r="F438" s="117"/>
    </row>
    <row r="439">
      <c r="A439" s="117"/>
      <c r="B439" s="117"/>
      <c r="C439" s="235"/>
      <c r="D439" s="117"/>
      <c r="E439" s="117"/>
      <c r="F439" s="117"/>
    </row>
    <row r="440">
      <c r="A440" s="117"/>
      <c r="B440" s="117"/>
      <c r="C440" s="235"/>
      <c r="D440" s="117"/>
      <c r="E440" s="117"/>
      <c r="F440" s="117"/>
    </row>
    <row r="441">
      <c r="A441" s="117"/>
      <c r="B441" s="117"/>
      <c r="C441" s="235"/>
      <c r="D441" s="117"/>
      <c r="E441" s="117"/>
      <c r="F441" s="117"/>
    </row>
    <row r="442">
      <c r="A442" s="117"/>
      <c r="B442" s="117"/>
      <c r="C442" s="235"/>
      <c r="D442" s="117"/>
      <c r="E442" s="117"/>
      <c r="F442" s="117"/>
    </row>
    <row r="443">
      <c r="A443" s="117"/>
      <c r="B443" s="117"/>
      <c r="C443" s="235"/>
      <c r="D443" s="117"/>
      <c r="E443" s="117"/>
      <c r="F443" s="117"/>
    </row>
    <row r="444">
      <c r="A444" s="117"/>
      <c r="B444" s="117"/>
      <c r="C444" s="235"/>
      <c r="D444" s="117"/>
      <c r="E444" s="117"/>
      <c r="F444" s="117"/>
    </row>
    <row r="445">
      <c r="A445" s="117"/>
      <c r="B445" s="117"/>
      <c r="C445" s="235"/>
      <c r="D445" s="117"/>
      <c r="E445" s="117"/>
      <c r="F445" s="117"/>
    </row>
    <row r="446">
      <c r="A446" s="117"/>
      <c r="B446" s="117"/>
      <c r="C446" s="235"/>
      <c r="D446" s="117"/>
      <c r="E446" s="117"/>
      <c r="F446" s="117"/>
    </row>
    <row r="447">
      <c r="A447" s="117"/>
      <c r="B447" s="117"/>
      <c r="C447" s="235"/>
      <c r="D447" s="117"/>
      <c r="E447" s="117"/>
      <c r="F447" s="117"/>
    </row>
    <row r="448">
      <c r="A448" s="117"/>
      <c r="B448" s="117"/>
      <c r="C448" s="235"/>
      <c r="D448" s="117"/>
      <c r="E448" s="117"/>
      <c r="F448" s="117"/>
    </row>
    <row r="449">
      <c r="A449" s="117"/>
      <c r="B449" s="117"/>
      <c r="C449" s="235"/>
      <c r="D449" s="117"/>
      <c r="E449" s="117"/>
      <c r="F449" s="117"/>
    </row>
    <row r="450">
      <c r="A450" s="117"/>
      <c r="B450" s="117"/>
      <c r="C450" s="235"/>
      <c r="D450" s="117"/>
      <c r="E450" s="117"/>
      <c r="F450" s="117"/>
    </row>
    <row r="451">
      <c r="A451" s="117"/>
      <c r="B451" s="117"/>
      <c r="C451" s="235"/>
      <c r="D451" s="117"/>
      <c r="E451" s="117"/>
      <c r="F451" s="117"/>
    </row>
    <row r="452">
      <c r="A452" s="117"/>
      <c r="B452" s="117"/>
      <c r="C452" s="235"/>
      <c r="D452" s="117"/>
      <c r="E452" s="117"/>
      <c r="F452" s="117"/>
    </row>
    <row r="453">
      <c r="A453" s="117"/>
      <c r="B453" s="117"/>
      <c r="C453" s="235"/>
      <c r="D453" s="117"/>
      <c r="E453" s="117"/>
      <c r="F453" s="117"/>
    </row>
    <row r="454">
      <c r="A454" s="117"/>
      <c r="B454" s="117"/>
      <c r="C454" s="235"/>
      <c r="D454" s="117"/>
      <c r="E454" s="117"/>
      <c r="F454" s="117"/>
    </row>
    <row r="455">
      <c r="A455" s="117"/>
      <c r="B455" s="117"/>
      <c r="C455" s="235"/>
      <c r="D455" s="117"/>
      <c r="E455" s="117"/>
      <c r="F455" s="117"/>
    </row>
    <row r="456">
      <c r="A456" s="117"/>
      <c r="B456" s="117"/>
      <c r="C456" s="235"/>
      <c r="D456" s="117"/>
      <c r="E456" s="117"/>
      <c r="F456" s="117"/>
    </row>
    <row r="457">
      <c r="A457" s="117"/>
      <c r="B457" s="117"/>
      <c r="C457" s="235"/>
      <c r="D457" s="117"/>
      <c r="E457" s="117"/>
      <c r="F457" s="117"/>
    </row>
    <row r="458">
      <c r="A458" s="117"/>
      <c r="B458" s="117"/>
      <c r="C458" s="235"/>
      <c r="D458" s="117"/>
      <c r="E458" s="117"/>
      <c r="F458" s="117"/>
    </row>
    <row r="459">
      <c r="A459" s="117"/>
      <c r="B459" s="117"/>
      <c r="C459" s="235"/>
      <c r="D459" s="117"/>
      <c r="E459" s="117"/>
      <c r="F459" s="117"/>
    </row>
    <row r="460">
      <c r="A460" s="117"/>
      <c r="B460" s="117"/>
      <c r="C460" s="235"/>
      <c r="D460" s="117"/>
      <c r="E460" s="117"/>
      <c r="F460" s="117"/>
    </row>
    <row r="461">
      <c r="A461" s="117"/>
      <c r="B461" s="117"/>
      <c r="C461" s="235"/>
      <c r="D461" s="117"/>
      <c r="E461" s="117"/>
      <c r="F461" s="117"/>
    </row>
    <row r="462">
      <c r="A462" s="117"/>
      <c r="B462" s="117"/>
      <c r="C462" s="235"/>
      <c r="D462" s="117"/>
      <c r="E462" s="117"/>
      <c r="F462" s="117"/>
    </row>
    <row r="463">
      <c r="A463" s="117"/>
      <c r="B463" s="117"/>
      <c r="C463" s="235"/>
      <c r="D463" s="117"/>
      <c r="E463" s="117"/>
      <c r="F463" s="117"/>
    </row>
    <row r="464">
      <c r="A464" s="117"/>
      <c r="B464" s="117"/>
      <c r="C464" s="235"/>
      <c r="D464" s="117"/>
      <c r="E464" s="117"/>
      <c r="F464" s="117"/>
    </row>
    <row r="465">
      <c r="A465" s="117"/>
      <c r="B465" s="117"/>
      <c r="C465" s="235"/>
      <c r="D465" s="117"/>
      <c r="E465" s="117"/>
      <c r="F465" s="117"/>
    </row>
    <row r="466">
      <c r="A466" s="117"/>
      <c r="B466" s="117"/>
      <c r="C466" s="235"/>
      <c r="D466" s="117"/>
      <c r="E466" s="117"/>
      <c r="F466" s="117"/>
    </row>
    <row r="467">
      <c r="A467" s="117"/>
      <c r="B467" s="117"/>
      <c r="C467" s="235"/>
      <c r="D467" s="117"/>
      <c r="E467" s="117"/>
      <c r="F467" s="117"/>
    </row>
    <row r="468">
      <c r="A468" s="117"/>
      <c r="B468" s="117"/>
      <c r="C468" s="235"/>
      <c r="D468" s="117"/>
      <c r="E468" s="117"/>
      <c r="F468" s="117"/>
    </row>
    <row r="469">
      <c r="A469" s="117"/>
      <c r="B469" s="117"/>
      <c r="C469" s="235"/>
      <c r="D469" s="117"/>
      <c r="E469" s="117"/>
      <c r="F469" s="117"/>
    </row>
    <row r="470">
      <c r="A470" s="117"/>
      <c r="B470" s="117"/>
      <c r="C470" s="235"/>
      <c r="D470" s="117"/>
      <c r="E470" s="117"/>
      <c r="F470" s="117"/>
    </row>
    <row r="471">
      <c r="A471" s="117"/>
      <c r="B471" s="117"/>
      <c r="C471" s="235"/>
      <c r="D471" s="117"/>
      <c r="E471" s="117"/>
      <c r="F471" s="117"/>
    </row>
    <row r="472">
      <c r="A472" s="117"/>
      <c r="B472" s="117"/>
      <c r="C472" s="235"/>
      <c r="D472" s="117"/>
      <c r="E472" s="117"/>
      <c r="F472" s="117"/>
    </row>
    <row r="473">
      <c r="A473" s="117"/>
      <c r="B473" s="117"/>
      <c r="C473" s="235"/>
      <c r="D473" s="117"/>
      <c r="E473" s="117"/>
      <c r="F473" s="117"/>
    </row>
    <row r="474">
      <c r="A474" s="117"/>
      <c r="B474" s="117"/>
      <c r="C474" s="235"/>
      <c r="D474" s="117"/>
      <c r="E474" s="117"/>
      <c r="F474" s="117"/>
    </row>
    <row r="475">
      <c r="A475" s="117"/>
      <c r="B475" s="117"/>
      <c r="C475" s="235"/>
      <c r="D475" s="117"/>
      <c r="E475" s="117"/>
      <c r="F475" s="117"/>
    </row>
    <row r="476">
      <c r="A476" s="117"/>
      <c r="B476" s="117"/>
      <c r="C476" s="235"/>
      <c r="D476" s="117"/>
      <c r="E476" s="117"/>
      <c r="F476" s="117"/>
    </row>
    <row r="477">
      <c r="A477" s="117"/>
      <c r="B477" s="117"/>
      <c r="C477" s="235"/>
      <c r="D477" s="117"/>
      <c r="E477" s="117"/>
      <c r="F477" s="117"/>
    </row>
    <row r="478">
      <c r="A478" s="117"/>
      <c r="B478" s="117"/>
      <c r="C478" s="235"/>
      <c r="D478" s="117"/>
      <c r="E478" s="117"/>
      <c r="F478" s="117"/>
    </row>
    <row r="479">
      <c r="A479" s="117"/>
      <c r="B479" s="117"/>
      <c r="C479" s="235"/>
      <c r="D479" s="117"/>
      <c r="E479" s="117"/>
      <c r="F479" s="117"/>
    </row>
    <row r="480">
      <c r="A480" s="117"/>
      <c r="B480" s="117"/>
      <c r="C480" s="235"/>
      <c r="D480" s="117"/>
      <c r="E480" s="117"/>
      <c r="F480" s="117"/>
    </row>
    <row r="481">
      <c r="A481" s="117"/>
      <c r="B481" s="117"/>
      <c r="C481" s="235"/>
      <c r="D481" s="117"/>
      <c r="E481" s="117"/>
      <c r="F481" s="117"/>
    </row>
    <row r="482">
      <c r="A482" s="117"/>
      <c r="B482" s="117"/>
      <c r="C482" s="235"/>
      <c r="D482" s="117"/>
      <c r="E482" s="117"/>
      <c r="F482" s="117"/>
    </row>
    <row r="483">
      <c r="A483" s="117"/>
      <c r="B483" s="117"/>
      <c r="C483" s="235"/>
      <c r="D483" s="117"/>
      <c r="E483" s="117"/>
      <c r="F483" s="117"/>
    </row>
    <row r="484">
      <c r="A484" s="117"/>
      <c r="B484" s="117"/>
      <c r="C484" s="235"/>
      <c r="D484" s="117"/>
      <c r="E484" s="117"/>
      <c r="F484" s="117"/>
    </row>
    <row r="485">
      <c r="A485" s="117"/>
      <c r="B485" s="117"/>
      <c r="C485" s="235"/>
      <c r="D485" s="117"/>
      <c r="E485" s="117"/>
      <c r="F485" s="117"/>
    </row>
    <row r="486">
      <c r="A486" s="117"/>
      <c r="B486" s="117"/>
      <c r="C486" s="235"/>
      <c r="D486" s="117"/>
      <c r="E486" s="117"/>
      <c r="F486" s="117"/>
    </row>
    <row r="487">
      <c r="A487" s="117"/>
      <c r="B487" s="117"/>
      <c r="C487" s="235"/>
      <c r="D487" s="117"/>
      <c r="E487" s="117"/>
      <c r="F487" s="117"/>
    </row>
    <row r="488">
      <c r="A488" s="117"/>
      <c r="B488" s="117"/>
      <c r="C488" s="235"/>
      <c r="D488" s="117"/>
      <c r="E488" s="117"/>
      <c r="F488" s="117"/>
    </row>
    <row r="489">
      <c r="A489" s="117"/>
      <c r="B489" s="117"/>
      <c r="C489" s="235"/>
      <c r="D489" s="117"/>
      <c r="E489" s="117"/>
      <c r="F489" s="117"/>
    </row>
    <row r="490">
      <c r="A490" s="117"/>
      <c r="B490" s="117"/>
      <c r="C490" s="235"/>
      <c r="D490" s="117"/>
      <c r="E490" s="117"/>
      <c r="F490" s="117"/>
    </row>
    <row r="491">
      <c r="A491" s="117"/>
      <c r="B491" s="117"/>
      <c r="C491" s="235"/>
      <c r="D491" s="117"/>
      <c r="E491" s="117"/>
      <c r="F491" s="117"/>
    </row>
    <row r="492">
      <c r="A492" s="117"/>
      <c r="B492" s="117"/>
      <c r="C492" s="235"/>
      <c r="D492" s="117"/>
      <c r="E492" s="117"/>
      <c r="F492" s="117"/>
    </row>
    <row r="493">
      <c r="A493" s="117"/>
      <c r="B493" s="117"/>
      <c r="C493" s="235"/>
      <c r="D493" s="117"/>
      <c r="E493" s="117"/>
      <c r="F493" s="117"/>
    </row>
    <row r="494">
      <c r="A494" s="117"/>
      <c r="B494" s="117"/>
      <c r="C494" s="235"/>
      <c r="D494" s="117"/>
      <c r="E494" s="117"/>
      <c r="F494" s="117"/>
    </row>
    <row r="495">
      <c r="A495" s="117"/>
      <c r="B495" s="117"/>
      <c r="C495" s="235"/>
      <c r="D495" s="117"/>
      <c r="E495" s="117"/>
      <c r="F495" s="117"/>
    </row>
    <row r="496">
      <c r="A496" s="117"/>
      <c r="B496" s="117"/>
      <c r="C496" s="235"/>
      <c r="D496" s="117"/>
      <c r="E496" s="117"/>
      <c r="F496" s="117"/>
    </row>
    <row r="497">
      <c r="A497" s="117"/>
      <c r="B497" s="117"/>
      <c r="C497" s="235"/>
      <c r="D497" s="117"/>
      <c r="E497" s="117"/>
      <c r="F497" s="117"/>
    </row>
    <row r="498">
      <c r="A498" s="117"/>
      <c r="B498" s="117"/>
      <c r="C498" s="235"/>
      <c r="D498" s="117"/>
      <c r="E498" s="117"/>
      <c r="F498" s="117"/>
    </row>
    <row r="499">
      <c r="A499" s="117"/>
      <c r="B499" s="117"/>
      <c r="C499" s="235"/>
      <c r="D499" s="117"/>
      <c r="E499" s="117"/>
      <c r="F499" s="117"/>
    </row>
    <row r="500">
      <c r="A500" s="117"/>
      <c r="B500" s="117"/>
      <c r="C500" s="235"/>
      <c r="D500" s="117"/>
      <c r="E500" s="117"/>
      <c r="F500" s="117"/>
    </row>
    <row r="501">
      <c r="A501" s="117"/>
      <c r="B501" s="117"/>
      <c r="C501" s="235"/>
      <c r="D501" s="117"/>
      <c r="E501" s="117"/>
      <c r="F501" s="117"/>
    </row>
    <row r="502">
      <c r="A502" s="117"/>
      <c r="B502" s="117"/>
      <c r="C502" s="235"/>
      <c r="D502" s="117"/>
      <c r="E502" s="117"/>
      <c r="F502" s="117"/>
    </row>
    <row r="503">
      <c r="A503" s="117"/>
      <c r="B503" s="117"/>
      <c r="C503" s="235"/>
      <c r="D503" s="117"/>
      <c r="E503" s="117"/>
      <c r="F503" s="117"/>
    </row>
    <row r="504">
      <c r="A504" s="117"/>
      <c r="B504" s="117"/>
      <c r="C504" s="235"/>
      <c r="D504" s="117"/>
      <c r="E504" s="117"/>
      <c r="F504" s="117"/>
    </row>
    <row r="505">
      <c r="A505" s="117"/>
      <c r="B505" s="117"/>
      <c r="C505" s="235"/>
      <c r="D505" s="117"/>
      <c r="E505" s="117"/>
      <c r="F505" s="117"/>
    </row>
    <row r="506">
      <c r="A506" s="117"/>
      <c r="B506" s="117"/>
      <c r="C506" s="235"/>
      <c r="D506" s="117"/>
      <c r="E506" s="117"/>
      <c r="F506" s="117"/>
    </row>
    <row r="507">
      <c r="A507" s="117"/>
      <c r="B507" s="117"/>
      <c r="C507" s="235"/>
      <c r="D507" s="117"/>
      <c r="E507" s="117"/>
      <c r="F507" s="117"/>
    </row>
    <row r="508">
      <c r="A508" s="117"/>
      <c r="B508" s="117"/>
      <c r="C508" s="235"/>
      <c r="D508" s="117"/>
      <c r="E508" s="117"/>
      <c r="F508" s="117"/>
    </row>
    <row r="509">
      <c r="A509" s="117"/>
      <c r="B509" s="117"/>
      <c r="C509" s="235"/>
      <c r="D509" s="117"/>
      <c r="E509" s="117"/>
      <c r="F509" s="117"/>
    </row>
    <row r="510">
      <c r="A510" s="117"/>
      <c r="B510" s="117"/>
      <c r="C510" s="235"/>
      <c r="D510" s="117"/>
      <c r="E510" s="117"/>
      <c r="F510" s="117"/>
    </row>
    <row r="511">
      <c r="A511" s="117"/>
      <c r="B511" s="117"/>
      <c r="C511" s="235"/>
      <c r="D511" s="117"/>
      <c r="E511" s="117"/>
      <c r="F511" s="117"/>
    </row>
    <row r="512">
      <c r="A512" s="117"/>
      <c r="B512" s="117"/>
      <c r="C512" s="235"/>
      <c r="D512" s="117"/>
      <c r="E512" s="117"/>
      <c r="F512" s="117"/>
    </row>
    <row r="513">
      <c r="A513" s="117"/>
      <c r="B513" s="117"/>
      <c r="C513" s="235"/>
      <c r="D513" s="117"/>
      <c r="E513" s="117"/>
      <c r="F513" s="117"/>
    </row>
    <row r="514">
      <c r="A514" s="117"/>
      <c r="B514" s="117"/>
      <c r="C514" s="235"/>
      <c r="D514" s="117"/>
      <c r="E514" s="117"/>
      <c r="F514" s="117"/>
    </row>
    <row r="515">
      <c r="A515" s="117"/>
      <c r="B515" s="117"/>
      <c r="C515" s="235"/>
      <c r="D515" s="117"/>
      <c r="E515" s="117"/>
      <c r="F515" s="117"/>
    </row>
    <row r="516">
      <c r="A516" s="117"/>
      <c r="B516" s="117"/>
      <c r="C516" s="235"/>
      <c r="D516" s="117"/>
      <c r="E516" s="117"/>
      <c r="F516" s="117"/>
    </row>
    <row r="517">
      <c r="A517" s="117"/>
      <c r="B517" s="117"/>
      <c r="C517" s="235"/>
      <c r="D517" s="117"/>
      <c r="E517" s="117"/>
      <c r="F517" s="117"/>
    </row>
    <row r="518">
      <c r="A518" s="117"/>
      <c r="B518" s="117"/>
      <c r="C518" s="235"/>
      <c r="D518" s="117"/>
      <c r="E518" s="117"/>
      <c r="F518" s="117"/>
    </row>
    <row r="519">
      <c r="A519" s="117"/>
      <c r="B519" s="117"/>
      <c r="C519" s="235"/>
      <c r="D519" s="117"/>
      <c r="E519" s="117"/>
      <c r="F519" s="117"/>
    </row>
    <row r="520">
      <c r="A520" s="117"/>
      <c r="B520" s="117"/>
      <c r="C520" s="235"/>
      <c r="D520" s="117"/>
      <c r="E520" s="117"/>
      <c r="F520" s="117"/>
    </row>
    <row r="521">
      <c r="A521" s="117"/>
      <c r="B521" s="117"/>
      <c r="C521" s="235"/>
      <c r="D521" s="117"/>
      <c r="E521" s="117"/>
      <c r="F521" s="117"/>
    </row>
    <row r="522">
      <c r="A522" s="117"/>
      <c r="B522" s="117"/>
      <c r="C522" s="235"/>
      <c r="D522" s="117"/>
      <c r="E522" s="117"/>
      <c r="F522" s="117"/>
    </row>
    <row r="523">
      <c r="A523" s="117"/>
      <c r="B523" s="117"/>
      <c r="C523" s="235"/>
      <c r="D523" s="117"/>
      <c r="E523" s="117"/>
      <c r="F523" s="117"/>
    </row>
    <row r="524">
      <c r="A524" s="117"/>
      <c r="B524" s="117"/>
      <c r="C524" s="235"/>
      <c r="D524" s="117"/>
      <c r="E524" s="117"/>
      <c r="F524" s="117"/>
    </row>
    <row r="525">
      <c r="A525" s="117"/>
      <c r="B525" s="117"/>
      <c r="C525" s="235"/>
      <c r="D525" s="117"/>
      <c r="E525" s="117"/>
      <c r="F525" s="117"/>
    </row>
    <row r="526">
      <c r="A526" s="117"/>
      <c r="B526" s="117"/>
      <c r="C526" s="235"/>
      <c r="D526" s="117"/>
      <c r="E526" s="117"/>
      <c r="F526" s="117"/>
    </row>
    <row r="527">
      <c r="A527" s="117"/>
      <c r="B527" s="117"/>
      <c r="C527" s="235"/>
      <c r="D527" s="117"/>
      <c r="E527" s="117"/>
      <c r="F527" s="117"/>
    </row>
    <row r="528">
      <c r="A528" s="117"/>
      <c r="B528" s="117"/>
      <c r="C528" s="235"/>
      <c r="D528" s="117"/>
      <c r="E528" s="117"/>
      <c r="F528" s="117"/>
    </row>
    <row r="529">
      <c r="A529" s="117"/>
      <c r="B529" s="117"/>
      <c r="C529" s="235"/>
      <c r="D529" s="117"/>
      <c r="E529" s="117"/>
      <c r="F529" s="117"/>
    </row>
    <row r="530">
      <c r="A530" s="117"/>
      <c r="B530" s="117"/>
      <c r="C530" s="235"/>
      <c r="D530" s="117"/>
      <c r="E530" s="117"/>
      <c r="F530" s="117"/>
    </row>
    <row r="531">
      <c r="A531" s="117"/>
      <c r="B531" s="117"/>
      <c r="C531" s="235"/>
      <c r="D531" s="117"/>
      <c r="E531" s="117"/>
      <c r="F531" s="117"/>
    </row>
    <row r="532">
      <c r="A532" s="117"/>
      <c r="B532" s="117"/>
      <c r="C532" s="235"/>
      <c r="D532" s="117"/>
      <c r="E532" s="117"/>
      <c r="F532" s="117"/>
    </row>
    <row r="533">
      <c r="A533" s="117"/>
      <c r="B533" s="117"/>
      <c r="C533" s="235"/>
      <c r="D533" s="117"/>
      <c r="E533" s="117"/>
      <c r="F533" s="117"/>
    </row>
    <row r="534">
      <c r="A534" s="117"/>
      <c r="B534" s="117"/>
      <c r="C534" s="235"/>
      <c r="D534" s="117"/>
      <c r="E534" s="117"/>
      <c r="F534" s="117"/>
    </row>
    <row r="535">
      <c r="A535" s="117"/>
      <c r="B535" s="117"/>
      <c r="C535" s="235"/>
      <c r="D535" s="117"/>
      <c r="E535" s="117"/>
      <c r="F535" s="117"/>
    </row>
    <row r="536">
      <c r="A536" s="117"/>
      <c r="B536" s="117"/>
      <c r="C536" s="235"/>
      <c r="D536" s="117"/>
      <c r="E536" s="117"/>
      <c r="F536" s="117"/>
    </row>
    <row r="537">
      <c r="A537" s="117"/>
      <c r="B537" s="117"/>
      <c r="C537" s="235"/>
      <c r="D537" s="117"/>
      <c r="E537" s="117"/>
      <c r="F537" s="117"/>
    </row>
    <row r="538">
      <c r="A538" s="117"/>
      <c r="B538" s="117"/>
      <c r="C538" s="235"/>
      <c r="D538" s="117"/>
      <c r="E538" s="117"/>
      <c r="F538" s="117"/>
    </row>
    <row r="539">
      <c r="A539" s="117"/>
      <c r="B539" s="117"/>
      <c r="C539" s="235"/>
      <c r="D539" s="117"/>
      <c r="E539" s="117"/>
      <c r="F539" s="117"/>
    </row>
    <row r="540">
      <c r="A540" s="117"/>
      <c r="B540" s="117"/>
      <c r="C540" s="235"/>
      <c r="D540" s="117"/>
      <c r="E540" s="117"/>
      <c r="F540" s="117"/>
    </row>
    <row r="541">
      <c r="A541" s="117"/>
      <c r="B541" s="117"/>
      <c r="C541" s="235"/>
      <c r="D541" s="117"/>
      <c r="E541" s="117"/>
      <c r="F541" s="117"/>
    </row>
    <row r="542">
      <c r="A542" s="117"/>
      <c r="B542" s="117"/>
      <c r="C542" s="235"/>
      <c r="D542" s="117"/>
      <c r="E542" s="117"/>
      <c r="F542" s="117"/>
    </row>
    <row r="543">
      <c r="A543" s="117"/>
      <c r="B543" s="117"/>
      <c r="C543" s="235"/>
      <c r="D543" s="117"/>
      <c r="E543" s="117"/>
      <c r="F543" s="117"/>
    </row>
    <row r="544">
      <c r="A544" s="117"/>
      <c r="B544" s="117"/>
      <c r="C544" s="235"/>
      <c r="D544" s="117"/>
      <c r="E544" s="117"/>
      <c r="F544" s="117"/>
    </row>
    <row r="545">
      <c r="A545" s="117"/>
      <c r="B545" s="117"/>
      <c r="C545" s="235"/>
      <c r="D545" s="117"/>
      <c r="E545" s="117"/>
      <c r="F545" s="117"/>
    </row>
    <row r="546">
      <c r="A546" s="117"/>
      <c r="B546" s="117"/>
      <c r="C546" s="235"/>
      <c r="D546" s="117"/>
      <c r="E546" s="117"/>
      <c r="F546" s="117"/>
    </row>
    <row r="547">
      <c r="A547" s="117"/>
      <c r="B547" s="117"/>
      <c r="C547" s="235"/>
      <c r="D547" s="117"/>
      <c r="E547" s="117"/>
      <c r="F547" s="117"/>
    </row>
    <row r="548">
      <c r="A548" s="117"/>
      <c r="B548" s="117"/>
      <c r="C548" s="235"/>
      <c r="D548" s="117"/>
      <c r="E548" s="117"/>
      <c r="F548" s="117"/>
    </row>
    <row r="549">
      <c r="A549" s="117"/>
      <c r="B549" s="117"/>
      <c r="C549" s="235"/>
      <c r="D549" s="117"/>
      <c r="E549" s="117"/>
      <c r="F549" s="117"/>
    </row>
    <row r="550">
      <c r="A550" s="117"/>
      <c r="B550" s="117"/>
      <c r="C550" s="235"/>
      <c r="D550" s="117"/>
      <c r="E550" s="117"/>
      <c r="F550" s="117"/>
    </row>
    <row r="551">
      <c r="A551" s="117"/>
      <c r="B551" s="117"/>
      <c r="C551" s="235"/>
      <c r="D551" s="117"/>
      <c r="E551" s="117"/>
      <c r="F551" s="117"/>
    </row>
    <row r="552">
      <c r="A552" s="117"/>
      <c r="B552" s="117"/>
      <c r="C552" s="235"/>
      <c r="D552" s="117"/>
      <c r="E552" s="117"/>
      <c r="F552" s="117"/>
    </row>
    <row r="553">
      <c r="A553" s="117"/>
      <c r="B553" s="117"/>
      <c r="C553" s="235"/>
      <c r="D553" s="117"/>
      <c r="E553" s="117"/>
      <c r="F553" s="117"/>
    </row>
    <row r="554">
      <c r="A554" s="117"/>
      <c r="B554" s="117"/>
      <c r="C554" s="235"/>
      <c r="D554" s="117"/>
      <c r="E554" s="117"/>
      <c r="F554" s="117"/>
    </row>
    <row r="555">
      <c r="A555" s="117"/>
      <c r="B555" s="117"/>
      <c r="C555" s="235"/>
      <c r="D555" s="117"/>
      <c r="E555" s="117"/>
      <c r="F555" s="117"/>
    </row>
    <row r="556">
      <c r="A556" s="117"/>
      <c r="B556" s="117"/>
      <c r="C556" s="235"/>
      <c r="D556" s="117"/>
      <c r="E556" s="117"/>
      <c r="F556" s="117"/>
    </row>
    <row r="557">
      <c r="A557" s="117"/>
      <c r="B557" s="117"/>
      <c r="C557" s="235"/>
      <c r="D557" s="117"/>
      <c r="E557" s="117"/>
      <c r="F557" s="117"/>
    </row>
    <row r="558">
      <c r="A558" s="117"/>
      <c r="B558" s="117"/>
      <c r="C558" s="235"/>
      <c r="D558" s="117"/>
      <c r="E558" s="117"/>
      <c r="F558" s="117"/>
    </row>
    <row r="559">
      <c r="A559" s="117"/>
      <c r="B559" s="117"/>
      <c r="C559" s="235"/>
      <c r="D559" s="117"/>
      <c r="E559" s="117"/>
      <c r="F559" s="117"/>
    </row>
    <row r="560">
      <c r="A560" s="117"/>
      <c r="B560" s="117"/>
      <c r="C560" s="235"/>
      <c r="D560" s="117"/>
      <c r="E560" s="117"/>
      <c r="F560" s="117"/>
    </row>
    <row r="561">
      <c r="A561" s="117"/>
      <c r="B561" s="117"/>
      <c r="C561" s="235"/>
      <c r="D561" s="117"/>
      <c r="E561" s="117"/>
      <c r="F561" s="117"/>
    </row>
    <row r="562">
      <c r="A562" s="117"/>
      <c r="B562" s="117"/>
      <c r="C562" s="235"/>
      <c r="D562" s="117"/>
      <c r="E562" s="117"/>
      <c r="F562" s="117"/>
    </row>
    <row r="563">
      <c r="A563" s="117"/>
      <c r="B563" s="117"/>
      <c r="C563" s="235"/>
      <c r="D563" s="117"/>
      <c r="E563" s="117"/>
      <c r="F563" s="117"/>
    </row>
    <row r="564">
      <c r="A564" s="117"/>
      <c r="B564" s="117"/>
      <c r="C564" s="235"/>
      <c r="D564" s="117"/>
      <c r="E564" s="117"/>
      <c r="F564" s="117"/>
    </row>
    <row r="565">
      <c r="A565" s="117"/>
      <c r="B565" s="117"/>
      <c r="C565" s="235"/>
      <c r="D565" s="117"/>
      <c r="E565" s="117"/>
      <c r="F565" s="117"/>
    </row>
    <row r="566">
      <c r="A566" s="117"/>
      <c r="B566" s="117"/>
      <c r="C566" s="235"/>
      <c r="D566" s="117"/>
      <c r="E566" s="117"/>
      <c r="F566" s="117"/>
    </row>
    <row r="567">
      <c r="A567" s="117"/>
      <c r="B567" s="117"/>
      <c r="C567" s="235"/>
      <c r="D567" s="117"/>
      <c r="E567" s="117"/>
      <c r="F567" s="117"/>
    </row>
    <row r="568">
      <c r="A568" s="117"/>
      <c r="B568" s="117"/>
      <c r="C568" s="235"/>
      <c r="D568" s="117"/>
      <c r="E568" s="117"/>
      <c r="F568" s="117"/>
    </row>
    <row r="569">
      <c r="A569" s="117"/>
      <c r="B569" s="117"/>
      <c r="C569" s="235"/>
      <c r="D569" s="117"/>
      <c r="E569" s="117"/>
      <c r="F569" s="117"/>
    </row>
    <row r="570">
      <c r="A570" s="117"/>
      <c r="B570" s="117"/>
      <c r="C570" s="235"/>
      <c r="D570" s="117"/>
      <c r="E570" s="117"/>
      <c r="F570" s="117"/>
    </row>
    <row r="571">
      <c r="A571" s="117"/>
      <c r="B571" s="117"/>
      <c r="C571" s="235"/>
      <c r="D571" s="117"/>
      <c r="E571" s="117"/>
      <c r="F571" s="117"/>
    </row>
    <row r="572">
      <c r="A572" s="117"/>
      <c r="B572" s="117"/>
      <c r="C572" s="235"/>
      <c r="D572" s="117"/>
      <c r="E572" s="117"/>
      <c r="F572" s="117"/>
    </row>
    <row r="573">
      <c r="A573" s="117"/>
      <c r="B573" s="117"/>
      <c r="C573" s="235"/>
      <c r="D573" s="117"/>
      <c r="E573" s="117"/>
      <c r="F573" s="117"/>
    </row>
    <row r="574">
      <c r="A574" s="117"/>
      <c r="B574" s="117"/>
      <c r="C574" s="235"/>
      <c r="D574" s="117"/>
      <c r="E574" s="117"/>
      <c r="F574" s="117"/>
    </row>
    <row r="575">
      <c r="A575" s="117"/>
      <c r="B575" s="117"/>
      <c r="C575" s="235"/>
      <c r="D575" s="117"/>
      <c r="E575" s="117"/>
      <c r="F575" s="117"/>
    </row>
    <row r="576">
      <c r="A576" s="117"/>
      <c r="B576" s="117"/>
      <c r="C576" s="235"/>
      <c r="D576" s="117"/>
      <c r="E576" s="117"/>
      <c r="F576" s="117"/>
    </row>
    <row r="577">
      <c r="A577" s="117"/>
      <c r="B577" s="117"/>
      <c r="C577" s="235"/>
      <c r="D577" s="117"/>
      <c r="E577" s="117"/>
      <c r="F577" s="117"/>
    </row>
    <row r="578">
      <c r="A578" s="117"/>
      <c r="B578" s="117"/>
      <c r="C578" s="235"/>
      <c r="D578" s="117"/>
      <c r="E578" s="117"/>
      <c r="F578" s="117"/>
    </row>
    <row r="579">
      <c r="A579" s="117"/>
      <c r="B579" s="117"/>
      <c r="C579" s="235"/>
      <c r="D579" s="117"/>
      <c r="E579" s="117"/>
      <c r="F579" s="117"/>
    </row>
    <row r="580">
      <c r="A580" s="117"/>
      <c r="B580" s="117"/>
      <c r="C580" s="235"/>
      <c r="D580" s="117"/>
      <c r="E580" s="117"/>
      <c r="F580" s="117"/>
    </row>
    <row r="581">
      <c r="A581" s="117"/>
      <c r="B581" s="117"/>
      <c r="C581" s="235"/>
      <c r="D581" s="117"/>
      <c r="E581" s="117"/>
      <c r="F581" s="117"/>
    </row>
    <row r="582">
      <c r="A582" s="117"/>
      <c r="B582" s="117"/>
      <c r="C582" s="235"/>
      <c r="D582" s="117"/>
      <c r="E582" s="117"/>
      <c r="F582" s="117"/>
    </row>
    <row r="583">
      <c r="A583" s="117"/>
      <c r="B583" s="117"/>
      <c r="C583" s="235"/>
      <c r="D583" s="117"/>
      <c r="E583" s="117"/>
      <c r="F583" s="117"/>
    </row>
    <row r="584">
      <c r="A584" s="117"/>
      <c r="B584" s="117"/>
      <c r="C584" s="235"/>
      <c r="D584" s="117"/>
      <c r="E584" s="117"/>
      <c r="F584" s="117"/>
    </row>
    <row r="585">
      <c r="A585" s="117"/>
      <c r="B585" s="117"/>
      <c r="C585" s="235"/>
      <c r="D585" s="117"/>
      <c r="E585" s="117"/>
      <c r="F585" s="117"/>
    </row>
    <row r="586">
      <c r="A586" s="117"/>
      <c r="B586" s="117"/>
      <c r="C586" s="235"/>
      <c r="D586" s="117"/>
      <c r="E586" s="117"/>
      <c r="F586" s="117"/>
    </row>
    <row r="587">
      <c r="A587" s="117"/>
      <c r="B587" s="117"/>
      <c r="C587" s="235"/>
      <c r="D587" s="117"/>
      <c r="E587" s="117"/>
      <c r="F587" s="117"/>
    </row>
    <row r="588">
      <c r="A588" s="117"/>
      <c r="B588" s="117"/>
      <c r="C588" s="235"/>
      <c r="D588" s="117"/>
      <c r="E588" s="117"/>
      <c r="F588" s="117"/>
    </row>
    <row r="589">
      <c r="A589" s="117"/>
      <c r="B589" s="117"/>
      <c r="C589" s="235"/>
      <c r="D589" s="117"/>
      <c r="E589" s="117"/>
      <c r="F589" s="117"/>
    </row>
    <row r="590">
      <c r="A590" s="117"/>
      <c r="B590" s="117"/>
      <c r="C590" s="235"/>
      <c r="D590" s="117"/>
      <c r="E590" s="117"/>
      <c r="F590" s="117"/>
    </row>
    <row r="591">
      <c r="A591" s="117"/>
      <c r="B591" s="117"/>
      <c r="C591" s="235"/>
      <c r="D591" s="117"/>
      <c r="E591" s="117"/>
      <c r="F591" s="117"/>
    </row>
    <row r="592">
      <c r="A592" s="117"/>
      <c r="B592" s="117"/>
      <c r="C592" s="235"/>
      <c r="D592" s="117"/>
      <c r="E592" s="117"/>
      <c r="F592" s="117"/>
    </row>
    <row r="593">
      <c r="A593" s="117"/>
      <c r="B593" s="117"/>
      <c r="C593" s="235"/>
      <c r="D593" s="117"/>
      <c r="E593" s="117"/>
      <c r="F593" s="117"/>
    </row>
    <row r="594">
      <c r="A594" s="117"/>
      <c r="B594" s="117"/>
      <c r="C594" s="235"/>
      <c r="D594" s="117"/>
      <c r="E594" s="117"/>
      <c r="F594" s="117"/>
    </row>
    <row r="595">
      <c r="A595" s="117"/>
      <c r="B595" s="117"/>
      <c r="C595" s="235"/>
      <c r="D595" s="117"/>
      <c r="E595" s="117"/>
      <c r="F595" s="117"/>
    </row>
    <row r="596">
      <c r="A596" s="117"/>
      <c r="B596" s="117"/>
      <c r="C596" s="235"/>
      <c r="D596" s="117"/>
      <c r="E596" s="117"/>
      <c r="F596" s="117"/>
    </row>
    <row r="597">
      <c r="A597" s="117"/>
      <c r="B597" s="117"/>
      <c r="C597" s="235"/>
      <c r="D597" s="117"/>
      <c r="E597" s="117"/>
      <c r="F597" s="117"/>
    </row>
    <row r="598">
      <c r="A598" s="117"/>
      <c r="B598" s="117"/>
      <c r="C598" s="235"/>
      <c r="D598" s="117"/>
      <c r="E598" s="117"/>
      <c r="F598" s="117"/>
    </row>
    <row r="599">
      <c r="A599" s="117"/>
      <c r="B599" s="117"/>
      <c r="C599" s="235"/>
      <c r="D599" s="117"/>
      <c r="E599" s="117"/>
      <c r="F599" s="117"/>
    </row>
    <row r="600">
      <c r="A600" s="117"/>
      <c r="B600" s="117"/>
      <c r="C600" s="235"/>
      <c r="D600" s="117"/>
      <c r="E600" s="117"/>
      <c r="F600" s="117"/>
    </row>
    <row r="601">
      <c r="A601" s="117"/>
      <c r="B601" s="117"/>
      <c r="C601" s="235"/>
      <c r="D601" s="117"/>
      <c r="E601" s="117"/>
      <c r="F601" s="117"/>
    </row>
    <row r="602">
      <c r="A602" s="117"/>
      <c r="B602" s="117"/>
      <c r="C602" s="235"/>
      <c r="D602" s="117"/>
      <c r="E602" s="117"/>
      <c r="F602" s="117"/>
    </row>
    <row r="603">
      <c r="A603" s="117"/>
      <c r="B603" s="117"/>
      <c r="C603" s="235"/>
      <c r="D603" s="117"/>
      <c r="E603" s="117"/>
      <c r="F603" s="117"/>
    </row>
    <row r="604">
      <c r="A604" s="117"/>
      <c r="B604" s="117"/>
      <c r="C604" s="235"/>
      <c r="D604" s="117"/>
      <c r="E604" s="117"/>
      <c r="F604" s="117"/>
    </row>
    <row r="605">
      <c r="A605" s="117"/>
      <c r="B605" s="117"/>
      <c r="C605" s="235"/>
      <c r="D605" s="117"/>
      <c r="E605" s="117"/>
      <c r="F605" s="117"/>
    </row>
    <row r="606">
      <c r="A606" s="117"/>
      <c r="B606" s="117"/>
      <c r="C606" s="235"/>
      <c r="D606" s="117"/>
      <c r="E606" s="117"/>
      <c r="F606" s="117"/>
    </row>
    <row r="607">
      <c r="A607" s="117"/>
      <c r="B607" s="117"/>
      <c r="C607" s="235"/>
      <c r="D607" s="117"/>
      <c r="E607" s="117"/>
      <c r="F607" s="117"/>
    </row>
    <row r="608">
      <c r="A608" s="117"/>
      <c r="B608" s="117"/>
      <c r="C608" s="235"/>
      <c r="D608" s="117"/>
      <c r="E608" s="117"/>
      <c r="F608" s="117"/>
    </row>
    <row r="609">
      <c r="A609" s="117"/>
      <c r="B609" s="117"/>
      <c r="C609" s="235"/>
      <c r="D609" s="117"/>
      <c r="E609" s="117"/>
      <c r="F609" s="117"/>
    </row>
    <row r="610">
      <c r="A610" s="117"/>
      <c r="B610" s="117"/>
      <c r="C610" s="235"/>
      <c r="D610" s="117"/>
      <c r="E610" s="117"/>
      <c r="F610" s="117"/>
    </row>
    <row r="611">
      <c r="A611" s="117"/>
      <c r="B611" s="117"/>
      <c r="C611" s="235"/>
      <c r="D611" s="117"/>
      <c r="E611" s="117"/>
      <c r="F611" s="117"/>
    </row>
    <row r="612">
      <c r="A612" s="117"/>
      <c r="B612" s="117"/>
      <c r="C612" s="235"/>
      <c r="D612" s="117"/>
      <c r="E612" s="117"/>
      <c r="F612" s="117"/>
    </row>
    <row r="613">
      <c r="A613" s="117"/>
      <c r="B613" s="117"/>
      <c r="C613" s="235"/>
      <c r="D613" s="117"/>
      <c r="E613" s="117"/>
      <c r="F613" s="117"/>
    </row>
    <row r="614">
      <c r="A614" s="117"/>
      <c r="B614" s="117"/>
      <c r="C614" s="235"/>
      <c r="D614" s="117"/>
      <c r="E614" s="117"/>
      <c r="F614" s="117"/>
    </row>
    <row r="615">
      <c r="A615" s="117"/>
      <c r="B615" s="117"/>
      <c r="C615" s="235"/>
      <c r="D615" s="117"/>
      <c r="E615" s="117"/>
      <c r="F615" s="117"/>
    </row>
    <row r="616">
      <c r="A616" s="117"/>
      <c r="B616" s="117"/>
      <c r="C616" s="235"/>
      <c r="D616" s="117"/>
      <c r="E616" s="117"/>
      <c r="F616" s="117"/>
    </row>
    <row r="617">
      <c r="A617" s="117"/>
      <c r="B617" s="117"/>
      <c r="C617" s="235"/>
      <c r="D617" s="117"/>
      <c r="E617" s="117"/>
      <c r="F617" s="117"/>
    </row>
    <row r="618">
      <c r="A618" s="117"/>
      <c r="B618" s="117"/>
      <c r="C618" s="235"/>
      <c r="D618" s="117"/>
      <c r="E618" s="117"/>
      <c r="F618" s="117"/>
    </row>
    <row r="619">
      <c r="A619" s="117"/>
      <c r="B619" s="117"/>
      <c r="C619" s="235"/>
      <c r="D619" s="117"/>
      <c r="E619" s="117"/>
      <c r="F619" s="117"/>
    </row>
    <row r="620">
      <c r="A620" s="117"/>
      <c r="B620" s="117"/>
      <c r="C620" s="235"/>
      <c r="D620" s="117"/>
      <c r="E620" s="117"/>
      <c r="F620" s="117"/>
    </row>
    <row r="621">
      <c r="A621" s="117"/>
      <c r="B621" s="117"/>
      <c r="C621" s="235"/>
      <c r="D621" s="117"/>
      <c r="E621" s="117"/>
      <c r="F621" s="117"/>
    </row>
    <row r="622">
      <c r="A622" s="117"/>
      <c r="B622" s="117"/>
      <c r="C622" s="235"/>
      <c r="D622" s="117"/>
      <c r="E622" s="117"/>
      <c r="F622" s="117"/>
    </row>
    <row r="623">
      <c r="A623" s="117"/>
      <c r="B623" s="117"/>
      <c r="C623" s="235"/>
      <c r="D623" s="117"/>
      <c r="E623" s="117"/>
      <c r="F623" s="117"/>
    </row>
    <row r="624">
      <c r="A624" s="117"/>
      <c r="B624" s="117"/>
      <c r="C624" s="235"/>
      <c r="D624" s="117"/>
      <c r="E624" s="117"/>
      <c r="F624" s="117"/>
    </row>
    <row r="625">
      <c r="A625" s="117"/>
      <c r="B625" s="117"/>
      <c r="C625" s="235"/>
      <c r="D625" s="117"/>
      <c r="E625" s="117"/>
      <c r="F625" s="117"/>
    </row>
    <row r="626">
      <c r="A626" s="117"/>
      <c r="B626" s="117"/>
      <c r="C626" s="235"/>
      <c r="D626" s="117"/>
      <c r="E626" s="117"/>
      <c r="F626" s="117"/>
    </row>
    <row r="627">
      <c r="A627" s="117"/>
      <c r="B627" s="117"/>
      <c r="C627" s="235"/>
      <c r="D627" s="117"/>
      <c r="E627" s="117"/>
      <c r="F627" s="117"/>
    </row>
    <row r="628">
      <c r="A628" s="117"/>
      <c r="B628" s="117"/>
      <c r="C628" s="235"/>
      <c r="D628" s="117"/>
      <c r="E628" s="117"/>
      <c r="F628" s="117"/>
    </row>
    <row r="629">
      <c r="A629" s="117"/>
      <c r="B629" s="117"/>
      <c r="C629" s="235"/>
      <c r="D629" s="117"/>
      <c r="E629" s="117"/>
      <c r="F629" s="117"/>
    </row>
    <row r="630">
      <c r="A630" s="117"/>
      <c r="B630" s="117"/>
      <c r="C630" s="235"/>
      <c r="D630" s="117"/>
      <c r="E630" s="117"/>
      <c r="F630" s="117"/>
    </row>
    <row r="631">
      <c r="A631" s="117"/>
      <c r="B631" s="117"/>
      <c r="C631" s="235"/>
      <c r="D631" s="117"/>
      <c r="E631" s="117"/>
      <c r="F631" s="117"/>
    </row>
    <row r="632">
      <c r="A632" s="117"/>
      <c r="B632" s="117"/>
      <c r="C632" s="235"/>
      <c r="D632" s="117"/>
      <c r="E632" s="117"/>
      <c r="F632" s="117"/>
    </row>
    <row r="633">
      <c r="A633" s="117"/>
      <c r="B633" s="117"/>
      <c r="C633" s="235"/>
      <c r="D633" s="117"/>
      <c r="E633" s="117"/>
      <c r="F633" s="117"/>
    </row>
    <row r="634">
      <c r="A634" s="117"/>
      <c r="B634" s="117"/>
      <c r="C634" s="235"/>
      <c r="D634" s="117"/>
      <c r="E634" s="117"/>
      <c r="F634" s="117"/>
    </row>
    <row r="635">
      <c r="A635" s="117"/>
      <c r="B635" s="117"/>
      <c r="C635" s="235"/>
      <c r="D635" s="117"/>
      <c r="E635" s="117"/>
      <c r="F635" s="117"/>
    </row>
    <row r="636">
      <c r="A636" s="117"/>
      <c r="B636" s="117"/>
      <c r="C636" s="235"/>
      <c r="D636" s="117"/>
      <c r="E636" s="117"/>
      <c r="F636" s="117"/>
    </row>
    <row r="637">
      <c r="A637" s="117"/>
      <c r="B637" s="117"/>
      <c r="C637" s="235"/>
      <c r="D637" s="117"/>
      <c r="E637" s="117"/>
      <c r="F637" s="117"/>
    </row>
    <row r="638">
      <c r="A638" s="117"/>
      <c r="B638" s="117"/>
      <c r="C638" s="235"/>
      <c r="D638" s="117"/>
      <c r="E638" s="117"/>
      <c r="F638" s="117"/>
    </row>
    <row r="639">
      <c r="A639" s="117"/>
      <c r="B639" s="117"/>
      <c r="C639" s="235"/>
      <c r="D639" s="117"/>
      <c r="E639" s="117"/>
      <c r="F639" s="117"/>
    </row>
    <row r="640">
      <c r="A640" s="117"/>
      <c r="B640" s="117"/>
      <c r="C640" s="235"/>
      <c r="D640" s="117"/>
      <c r="E640" s="117"/>
      <c r="F640" s="117"/>
    </row>
    <row r="641">
      <c r="A641" s="117"/>
      <c r="B641" s="117"/>
      <c r="C641" s="235"/>
      <c r="D641" s="117"/>
      <c r="E641" s="117"/>
      <c r="F641" s="117"/>
    </row>
    <row r="642">
      <c r="A642" s="117"/>
      <c r="B642" s="117"/>
      <c r="C642" s="235"/>
      <c r="D642" s="117"/>
      <c r="E642" s="117"/>
      <c r="F642" s="117"/>
    </row>
    <row r="643">
      <c r="A643" s="117"/>
      <c r="B643" s="117"/>
      <c r="C643" s="235"/>
      <c r="D643" s="117"/>
      <c r="E643" s="117"/>
      <c r="F643" s="117"/>
    </row>
    <row r="644">
      <c r="A644" s="117"/>
      <c r="B644" s="117"/>
      <c r="C644" s="235"/>
      <c r="D644" s="117"/>
      <c r="E644" s="117"/>
      <c r="F644" s="117"/>
    </row>
    <row r="645">
      <c r="A645" s="117"/>
      <c r="B645" s="117"/>
      <c r="C645" s="235"/>
      <c r="D645" s="117"/>
      <c r="E645" s="117"/>
      <c r="F645" s="117"/>
    </row>
    <row r="646">
      <c r="A646" s="117"/>
      <c r="B646" s="117"/>
      <c r="C646" s="235"/>
      <c r="D646" s="117"/>
      <c r="E646" s="117"/>
      <c r="F646" s="117"/>
    </row>
    <row r="647">
      <c r="A647" s="117"/>
      <c r="B647" s="117"/>
      <c r="C647" s="235"/>
      <c r="D647" s="117"/>
      <c r="E647" s="117"/>
      <c r="F647" s="117"/>
    </row>
    <row r="648">
      <c r="A648" s="117"/>
      <c r="B648" s="117"/>
      <c r="C648" s="235"/>
      <c r="D648" s="117"/>
      <c r="E648" s="117"/>
      <c r="F648" s="117"/>
    </row>
    <row r="649">
      <c r="A649" s="117"/>
      <c r="B649" s="117"/>
      <c r="C649" s="235"/>
      <c r="D649" s="117"/>
      <c r="E649" s="117"/>
      <c r="F649" s="117"/>
    </row>
    <row r="650">
      <c r="A650" s="117"/>
      <c r="B650" s="117"/>
      <c r="C650" s="235"/>
      <c r="D650" s="117"/>
      <c r="E650" s="117"/>
      <c r="F650" s="117"/>
    </row>
    <row r="651">
      <c r="A651" s="117"/>
      <c r="B651" s="117"/>
      <c r="C651" s="235"/>
      <c r="D651" s="117"/>
      <c r="E651" s="117"/>
      <c r="F651" s="117"/>
    </row>
    <row r="652">
      <c r="A652" s="117"/>
      <c r="B652" s="117"/>
      <c r="C652" s="235"/>
      <c r="D652" s="117"/>
      <c r="E652" s="117"/>
      <c r="F652" s="117"/>
    </row>
    <row r="653">
      <c r="A653" s="117"/>
      <c r="B653" s="117"/>
      <c r="C653" s="235"/>
      <c r="D653" s="117"/>
      <c r="E653" s="117"/>
      <c r="F653" s="117"/>
    </row>
    <row r="654">
      <c r="A654" s="117"/>
      <c r="B654" s="117"/>
      <c r="C654" s="235"/>
      <c r="D654" s="117"/>
      <c r="E654" s="117"/>
      <c r="F654" s="117"/>
    </row>
    <row r="655">
      <c r="A655" s="117"/>
      <c r="B655" s="117"/>
      <c r="C655" s="235"/>
      <c r="D655" s="117"/>
      <c r="E655" s="117"/>
      <c r="F655" s="117"/>
    </row>
    <row r="656">
      <c r="A656" s="117"/>
      <c r="B656" s="117"/>
      <c r="C656" s="235"/>
      <c r="D656" s="117"/>
      <c r="E656" s="117"/>
      <c r="F656" s="117"/>
    </row>
    <row r="657">
      <c r="A657" s="117"/>
      <c r="B657" s="117"/>
      <c r="C657" s="235"/>
      <c r="D657" s="117"/>
      <c r="E657" s="117"/>
      <c r="F657" s="117"/>
    </row>
    <row r="658">
      <c r="A658" s="117"/>
      <c r="B658" s="117"/>
      <c r="C658" s="235"/>
      <c r="D658" s="117"/>
      <c r="E658" s="117"/>
      <c r="F658" s="117"/>
    </row>
    <row r="659">
      <c r="A659" s="117"/>
      <c r="B659" s="117"/>
      <c r="C659" s="235"/>
      <c r="D659" s="117"/>
      <c r="E659" s="117"/>
      <c r="F659" s="117"/>
    </row>
    <row r="660">
      <c r="A660" s="117"/>
      <c r="B660" s="117"/>
      <c r="C660" s="235"/>
      <c r="D660" s="117"/>
      <c r="E660" s="117"/>
      <c r="F660" s="117"/>
    </row>
    <row r="661">
      <c r="A661" s="117"/>
      <c r="B661" s="117"/>
      <c r="C661" s="235"/>
      <c r="D661" s="117"/>
      <c r="E661" s="117"/>
      <c r="F661" s="117"/>
    </row>
    <row r="662">
      <c r="A662" s="117"/>
      <c r="B662" s="117"/>
      <c r="C662" s="235"/>
      <c r="D662" s="117"/>
      <c r="E662" s="117"/>
      <c r="F662" s="117"/>
    </row>
    <row r="663">
      <c r="A663" s="117"/>
      <c r="B663" s="117"/>
      <c r="C663" s="235"/>
      <c r="D663" s="117"/>
      <c r="E663" s="117"/>
      <c r="F663" s="117"/>
    </row>
    <row r="664">
      <c r="A664" s="117"/>
      <c r="B664" s="117"/>
      <c r="C664" s="235"/>
      <c r="D664" s="117"/>
      <c r="E664" s="117"/>
      <c r="F664" s="117"/>
    </row>
    <row r="665">
      <c r="A665" s="117"/>
      <c r="B665" s="117"/>
      <c r="C665" s="235"/>
      <c r="D665" s="117"/>
      <c r="E665" s="117"/>
      <c r="F665" s="117"/>
    </row>
    <row r="666">
      <c r="A666" s="117"/>
      <c r="B666" s="117"/>
      <c r="C666" s="235"/>
      <c r="D666" s="117"/>
      <c r="E666" s="117"/>
      <c r="F666" s="117"/>
    </row>
    <row r="667">
      <c r="A667" s="117"/>
      <c r="B667" s="117"/>
      <c r="C667" s="235"/>
      <c r="D667" s="117"/>
      <c r="E667" s="117"/>
      <c r="F667" s="117"/>
    </row>
    <row r="668">
      <c r="A668" s="117"/>
      <c r="B668" s="117"/>
      <c r="C668" s="235"/>
      <c r="D668" s="117"/>
      <c r="E668" s="117"/>
      <c r="F668" s="117"/>
    </row>
    <row r="669">
      <c r="A669" s="117"/>
      <c r="B669" s="117"/>
      <c r="C669" s="235"/>
      <c r="D669" s="117"/>
      <c r="E669" s="117"/>
      <c r="F669" s="117"/>
    </row>
    <row r="670">
      <c r="A670" s="117"/>
      <c r="B670" s="117"/>
      <c r="C670" s="235"/>
      <c r="D670" s="117"/>
      <c r="E670" s="117"/>
      <c r="F670" s="117"/>
    </row>
    <row r="671">
      <c r="A671" s="117"/>
      <c r="B671" s="117"/>
      <c r="C671" s="235"/>
      <c r="D671" s="117"/>
      <c r="E671" s="117"/>
      <c r="F671" s="117"/>
    </row>
    <row r="672">
      <c r="A672" s="117"/>
      <c r="B672" s="117"/>
      <c r="C672" s="235"/>
      <c r="D672" s="117"/>
      <c r="E672" s="117"/>
      <c r="F672" s="117"/>
    </row>
    <row r="673">
      <c r="A673" s="117"/>
      <c r="B673" s="117"/>
      <c r="C673" s="235"/>
      <c r="D673" s="117"/>
      <c r="E673" s="117"/>
      <c r="F673" s="117"/>
    </row>
    <row r="674">
      <c r="A674" s="117"/>
      <c r="B674" s="117"/>
      <c r="C674" s="235"/>
      <c r="D674" s="117"/>
      <c r="E674" s="117"/>
      <c r="F674" s="117"/>
    </row>
    <row r="675">
      <c r="A675" s="117"/>
      <c r="B675" s="117"/>
      <c r="C675" s="235"/>
      <c r="D675" s="117"/>
      <c r="E675" s="117"/>
      <c r="F675" s="117"/>
    </row>
    <row r="676">
      <c r="A676" s="117"/>
      <c r="B676" s="117"/>
      <c r="C676" s="235"/>
      <c r="D676" s="117"/>
      <c r="E676" s="117"/>
      <c r="F676" s="117"/>
    </row>
    <row r="677">
      <c r="A677" s="117"/>
      <c r="B677" s="117"/>
      <c r="C677" s="235"/>
      <c r="D677" s="117"/>
      <c r="E677" s="117"/>
      <c r="F677" s="117"/>
    </row>
    <row r="678">
      <c r="A678" s="117"/>
      <c r="B678" s="117"/>
      <c r="C678" s="235"/>
      <c r="D678" s="117"/>
      <c r="E678" s="117"/>
      <c r="F678" s="117"/>
    </row>
    <row r="679">
      <c r="A679" s="117"/>
      <c r="B679" s="117"/>
      <c r="C679" s="235"/>
      <c r="D679" s="117"/>
      <c r="E679" s="117"/>
      <c r="F679" s="117"/>
    </row>
    <row r="680">
      <c r="A680" s="117"/>
      <c r="B680" s="117"/>
      <c r="C680" s="235"/>
      <c r="D680" s="117"/>
      <c r="E680" s="117"/>
      <c r="F680" s="117"/>
    </row>
    <row r="681">
      <c r="A681" s="117"/>
      <c r="B681" s="117"/>
      <c r="C681" s="235"/>
      <c r="D681" s="117"/>
      <c r="E681" s="117"/>
      <c r="F681" s="117"/>
    </row>
    <row r="682">
      <c r="A682" s="117"/>
      <c r="B682" s="117"/>
      <c r="C682" s="235"/>
      <c r="D682" s="117"/>
      <c r="E682" s="117"/>
      <c r="F682" s="117"/>
    </row>
    <row r="683">
      <c r="A683" s="117"/>
      <c r="B683" s="117"/>
      <c r="C683" s="235"/>
      <c r="D683" s="117"/>
      <c r="E683" s="117"/>
      <c r="F683" s="117"/>
    </row>
    <row r="684">
      <c r="A684" s="117"/>
      <c r="B684" s="117"/>
      <c r="C684" s="235"/>
      <c r="D684" s="117"/>
      <c r="E684" s="117"/>
      <c r="F684" s="117"/>
    </row>
    <row r="685">
      <c r="A685" s="117"/>
      <c r="B685" s="117"/>
      <c r="C685" s="235"/>
      <c r="D685" s="117"/>
      <c r="E685" s="117"/>
      <c r="F685" s="117"/>
    </row>
    <row r="686">
      <c r="A686" s="117"/>
      <c r="B686" s="117"/>
      <c r="C686" s="235"/>
      <c r="D686" s="117"/>
      <c r="E686" s="117"/>
      <c r="F686" s="117"/>
    </row>
    <row r="687">
      <c r="A687" s="117"/>
      <c r="B687" s="117"/>
      <c r="C687" s="235"/>
      <c r="D687" s="117"/>
      <c r="E687" s="117"/>
      <c r="F687" s="117"/>
    </row>
    <row r="688">
      <c r="A688" s="117"/>
      <c r="B688" s="117"/>
      <c r="C688" s="235"/>
      <c r="D688" s="117"/>
      <c r="E688" s="117"/>
      <c r="F688" s="117"/>
    </row>
    <row r="689">
      <c r="A689" s="117"/>
      <c r="B689" s="117"/>
      <c r="C689" s="235"/>
      <c r="D689" s="117"/>
      <c r="E689" s="117"/>
      <c r="F689" s="117"/>
    </row>
    <row r="690">
      <c r="A690" s="117"/>
      <c r="B690" s="117"/>
      <c r="C690" s="235"/>
      <c r="D690" s="117"/>
      <c r="E690" s="117"/>
      <c r="F690" s="117"/>
    </row>
    <row r="691">
      <c r="A691" s="117"/>
      <c r="B691" s="117"/>
      <c r="C691" s="235"/>
      <c r="D691" s="117"/>
      <c r="E691" s="117"/>
      <c r="F691" s="117"/>
    </row>
    <row r="692">
      <c r="A692" s="117"/>
      <c r="B692" s="117"/>
      <c r="C692" s="235"/>
      <c r="D692" s="117"/>
      <c r="E692" s="117"/>
      <c r="F692" s="117"/>
    </row>
    <row r="693">
      <c r="A693" s="117"/>
      <c r="B693" s="117"/>
      <c r="C693" s="235"/>
      <c r="D693" s="117"/>
      <c r="E693" s="117"/>
      <c r="F693" s="117"/>
    </row>
    <row r="694">
      <c r="A694" s="117"/>
      <c r="B694" s="117"/>
      <c r="C694" s="235"/>
      <c r="D694" s="117"/>
      <c r="E694" s="117"/>
      <c r="F694" s="117"/>
    </row>
    <row r="695">
      <c r="A695" s="117"/>
      <c r="B695" s="117"/>
      <c r="C695" s="235"/>
      <c r="D695" s="117"/>
      <c r="E695" s="117"/>
      <c r="F695" s="117"/>
    </row>
    <row r="696">
      <c r="A696" s="117"/>
      <c r="B696" s="117"/>
      <c r="C696" s="235"/>
      <c r="D696" s="117"/>
      <c r="E696" s="117"/>
      <c r="F696" s="117"/>
    </row>
    <row r="697">
      <c r="A697" s="117"/>
      <c r="B697" s="117"/>
      <c r="C697" s="235"/>
      <c r="D697" s="117"/>
      <c r="E697" s="117"/>
      <c r="F697" s="117"/>
    </row>
    <row r="698">
      <c r="A698" s="117"/>
      <c r="B698" s="117"/>
      <c r="C698" s="235"/>
      <c r="D698" s="117"/>
      <c r="E698" s="117"/>
      <c r="F698" s="117"/>
    </row>
    <row r="699">
      <c r="A699" s="117"/>
      <c r="B699" s="117"/>
      <c r="C699" s="235"/>
      <c r="D699" s="117"/>
      <c r="E699" s="117"/>
      <c r="F699" s="117"/>
    </row>
    <row r="700">
      <c r="A700" s="117"/>
      <c r="B700" s="117"/>
      <c r="C700" s="235"/>
      <c r="D700" s="117"/>
      <c r="E700" s="117"/>
      <c r="F700" s="117"/>
    </row>
    <row r="701">
      <c r="A701" s="117"/>
      <c r="B701" s="117"/>
      <c r="C701" s="235"/>
      <c r="D701" s="117"/>
      <c r="E701" s="117"/>
      <c r="F701" s="117"/>
    </row>
    <row r="702">
      <c r="A702" s="117"/>
      <c r="B702" s="117"/>
      <c r="C702" s="235"/>
      <c r="D702" s="117"/>
      <c r="E702" s="117"/>
      <c r="F702" s="117"/>
    </row>
    <row r="703">
      <c r="A703" s="117"/>
      <c r="B703" s="117"/>
      <c r="C703" s="235"/>
      <c r="D703" s="117"/>
      <c r="E703" s="117"/>
      <c r="F703" s="117"/>
    </row>
    <row r="704">
      <c r="A704" s="117"/>
      <c r="B704" s="117"/>
      <c r="C704" s="235"/>
      <c r="D704" s="117"/>
      <c r="E704" s="117"/>
      <c r="F704" s="117"/>
    </row>
    <row r="705">
      <c r="A705" s="117"/>
      <c r="B705" s="117"/>
      <c r="C705" s="235"/>
      <c r="D705" s="117"/>
      <c r="E705" s="117"/>
      <c r="F705" s="117"/>
    </row>
    <row r="706">
      <c r="A706" s="117"/>
      <c r="B706" s="117"/>
      <c r="C706" s="235"/>
      <c r="D706" s="117"/>
      <c r="E706" s="117"/>
      <c r="F706" s="117"/>
    </row>
    <row r="707">
      <c r="A707" s="117"/>
      <c r="B707" s="117"/>
      <c r="C707" s="235"/>
      <c r="D707" s="117"/>
      <c r="E707" s="117"/>
      <c r="F707" s="117"/>
    </row>
    <row r="708">
      <c r="A708" s="117"/>
      <c r="B708" s="117"/>
      <c r="C708" s="235"/>
      <c r="D708" s="117"/>
      <c r="E708" s="117"/>
      <c r="F708" s="117"/>
    </row>
    <row r="709">
      <c r="A709" s="117"/>
      <c r="B709" s="117"/>
      <c r="C709" s="235"/>
      <c r="D709" s="117"/>
      <c r="E709" s="117"/>
      <c r="F709" s="117"/>
    </row>
    <row r="710">
      <c r="A710" s="117"/>
      <c r="B710" s="117"/>
      <c r="C710" s="235"/>
      <c r="D710" s="117"/>
      <c r="E710" s="117"/>
      <c r="F710" s="117"/>
    </row>
    <row r="711">
      <c r="A711" s="117"/>
      <c r="B711" s="117"/>
      <c r="C711" s="235"/>
      <c r="D711" s="117"/>
      <c r="E711" s="117"/>
      <c r="F711" s="117"/>
    </row>
    <row r="712">
      <c r="A712" s="117"/>
      <c r="B712" s="117"/>
      <c r="C712" s="235"/>
      <c r="D712" s="117"/>
      <c r="E712" s="117"/>
      <c r="F712" s="117"/>
    </row>
    <row r="713">
      <c r="A713" s="117"/>
      <c r="B713" s="117"/>
      <c r="C713" s="235"/>
      <c r="D713" s="117"/>
      <c r="E713" s="117"/>
      <c r="F713" s="117"/>
    </row>
    <row r="714">
      <c r="A714" s="117"/>
      <c r="B714" s="117"/>
      <c r="C714" s="235"/>
      <c r="D714" s="117"/>
      <c r="E714" s="117"/>
      <c r="F714" s="117"/>
    </row>
    <row r="715">
      <c r="A715" s="117"/>
      <c r="B715" s="117"/>
      <c r="C715" s="235"/>
      <c r="D715" s="117"/>
      <c r="E715" s="117"/>
      <c r="F715" s="117"/>
    </row>
    <row r="716">
      <c r="A716" s="117"/>
      <c r="B716" s="117"/>
      <c r="C716" s="235"/>
      <c r="D716" s="117"/>
      <c r="E716" s="117"/>
      <c r="F716" s="117"/>
    </row>
    <row r="717">
      <c r="A717" s="117"/>
      <c r="B717" s="117"/>
      <c r="C717" s="235"/>
      <c r="D717" s="117"/>
      <c r="E717" s="117"/>
      <c r="F717" s="117"/>
    </row>
    <row r="718">
      <c r="A718" s="117"/>
      <c r="B718" s="117"/>
      <c r="C718" s="235"/>
      <c r="D718" s="117"/>
      <c r="E718" s="117"/>
      <c r="F718" s="117"/>
    </row>
    <row r="719">
      <c r="A719" s="117"/>
      <c r="B719" s="117"/>
      <c r="C719" s="235"/>
      <c r="D719" s="117"/>
      <c r="E719" s="117"/>
      <c r="F719" s="117"/>
    </row>
    <row r="720">
      <c r="A720" s="117"/>
      <c r="B720" s="117"/>
      <c r="C720" s="235"/>
      <c r="D720" s="117"/>
      <c r="E720" s="117"/>
      <c r="F720" s="117"/>
    </row>
    <row r="721">
      <c r="A721" s="117"/>
      <c r="B721" s="117"/>
      <c r="C721" s="235"/>
      <c r="D721" s="117"/>
      <c r="E721" s="117"/>
      <c r="F721" s="117"/>
    </row>
    <row r="722">
      <c r="A722" s="117"/>
      <c r="B722" s="117"/>
      <c r="C722" s="235"/>
      <c r="D722" s="117"/>
      <c r="E722" s="117"/>
      <c r="F722" s="117"/>
    </row>
    <row r="723">
      <c r="A723" s="117"/>
      <c r="B723" s="117"/>
      <c r="C723" s="235"/>
      <c r="D723" s="117"/>
      <c r="E723" s="117"/>
      <c r="F723" s="117"/>
    </row>
    <row r="724">
      <c r="A724" s="117"/>
      <c r="B724" s="117"/>
      <c r="C724" s="235"/>
      <c r="D724" s="117"/>
      <c r="E724" s="117"/>
      <c r="F724" s="117"/>
    </row>
    <row r="725">
      <c r="A725" s="117"/>
      <c r="B725" s="117"/>
      <c r="C725" s="235"/>
      <c r="D725" s="117"/>
      <c r="E725" s="117"/>
      <c r="F725" s="117"/>
    </row>
    <row r="726">
      <c r="A726" s="117"/>
      <c r="B726" s="117"/>
      <c r="C726" s="235"/>
      <c r="D726" s="117"/>
      <c r="E726" s="117"/>
      <c r="F726" s="117"/>
    </row>
    <row r="727">
      <c r="A727" s="117"/>
      <c r="B727" s="117"/>
      <c r="C727" s="235"/>
      <c r="D727" s="117"/>
      <c r="E727" s="117"/>
      <c r="F727" s="117"/>
    </row>
    <row r="728">
      <c r="A728" s="117"/>
      <c r="B728" s="117"/>
      <c r="C728" s="235"/>
      <c r="D728" s="117"/>
      <c r="E728" s="117"/>
      <c r="F728" s="117"/>
    </row>
    <row r="729">
      <c r="A729" s="117"/>
      <c r="B729" s="117"/>
      <c r="C729" s="235"/>
      <c r="D729" s="117"/>
      <c r="E729" s="117"/>
      <c r="F729" s="117"/>
    </row>
    <row r="730">
      <c r="A730" s="117"/>
      <c r="B730" s="117"/>
      <c r="C730" s="235"/>
      <c r="D730" s="117"/>
      <c r="E730" s="117"/>
      <c r="F730" s="117"/>
    </row>
    <row r="731">
      <c r="A731" s="117"/>
      <c r="B731" s="117"/>
      <c r="C731" s="235"/>
      <c r="D731" s="117"/>
      <c r="E731" s="117"/>
      <c r="F731" s="117"/>
    </row>
    <row r="732">
      <c r="A732" s="117"/>
      <c r="B732" s="117"/>
      <c r="C732" s="235"/>
      <c r="D732" s="117"/>
      <c r="E732" s="117"/>
      <c r="F732" s="117"/>
    </row>
    <row r="733">
      <c r="A733" s="117"/>
      <c r="B733" s="117"/>
      <c r="C733" s="235"/>
      <c r="D733" s="117"/>
      <c r="E733" s="117"/>
      <c r="F733" s="117"/>
    </row>
    <row r="734">
      <c r="A734" s="117"/>
      <c r="B734" s="117"/>
      <c r="C734" s="235"/>
      <c r="D734" s="117"/>
      <c r="E734" s="117"/>
      <c r="F734" s="117"/>
    </row>
    <row r="735">
      <c r="A735" s="117"/>
      <c r="B735" s="117"/>
      <c r="C735" s="235"/>
      <c r="D735" s="117"/>
      <c r="E735" s="117"/>
      <c r="F735" s="117"/>
    </row>
    <row r="736">
      <c r="A736" s="117"/>
      <c r="B736" s="117"/>
      <c r="C736" s="235"/>
      <c r="D736" s="117"/>
      <c r="E736" s="117"/>
      <c r="F736" s="117"/>
    </row>
    <row r="737">
      <c r="A737" s="117"/>
      <c r="B737" s="117"/>
      <c r="C737" s="235"/>
      <c r="D737" s="117"/>
      <c r="E737" s="117"/>
      <c r="F737" s="117"/>
    </row>
    <row r="738">
      <c r="A738" s="117"/>
      <c r="B738" s="117"/>
      <c r="C738" s="235"/>
      <c r="D738" s="117"/>
      <c r="E738" s="117"/>
      <c r="F738" s="117"/>
    </row>
    <row r="739">
      <c r="A739" s="117"/>
      <c r="B739" s="117"/>
      <c r="C739" s="235"/>
      <c r="D739" s="117"/>
      <c r="E739" s="117"/>
      <c r="F739" s="117"/>
    </row>
    <row r="740">
      <c r="A740" s="117"/>
      <c r="B740" s="117"/>
      <c r="C740" s="235"/>
      <c r="D740" s="117"/>
      <c r="E740" s="117"/>
      <c r="F740" s="117"/>
    </row>
    <row r="741">
      <c r="A741" s="117"/>
      <c r="B741" s="117"/>
      <c r="C741" s="235"/>
      <c r="D741" s="117"/>
      <c r="E741" s="117"/>
      <c r="F741" s="117"/>
    </row>
    <row r="742">
      <c r="A742" s="117"/>
      <c r="B742" s="117"/>
      <c r="C742" s="235"/>
      <c r="D742" s="117"/>
      <c r="E742" s="117"/>
      <c r="F742" s="117"/>
    </row>
    <row r="743">
      <c r="A743" s="117"/>
      <c r="B743" s="117"/>
      <c r="C743" s="235"/>
      <c r="D743" s="117"/>
      <c r="E743" s="117"/>
      <c r="F743" s="117"/>
    </row>
    <row r="744">
      <c r="A744" s="117"/>
      <c r="B744" s="117"/>
      <c r="C744" s="235"/>
      <c r="D744" s="117"/>
      <c r="E744" s="117"/>
      <c r="F744" s="117"/>
    </row>
    <row r="745">
      <c r="A745" s="117"/>
      <c r="B745" s="117"/>
      <c r="C745" s="235"/>
      <c r="D745" s="117"/>
      <c r="E745" s="117"/>
      <c r="F745" s="117"/>
    </row>
    <row r="746">
      <c r="A746" s="117"/>
      <c r="B746" s="117"/>
      <c r="C746" s="235"/>
      <c r="D746" s="117"/>
      <c r="E746" s="117"/>
      <c r="F746" s="117"/>
    </row>
    <row r="747">
      <c r="A747" s="117"/>
      <c r="B747" s="117"/>
      <c r="C747" s="235"/>
      <c r="D747" s="117"/>
      <c r="E747" s="117"/>
      <c r="F747" s="117"/>
    </row>
    <row r="748">
      <c r="A748" s="117"/>
      <c r="B748" s="117"/>
      <c r="C748" s="235"/>
      <c r="D748" s="117"/>
      <c r="E748" s="117"/>
      <c r="F748" s="117"/>
    </row>
    <row r="749">
      <c r="A749" s="117"/>
      <c r="B749" s="117"/>
      <c r="C749" s="235"/>
      <c r="D749" s="117"/>
      <c r="E749" s="117"/>
      <c r="F749" s="117"/>
    </row>
    <row r="750">
      <c r="A750" s="117"/>
      <c r="B750" s="117"/>
      <c r="C750" s="235"/>
      <c r="D750" s="117"/>
      <c r="E750" s="117"/>
      <c r="F750" s="117"/>
    </row>
    <row r="751">
      <c r="A751" s="117"/>
      <c r="B751" s="117"/>
      <c r="C751" s="235"/>
      <c r="D751" s="117"/>
      <c r="E751" s="117"/>
      <c r="F751" s="117"/>
    </row>
    <row r="752">
      <c r="A752" s="117"/>
      <c r="B752" s="117"/>
      <c r="C752" s="235"/>
      <c r="D752" s="117"/>
      <c r="E752" s="117"/>
      <c r="F752" s="117"/>
    </row>
    <row r="753">
      <c r="A753" s="117"/>
      <c r="B753" s="117"/>
      <c r="C753" s="235"/>
      <c r="D753" s="117"/>
      <c r="E753" s="117"/>
      <c r="F753" s="117"/>
    </row>
    <row r="754">
      <c r="A754" s="117"/>
      <c r="B754" s="117"/>
      <c r="C754" s="235"/>
      <c r="D754" s="117"/>
      <c r="E754" s="117"/>
      <c r="F754" s="117"/>
    </row>
    <row r="755">
      <c r="A755" s="117"/>
      <c r="B755" s="117"/>
      <c r="C755" s="235"/>
      <c r="D755" s="117"/>
      <c r="E755" s="117"/>
      <c r="F755" s="117"/>
    </row>
    <row r="756">
      <c r="A756" s="117"/>
      <c r="B756" s="117"/>
      <c r="C756" s="235"/>
      <c r="D756" s="117"/>
      <c r="E756" s="117"/>
      <c r="F756" s="117"/>
    </row>
    <row r="757">
      <c r="A757" s="117"/>
      <c r="B757" s="117"/>
      <c r="C757" s="235"/>
      <c r="D757" s="117"/>
      <c r="E757" s="117"/>
      <c r="F757" s="117"/>
    </row>
    <row r="758">
      <c r="A758" s="117"/>
      <c r="B758" s="117"/>
      <c r="C758" s="235"/>
      <c r="D758" s="117"/>
      <c r="E758" s="117"/>
      <c r="F758" s="117"/>
    </row>
    <row r="759">
      <c r="A759" s="117"/>
      <c r="B759" s="117"/>
      <c r="C759" s="235"/>
      <c r="D759" s="117"/>
      <c r="E759" s="117"/>
      <c r="F759" s="117"/>
    </row>
    <row r="760">
      <c r="A760" s="117"/>
      <c r="B760" s="117"/>
      <c r="C760" s="235"/>
      <c r="D760" s="117"/>
      <c r="E760" s="117"/>
      <c r="F760" s="117"/>
    </row>
    <row r="761">
      <c r="A761" s="117"/>
      <c r="B761" s="117"/>
      <c r="C761" s="235"/>
      <c r="D761" s="117"/>
      <c r="E761" s="117"/>
      <c r="F761" s="117"/>
    </row>
    <row r="762">
      <c r="A762" s="117"/>
      <c r="B762" s="117"/>
      <c r="C762" s="235"/>
      <c r="D762" s="117"/>
      <c r="E762" s="117"/>
      <c r="F762" s="117"/>
    </row>
    <row r="763">
      <c r="A763" s="117"/>
      <c r="B763" s="117"/>
      <c r="C763" s="235"/>
      <c r="D763" s="117"/>
      <c r="E763" s="117"/>
      <c r="F763" s="117"/>
    </row>
    <row r="764">
      <c r="A764" s="117"/>
      <c r="B764" s="117"/>
      <c r="C764" s="235"/>
      <c r="D764" s="117"/>
      <c r="E764" s="117"/>
      <c r="F764" s="117"/>
    </row>
    <row r="765">
      <c r="A765" s="117"/>
      <c r="B765" s="117"/>
      <c r="C765" s="235"/>
      <c r="D765" s="117"/>
      <c r="E765" s="117"/>
      <c r="F765" s="117"/>
    </row>
    <row r="766">
      <c r="A766" s="117"/>
      <c r="B766" s="117"/>
      <c r="C766" s="235"/>
      <c r="D766" s="117"/>
      <c r="E766" s="117"/>
      <c r="F766" s="117"/>
    </row>
    <row r="767">
      <c r="A767" s="117"/>
      <c r="B767" s="117"/>
      <c r="C767" s="235"/>
      <c r="D767" s="117"/>
      <c r="E767" s="117"/>
      <c r="F767" s="117"/>
    </row>
    <row r="768">
      <c r="A768" s="117"/>
      <c r="B768" s="117"/>
      <c r="C768" s="235"/>
      <c r="D768" s="117"/>
      <c r="E768" s="117"/>
      <c r="F768" s="117"/>
    </row>
    <row r="769">
      <c r="A769" s="117"/>
      <c r="B769" s="117"/>
      <c r="C769" s="235"/>
      <c r="D769" s="117"/>
      <c r="E769" s="117"/>
      <c r="F769" s="117"/>
    </row>
    <row r="770">
      <c r="A770" s="117"/>
      <c r="B770" s="117"/>
      <c r="C770" s="235"/>
      <c r="D770" s="117"/>
      <c r="E770" s="117"/>
      <c r="F770" s="117"/>
    </row>
    <row r="771">
      <c r="A771" s="117"/>
      <c r="B771" s="117"/>
      <c r="C771" s="235"/>
      <c r="D771" s="117"/>
      <c r="E771" s="117"/>
      <c r="F771" s="117"/>
    </row>
    <row r="772">
      <c r="A772" s="117"/>
      <c r="B772" s="117"/>
      <c r="C772" s="235"/>
      <c r="D772" s="117"/>
      <c r="E772" s="117"/>
      <c r="F772" s="117"/>
    </row>
    <row r="773">
      <c r="A773" s="117"/>
      <c r="B773" s="117"/>
      <c r="C773" s="235"/>
      <c r="D773" s="117"/>
      <c r="E773" s="117"/>
      <c r="F773" s="117"/>
    </row>
    <row r="774">
      <c r="A774" s="117"/>
      <c r="B774" s="117"/>
      <c r="C774" s="235"/>
      <c r="D774" s="117"/>
      <c r="E774" s="117"/>
      <c r="F774" s="117"/>
    </row>
    <row r="775">
      <c r="A775" s="117"/>
      <c r="B775" s="117"/>
      <c r="C775" s="235"/>
      <c r="D775" s="117"/>
      <c r="E775" s="117"/>
      <c r="F775" s="117"/>
    </row>
    <row r="776">
      <c r="A776" s="117"/>
      <c r="B776" s="117"/>
      <c r="C776" s="235"/>
      <c r="D776" s="117"/>
      <c r="E776" s="117"/>
      <c r="F776" s="117"/>
    </row>
    <row r="777">
      <c r="A777" s="117"/>
      <c r="B777" s="117"/>
      <c r="C777" s="235"/>
      <c r="D777" s="117"/>
      <c r="E777" s="117"/>
      <c r="F777" s="117"/>
    </row>
    <row r="778">
      <c r="A778" s="117"/>
      <c r="B778" s="117"/>
      <c r="C778" s="235"/>
      <c r="D778" s="117"/>
      <c r="E778" s="117"/>
      <c r="F778" s="117"/>
    </row>
    <row r="779">
      <c r="A779" s="117"/>
      <c r="B779" s="117"/>
      <c r="C779" s="235"/>
      <c r="D779" s="117"/>
      <c r="E779" s="117"/>
      <c r="F779" s="117"/>
    </row>
    <row r="780">
      <c r="A780" s="117"/>
      <c r="B780" s="117"/>
      <c r="C780" s="235"/>
      <c r="D780" s="117"/>
      <c r="E780" s="117"/>
      <c r="F780" s="117"/>
    </row>
    <row r="781">
      <c r="A781" s="117"/>
      <c r="B781" s="117"/>
      <c r="C781" s="235"/>
      <c r="D781" s="117"/>
      <c r="E781" s="117"/>
      <c r="F781" s="117"/>
    </row>
    <row r="782">
      <c r="A782" s="117"/>
      <c r="B782" s="117"/>
      <c r="C782" s="235"/>
      <c r="D782" s="117"/>
      <c r="E782" s="117"/>
      <c r="F782" s="117"/>
    </row>
    <row r="783">
      <c r="A783" s="117"/>
      <c r="B783" s="117"/>
      <c r="C783" s="235"/>
      <c r="D783" s="117"/>
      <c r="E783" s="117"/>
      <c r="F783" s="117"/>
    </row>
    <row r="784">
      <c r="A784" s="117"/>
      <c r="B784" s="117"/>
      <c r="C784" s="235"/>
      <c r="D784" s="117"/>
      <c r="E784" s="117"/>
      <c r="F784" s="117"/>
    </row>
    <row r="785">
      <c r="A785" s="117"/>
      <c r="B785" s="117"/>
      <c r="C785" s="235"/>
      <c r="D785" s="117"/>
      <c r="E785" s="117"/>
      <c r="F785" s="117"/>
    </row>
    <row r="786">
      <c r="A786" s="117"/>
      <c r="B786" s="117"/>
      <c r="C786" s="235"/>
      <c r="D786" s="117"/>
      <c r="E786" s="117"/>
      <c r="F786" s="117"/>
    </row>
    <row r="787">
      <c r="A787" s="117"/>
      <c r="B787" s="117"/>
      <c r="C787" s="235"/>
      <c r="D787" s="117"/>
      <c r="E787" s="117"/>
      <c r="F787" s="117"/>
    </row>
    <row r="788">
      <c r="A788" s="117"/>
      <c r="B788" s="117"/>
      <c r="C788" s="235"/>
      <c r="D788" s="117"/>
      <c r="E788" s="117"/>
      <c r="F788" s="117"/>
    </row>
    <row r="789">
      <c r="A789" s="117"/>
      <c r="B789" s="117"/>
      <c r="C789" s="235"/>
      <c r="D789" s="117"/>
      <c r="E789" s="117"/>
      <c r="F789" s="117"/>
    </row>
    <row r="790">
      <c r="A790" s="117"/>
      <c r="B790" s="117"/>
      <c r="C790" s="235"/>
      <c r="D790" s="117"/>
      <c r="E790" s="117"/>
      <c r="F790" s="117"/>
    </row>
    <row r="791">
      <c r="A791" s="117"/>
      <c r="B791" s="117"/>
      <c r="C791" s="235"/>
      <c r="D791" s="117"/>
      <c r="E791" s="117"/>
      <c r="F791" s="117"/>
    </row>
    <row r="792">
      <c r="A792" s="117"/>
      <c r="B792" s="117"/>
      <c r="C792" s="235"/>
      <c r="D792" s="117"/>
      <c r="E792" s="117"/>
      <c r="F792" s="117"/>
    </row>
    <row r="793">
      <c r="A793" s="117"/>
      <c r="B793" s="117"/>
      <c r="C793" s="235"/>
      <c r="D793" s="117"/>
      <c r="E793" s="117"/>
      <c r="F793" s="117"/>
    </row>
    <row r="794">
      <c r="A794" s="117"/>
      <c r="B794" s="117"/>
      <c r="C794" s="235"/>
      <c r="D794" s="117"/>
      <c r="E794" s="117"/>
      <c r="F794" s="117"/>
    </row>
    <row r="795">
      <c r="A795" s="117"/>
      <c r="B795" s="117"/>
      <c r="C795" s="235"/>
      <c r="D795" s="117"/>
      <c r="E795" s="117"/>
      <c r="F795" s="117"/>
    </row>
    <row r="796">
      <c r="A796" s="117"/>
      <c r="B796" s="117"/>
      <c r="C796" s="235"/>
      <c r="D796" s="117"/>
      <c r="E796" s="117"/>
      <c r="F796" s="117"/>
    </row>
    <row r="797">
      <c r="A797" s="117"/>
      <c r="B797" s="117"/>
      <c r="C797" s="235"/>
      <c r="D797" s="117"/>
      <c r="E797" s="117"/>
      <c r="F797" s="117"/>
    </row>
    <row r="798">
      <c r="A798" s="117"/>
      <c r="B798" s="117"/>
      <c r="C798" s="235"/>
      <c r="D798" s="117"/>
      <c r="E798" s="117"/>
      <c r="F798" s="117"/>
    </row>
    <row r="799">
      <c r="A799" s="117"/>
      <c r="B799" s="117"/>
      <c r="C799" s="235"/>
      <c r="D799" s="117"/>
      <c r="E799" s="117"/>
      <c r="F799" s="117"/>
    </row>
    <row r="800">
      <c r="A800" s="117"/>
      <c r="B800" s="117"/>
      <c r="C800" s="235"/>
      <c r="D800" s="117"/>
      <c r="E800" s="117"/>
      <c r="F800" s="117"/>
    </row>
    <row r="801">
      <c r="A801" s="117"/>
      <c r="B801" s="117"/>
      <c r="C801" s="235"/>
      <c r="D801" s="117"/>
      <c r="E801" s="117"/>
      <c r="F801" s="117"/>
    </row>
    <row r="802">
      <c r="A802" s="117"/>
      <c r="B802" s="117"/>
      <c r="C802" s="235"/>
      <c r="D802" s="117"/>
      <c r="E802" s="117"/>
      <c r="F802" s="117"/>
    </row>
    <row r="803">
      <c r="A803" s="117"/>
      <c r="B803" s="117"/>
      <c r="C803" s="235"/>
      <c r="D803" s="117"/>
      <c r="E803" s="117"/>
      <c r="F803" s="117"/>
    </row>
    <row r="804">
      <c r="A804" s="117"/>
      <c r="B804" s="117"/>
      <c r="C804" s="235"/>
      <c r="D804" s="117"/>
      <c r="E804" s="117"/>
      <c r="F804" s="117"/>
    </row>
    <row r="805">
      <c r="A805" s="117"/>
      <c r="B805" s="117"/>
      <c r="C805" s="235"/>
      <c r="D805" s="117"/>
      <c r="E805" s="117"/>
      <c r="F805" s="117"/>
    </row>
    <row r="806">
      <c r="A806" s="117"/>
      <c r="B806" s="117"/>
      <c r="C806" s="235"/>
      <c r="D806" s="117"/>
      <c r="E806" s="117"/>
      <c r="F806" s="117"/>
    </row>
    <row r="807">
      <c r="A807" s="117"/>
      <c r="B807" s="117"/>
      <c r="C807" s="235"/>
      <c r="D807" s="117"/>
      <c r="E807" s="117"/>
      <c r="F807" s="117"/>
    </row>
    <row r="808">
      <c r="A808" s="117"/>
      <c r="B808" s="117"/>
      <c r="C808" s="235"/>
      <c r="D808" s="117"/>
      <c r="E808" s="117"/>
      <c r="F808" s="117"/>
    </row>
    <row r="809">
      <c r="A809" s="117"/>
      <c r="B809" s="117"/>
      <c r="C809" s="235"/>
      <c r="D809" s="117"/>
      <c r="E809" s="117"/>
      <c r="F809" s="117"/>
    </row>
    <row r="810">
      <c r="A810" s="117"/>
      <c r="B810" s="117"/>
      <c r="C810" s="235"/>
      <c r="D810" s="117"/>
      <c r="E810" s="117"/>
      <c r="F810" s="117"/>
    </row>
    <row r="811">
      <c r="A811" s="117"/>
      <c r="B811" s="117"/>
      <c r="C811" s="235"/>
      <c r="D811" s="117"/>
      <c r="E811" s="117"/>
      <c r="F811" s="117"/>
    </row>
    <row r="812">
      <c r="A812" s="117"/>
      <c r="B812" s="117"/>
      <c r="C812" s="235"/>
      <c r="D812" s="117"/>
      <c r="E812" s="117"/>
      <c r="F812" s="117"/>
    </row>
    <row r="813">
      <c r="A813" s="117"/>
      <c r="B813" s="117"/>
      <c r="C813" s="235"/>
      <c r="D813" s="117"/>
      <c r="E813" s="117"/>
      <c r="F813" s="117"/>
    </row>
    <row r="814">
      <c r="A814" s="117"/>
      <c r="B814" s="117"/>
      <c r="C814" s="235"/>
      <c r="D814" s="117"/>
      <c r="E814" s="117"/>
      <c r="F814" s="117"/>
    </row>
    <row r="815">
      <c r="A815" s="117"/>
      <c r="B815" s="117"/>
      <c r="C815" s="235"/>
      <c r="D815" s="117"/>
      <c r="E815" s="117"/>
      <c r="F815" s="117"/>
    </row>
    <row r="816">
      <c r="A816" s="117"/>
      <c r="B816" s="117"/>
      <c r="C816" s="235"/>
      <c r="D816" s="117"/>
      <c r="E816" s="117"/>
      <c r="F816" s="117"/>
    </row>
    <row r="817">
      <c r="A817" s="117"/>
      <c r="B817" s="117"/>
      <c r="C817" s="235"/>
      <c r="D817" s="117"/>
      <c r="E817" s="117"/>
      <c r="F817" s="117"/>
    </row>
    <row r="818">
      <c r="A818" s="117"/>
      <c r="B818" s="117"/>
      <c r="C818" s="235"/>
      <c r="D818" s="117"/>
      <c r="E818" s="117"/>
      <c r="F818" s="117"/>
    </row>
    <row r="819">
      <c r="A819" s="117"/>
      <c r="B819" s="117"/>
      <c r="C819" s="235"/>
      <c r="D819" s="117"/>
      <c r="E819" s="117"/>
      <c r="F819" s="117"/>
    </row>
    <row r="820">
      <c r="A820" s="117"/>
      <c r="B820" s="117"/>
      <c r="C820" s="235"/>
      <c r="D820" s="117"/>
      <c r="E820" s="117"/>
      <c r="F820" s="117"/>
    </row>
    <row r="821">
      <c r="A821" s="117"/>
      <c r="B821" s="117"/>
      <c r="C821" s="235"/>
      <c r="D821" s="117"/>
      <c r="E821" s="117"/>
      <c r="F821" s="117"/>
    </row>
    <row r="822">
      <c r="A822" s="117"/>
      <c r="B822" s="117"/>
      <c r="C822" s="235"/>
      <c r="D822" s="117"/>
      <c r="E822" s="117"/>
      <c r="F822" s="117"/>
    </row>
    <row r="823">
      <c r="A823" s="117"/>
      <c r="B823" s="117"/>
      <c r="C823" s="235"/>
      <c r="D823" s="117"/>
      <c r="E823" s="117"/>
      <c r="F823" s="117"/>
    </row>
    <row r="824">
      <c r="A824" s="117"/>
      <c r="B824" s="117"/>
      <c r="C824" s="235"/>
      <c r="D824" s="117"/>
      <c r="E824" s="117"/>
      <c r="F824" s="117"/>
    </row>
    <row r="825">
      <c r="A825" s="117"/>
      <c r="B825" s="117"/>
      <c r="C825" s="235"/>
      <c r="D825" s="117"/>
      <c r="E825" s="117"/>
      <c r="F825" s="117"/>
    </row>
    <row r="826">
      <c r="A826" s="117"/>
      <c r="B826" s="117"/>
      <c r="C826" s="235"/>
      <c r="D826" s="117"/>
      <c r="E826" s="117"/>
      <c r="F826" s="117"/>
    </row>
    <row r="827">
      <c r="A827" s="117"/>
      <c r="B827" s="117"/>
      <c r="C827" s="235"/>
      <c r="D827" s="117"/>
      <c r="E827" s="117"/>
      <c r="F827" s="117"/>
    </row>
    <row r="828">
      <c r="A828" s="117"/>
      <c r="B828" s="117"/>
      <c r="C828" s="235"/>
      <c r="D828" s="117"/>
      <c r="E828" s="117"/>
      <c r="F828" s="117"/>
    </row>
    <row r="829">
      <c r="A829" s="117"/>
      <c r="B829" s="117"/>
      <c r="C829" s="235"/>
      <c r="D829" s="117"/>
      <c r="E829" s="117"/>
      <c r="F829" s="117"/>
    </row>
    <row r="830">
      <c r="A830" s="117"/>
      <c r="B830" s="117"/>
      <c r="C830" s="235"/>
      <c r="D830" s="117"/>
      <c r="E830" s="117"/>
      <c r="F830" s="117"/>
    </row>
    <row r="831">
      <c r="A831" s="117"/>
      <c r="B831" s="117"/>
      <c r="C831" s="235"/>
      <c r="D831" s="117"/>
      <c r="E831" s="117"/>
      <c r="F831" s="117"/>
    </row>
    <row r="832">
      <c r="A832" s="117"/>
      <c r="B832" s="117"/>
      <c r="C832" s="235"/>
      <c r="D832" s="117"/>
      <c r="E832" s="117"/>
      <c r="F832" s="117"/>
    </row>
    <row r="833">
      <c r="A833" s="117"/>
      <c r="B833" s="117"/>
      <c r="C833" s="235"/>
      <c r="D833" s="117"/>
      <c r="E833" s="117"/>
      <c r="F833" s="117"/>
    </row>
    <row r="834">
      <c r="A834" s="117"/>
      <c r="B834" s="117"/>
      <c r="C834" s="235"/>
      <c r="D834" s="117"/>
      <c r="E834" s="117"/>
      <c r="F834" s="117"/>
    </row>
    <row r="835">
      <c r="A835" s="117"/>
      <c r="B835" s="117"/>
      <c r="C835" s="235"/>
      <c r="D835" s="117"/>
      <c r="E835" s="117"/>
      <c r="F835" s="117"/>
    </row>
    <row r="836">
      <c r="A836" s="117"/>
      <c r="B836" s="117"/>
      <c r="C836" s="235"/>
      <c r="D836" s="117"/>
      <c r="E836" s="117"/>
      <c r="F836" s="117"/>
    </row>
    <row r="837">
      <c r="A837" s="117"/>
      <c r="B837" s="117"/>
      <c r="C837" s="235"/>
      <c r="D837" s="117"/>
      <c r="E837" s="117"/>
      <c r="F837" s="117"/>
    </row>
    <row r="838">
      <c r="A838" s="117"/>
      <c r="B838" s="117"/>
      <c r="C838" s="235"/>
      <c r="D838" s="117"/>
      <c r="E838" s="117"/>
      <c r="F838" s="117"/>
    </row>
    <row r="839">
      <c r="A839" s="117"/>
      <c r="B839" s="117"/>
      <c r="C839" s="235"/>
      <c r="D839" s="117"/>
      <c r="E839" s="117"/>
      <c r="F839" s="117"/>
    </row>
    <row r="840">
      <c r="A840" s="117"/>
      <c r="B840" s="117"/>
      <c r="C840" s="235"/>
      <c r="D840" s="117"/>
      <c r="E840" s="117"/>
      <c r="F840" s="117"/>
    </row>
    <row r="841">
      <c r="A841" s="117"/>
      <c r="B841" s="117"/>
      <c r="C841" s="235"/>
      <c r="D841" s="117"/>
      <c r="E841" s="117"/>
      <c r="F841" s="117"/>
    </row>
    <row r="842">
      <c r="A842" s="117"/>
      <c r="B842" s="117"/>
      <c r="C842" s="235"/>
      <c r="D842" s="117"/>
      <c r="E842" s="117"/>
      <c r="F842" s="117"/>
    </row>
    <row r="843">
      <c r="A843" s="117"/>
      <c r="B843" s="117"/>
      <c r="C843" s="235"/>
      <c r="D843" s="117"/>
      <c r="E843" s="117"/>
      <c r="F843" s="117"/>
    </row>
    <row r="844">
      <c r="A844" s="117"/>
      <c r="B844" s="117"/>
      <c r="C844" s="235"/>
      <c r="D844" s="117"/>
      <c r="E844" s="117"/>
      <c r="F844" s="117"/>
    </row>
    <row r="845">
      <c r="A845" s="117"/>
      <c r="B845" s="117"/>
      <c r="C845" s="235"/>
      <c r="D845" s="117"/>
      <c r="E845" s="117"/>
      <c r="F845" s="117"/>
    </row>
    <row r="846">
      <c r="A846" s="117"/>
      <c r="B846" s="117"/>
      <c r="C846" s="235"/>
      <c r="D846" s="117"/>
      <c r="E846" s="117"/>
      <c r="F846" s="117"/>
    </row>
    <row r="847">
      <c r="A847" s="117"/>
      <c r="B847" s="117"/>
      <c r="C847" s="235"/>
      <c r="D847" s="117"/>
      <c r="E847" s="117"/>
      <c r="F847" s="117"/>
    </row>
    <row r="848">
      <c r="A848" s="117"/>
      <c r="B848" s="117"/>
      <c r="C848" s="235"/>
      <c r="D848" s="117"/>
      <c r="E848" s="117"/>
      <c r="F848" s="117"/>
    </row>
    <row r="849">
      <c r="A849" s="117"/>
      <c r="B849" s="117"/>
      <c r="C849" s="235"/>
      <c r="D849" s="117"/>
      <c r="E849" s="117"/>
      <c r="F849" s="117"/>
    </row>
    <row r="850">
      <c r="A850" s="117"/>
      <c r="B850" s="117"/>
      <c r="C850" s="235"/>
      <c r="D850" s="117"/>
      <c r="E850" s="117"/>
      <c r="F850" s="117"/>
    </row>
    <row r="851">
      <c r="A851" s="117"/>
      <c r="B851" s="117"/>
      <c r="C851" s="235"/>
      <c r="D851" s="117"/>
      <c r="E851" s="117"/>
      <c r="F851" s="117"/>
    </row>
    <row r="852">
      <c r="A852" s="117"/>
      <c r="B852" s="117"/>
      <c r="C852" s="235"/>
      <c r="D852" s="117"/>
      <c r="E852" s="117"/>
      <c r="F852" s="117"/>
    </row>
    <row r="853">
      <c r="A853" s="117"/>
      <c r="B853" s="117"/>
      <c r="C853" s="235"/>
      <c r="D853" s="117"/>
      <c r="E853" s="117"/>
      <c r="F853" s="117"/>
    </row>
    <row r="854">
      <c r="A854" s="117"/>
      <c r="B854" s="117"/>
      <c r="C854" s="235"/>
      <c r="D854" s="117"/>
      <c r="E854" s="117"/>
      <c r="F854" s="117"/>
    </row>
    <row r="855">
      <c r="A855" s="117"/>
      <c r="B855" s="117"/>
      <c r="C855" s="235"/>
      <c r="D855" s="117"/>
      <c r="E855" s="117"/>
      <c r="F855" s="117"/>
    </row>
    <row r="856">
      <c r="A856" s="117"/>
      <c r="B856" s="117"/>
      <c r="C856" s="235"/>
      <c r="D856" s="117"/>
      <c r="E856" s="117"/>
      <c r="F856" s="117"/>
    </row>
    <row r="857">
      <c r="A857" s="117"/>
      <c r="B857" s="117"/>
      <c r="C857" s="235"/>
      <c r="D857" s="117"/>
      <c r="E857" s="117"/>
      <c r="F857" s="117"/>
    </row>
    <row r="858">
      <c r="A858" s="117"/>
      <c r="B858" s="117"/>
      <c r="C858" s="235"/>
      <c r="D858" s="117"/>
      <c r="E858" s="117"/>
      <c r="F858" s="117"/>
    </row>
    <row r="859">
      <c r="A859" s="117"/>
      <c r="B859" s="117"/>
      <c r="C859" s="235"/>
      <c r="D859" s="117"/>
      <c r="E859" s="117"/>
      <c r="F859" s="117"/>
    </row>
    <row r="860">
      <c r="A860" s="117"/>
      <c r="B860" s="117"/>
      <c r="C860" s="235"/>
      <c r="D860" s="117"/>
      <c r="E860" s="117"/>
      <c r="F860" s="117"/>
    </row>
    <row r="861">
      <c r="A861" s="117"/>
      <c r="B861" s="117"/>
      <c r="C861" s="235"/>
      <c r="D861" s="117"/>
      <c r="E861" s="117"/>
      <c r="F861" s="117"/>
    </row>
    <row r="862">
      <c r="A862" s="117"/>
      <c r="B862" s="117"/>
      <c r="C862" s="235"/>
      <c r="D862" s="117"/>
      <c r="E862" s="117"/>
      <c r="F862" s="117"/>
    </row>
    <row r="863">
      <c r="A863" s="117"/>
      <c r="B863" s="117"/>
      <c r="C863" s="235"/>
      <c r="D863" s="117"/>
      <c r="E863" s="117"/>
      <c r="F863" s="117"/>
    </row>
    <row r="864">
      <c r="A864" s="117"/>
      <c r="B864" s="117"/>
      <c r="C864" s="235"/>
      <c r="D864" s="117"/>
      <c r="E864" s="117"/>
      <c r="F864" s="117"/>
    </row>
    <row r="865">
      <c r="A865" s="117"/>
      <c r="B865" s="117"/>
      <c r="C865" s="235"/>
      <c r="D865" s="117"/>
      <c r="E865" s="117"/>
      <c r="F865" s="117"/>
    </row>
    <row r="866">
      <c r="A866" s="117"/>
      <c r="B866" s="117"/>
      <c r="C866" s="235"/>
      <c r="D866" s="117"/>
      <c r="E866" s="117"/>
      <c r="F866" s="117"/>
    </row>
    <row r="867">
      <c r="A867" s="117"/>
      <c r="B867" s="117"/>
      <c r="C867" s="235"/>
      <c r="D867" s="117"/>
      <c r="E867" s="117"/>
      <c r="F867" s="117"/>
    </row>
    <row r="868">
      <c r="A868" s="117"/>
      <c r="B868" s="117"/>
      <c r="C868" s="235"/>
      <c r="D868" s="117"/>
      <c r="E868" s="117"/>
      <c r="F868" s="117"/>
    </row>
    <row r="869">
      <c r="A869" s="117"/>
      <c r="B869" s="117"/>
      <c r="C869" s="235"/>
      <c r="D869" s="117"/>
      <c r="E869" s="117"/>
      <c r="F869" s="117"/>
    </row>
    <row r="870">
      <c r="A870" s="117"/>
      <c r="B870" s="117"/>
      <c r="C870" s="235"/>
      <c r="D870" s="117"/>
      <c r="E870" s="117"/>
      <c r="F870" s="117"/>
    </row>
    <row r="871">
      <c r="A871" s="117"/>
      <c r="B871" s="117"/>
      <c r="C871" s="235"/>
      <c r="D871" s="117"/>
      <c r="E871" s="117"/>
      <c r="F871" s="117"/>
    </row>
    <row r="872">
      <c r="A872" s="117"/>
      <c r="B872" s="117"/>
      <c r="C872" s="235"/>
      <c r="D872" s="117"/>
      <c r="E872" s="117"/>
      <c r="F872" s="117"/>
    </row>
    <row r="873">
      <c r="A873" s="117"/>
      <c r="B873" s="117"/>
      <c r="C873" s="235"/>
      <c r="D873" s="117"/>
      <c r="E873" s="117"/>
      <c r="F873" s="117"/>
    </row>
    <row r="874">
      <c r="A874" s="117"/>
      <c r="B874" s="117"/>
      <c r="C874" s="235"/>
      <c r="D874" s="117"/>
      <c r="E874" s="117"/>
      <c r="F874" s="117"/>
    </row>
    <row r="875">
      <c r="A875" s="117"/>
      <c r="B875" s="117"/>
      <c r="C875" s="235"/>
      <c r="D875" s="117"/>
      <c r="E875" s="117"/>
      <c r="F875" s="117"/>
    </row>
    <row r="876">
      <c r="A876" s="117"/>
      <c r="B876" s="117"/>
      <c r="C876" s="235"/>
      <c r="D876" s="117"/>
      <c r="E876" s="117"/>
      <c r="F876" s="117"/>
    </row>
    <row r="877">
      <c r="A877" s="117"/>
      <c r="B877" s="117"/>
      <c r="C877" s="235"/>
      <c r="D877" s="117"/>
      <c r="E877" s="117"/>
      <c r="F877" s="117"/>
    </row>
    <row r="878">
      <c r="A878" s="117"/>
      <c r="B878" s="117"/>
      <c r="C878" s="235"/>
      <c r="D878" s="117"/>
      <c r="E878" s="117"/>
      <c r="F878" s="117"/>
    </row>
    <row r="879">
      <c r="A879" s="117"/>
      <c r="B879" s="117"/>
      <c r="C879" s="235"/>
      <c r="D879" s="117"/>
      <c r="E879" s="117"/>
      <c r="F879" s="117"/>
    </row>
    <row r="880">
      <c r="A880" s="117"/>
      <c r="B880" s="117"/>
      <c r="C880" s="235"/>
      <c r="D880" s="117"/>
      <c r="E880" s="117"/>
      <c r="F880" s="117"/>
    </row>
    <row r="881">
      <c r="A881" s="117"/>
      <c r="B881" s="117"/>
      <c r="C881" s="235"/>
      <c r="D881" s="117"/>
      <c r="E881" s="117"/>
      <c r="F881" s="117"/>
    </row>
    <row r="882">
      <c r="A882" s="117"/>
      <c r="B882" s="117"/>
      <c r="C882" s="235"/>
      <c r="D882" s="117"/>
      <c r="E882" s="117"/>
      <c r="F882" s="117"/>
    </row>
    <row r="883">
      <c r="A883" s="117"/>
      <c r="B883" s="117"/>
      <c r="C883" s="235"/>
      <c r="D883" s="117"/>
      <c r="E883" s="117"/>
      <c r="F883" s="117"/>
    </row>
    <row r="884">
      <c r="A884" s="117"/>
      <c r="B884" s="117"/>
      <c r="C884" s="235"/>
      <c r="D884" s="117"/>
      <c r="E884" s="117"/>
      <c r="F884" s="117"/>
    </row>
    <row r="885">
      <c r="A885" s="117"/>
      <c r="B885" s="117"/>
      <c r="C885" s="235"/>
      <c r="D885" s="117"/>
      <c r="E885" s="117"/>
      <c r="F885" s="117"/>
    </row>
    <row r="886">
      <c r="A886" s="117"/>
      <c r="B886" s="117"/>
      <c r="C886" s="235"/>
      <c r="D886" s="117"/>
      <c r="E886" s="117"/>
      <c r="F886" s="117"/>
    </row>
    <row r="887">
      <c r="A887" s="117"/>
      <c r="B887" s="117"/>
      <c r="C887" s="235"/>
      <c r="D887" s="117"/>
      <c r="E887" s="117"/>
      <c r="F887" s="117"/>
    </row>
    <row r="888">
      <c r="A888" s="117"/>
      <c r="B888" s="117"/>
      <c r="C888" s="235"/>
      <c r="D888" s="117"/>
      <c r="E888" s="117"/>
      <c r="F888" s="117"/>
    </row>
    <row r="889">
      <c r="A889" s="117"/>
      <c r="B889" s="117"/>
      <c r="C889" s="235"/>
      <c r="D889" s="117"/>
      <c r="E889" s="117"/>
      <c r="F889" s="117"/>
    </row>
    <row r="890">
      <c r="A890" s="117"/>
      <c r="B890" s="117"/>
      <c r="C890" s="235"/>
      <c r="D890" s="117"/>
      <c r="E890" s="117"/>
      <c r="F890" s="117"/>
    </row>
    <row r="891">
      <c r="A891" s="117"/>
      <c r="B891" s="117"/>
      <c r="C891" s="235"/>
      <c r="D891" s="117"/>
      <c r="E891" s="117"/>
      <c r="F891" s="117"/>
    </row>
    <row r="892">
      <c r="A892" s="117"/>
      <c r="B892" s="117"/>
      <c r="C892" s="235"/>
      <c r="D892" s="117"/>
      <c r="E892" s="117"/>
      <c r="F892" s="117"/>
    </row>
    <row r="893">
      <c r="A893" s="117"/>
      <c r="B893" s="117"/>
      <c r="C893" s="235"/>
      <c r="D893" s="117"/>
      <c r="E893" s="117"/>
      <c r="F893" s="117"/>
    </row>
    <row r="894">
      <c r="A894" s="117"/>
      <c r="B894" s="117"/>
      <c r="C894" s="235"/>
      <c r="D894" s="117"/>
      <c r="E894" s="117"/>
      <c r="F894" s="117"/>
    </row>
    <row r="895">
      <c r="A895" s="117"/>
      <c r="B895" s="117"/>
      <c r="C895" s="235"/>
      <c r="D895" s="117"/>
      <c r="E895" s="117"/>
      <c r="F895" s="117"/>
    </row>
    <row r="896">
      <c r="A896" s="117"/>
      <c r="B896" s="117"/>
      <c r="C896" s="235"/>
      <c r="D896" s="117"/>
      <c r="E896" s="117"/>
      <c r="F896" s="117"/>
    </row>
    <row r="897">
      <c r="A897" s="117"/>
      <c r="B897" s="117"/>
      <c r="C897" s="235"/>
      <c r="D897" s="117"/>
      <c r="E897" s="117"/>
      <c r="F897" s="117"/>
    </row>
    <row r="898">
      <c r="A898" s="117"/>
      <c r="B898" s="117"/>
      <c r="C898" s="235"/>
      <c r="D898" s="117"/>
      <c r="E898" s="117"/>
      <c r="F898" s="117"/>
    </row>
    <row r="899">
      <c r="A899" s="117"/>
      <c r="B899" s="117"/>
      <c r="C899" s="235"/>
      <c r="D899" s="117"/>
      <c r="E899" s="117"/>
      <c r="F899" s="117"/>
    </row>
    <row r="900">
      <c r="A900" s="117"/>
      <c r="B900" s="117"/>
      <c r="C900" s="235"/>
      <c r="D900" s="117"/>
      <c r="E900" s="117"/>
      <c r="F900" s="117"/>
    </row>
    <row r="901">
      <c r="A901" s="117"/>
      <c r="B901" s="117"/>
      <c r="C901" s="235"/>
      <c r="D901" s="117"/>
      <c r="E901" s="117"/>
      <c r="F901" s="117"/>
    </row>
    <row r="902">
      <c r="A902" s="117"/>
      <c r="B902" s="117"/>
      <c r="C902" s="235"/>
      <c r="D902" s="117"/>
      <c r="E902" s="117"/>
      <c r="F902" s="117"/>
    </row>
    <row r="903">
      <c r="A903" s="117"/>
      <c r="B903" s="117"/>
      <c r="C903" s="235"/>
      <c r="D903" s="117"/>
      <c r="E903" s="117"/>
      <c r="F903" s="117"/>
    </row>
    <row r="904">
      <c r="A904" s="117"/>
      <c r="B904" s="117"/>
      <c r="C904" s="235"/>
      <c r="D904" s="117"/>
      <c r="E904" s="117"/>
      <c r="F904" s="117"/>
    </row>
    <row r="905">
      <c r="A905" s="117"/>
      <c r="B905" s="117"/>
      <c r="C905" s="235"/>
      <c r="D905" s="117"/>
      <c r="E905" s="117"/>
      <c r="F905" s="117"/>
    </row>
    <row r="906">
      <c r="A906" s="117"/>
      <c r="B906" s="117"/>
      <c r="C906" s="235"/>
      <c r="D906" s="117"/>
      <c r="E906" s="117"/>
      <c r="F906" s="117"/>
    </row>
    <row r="907">
      <c r="A907" s="117"/>
      <c r="B907" s="117"/>
      <c r="C907" s="235"/>
      <c r="D907" s="117"/>
      <c r="E907" s="117"/>
      <c r="F907" s="117"/>
    </row>
    <row r="908">
      <c r="A908" s="117"/>
      <c r="B908" s="117"/>
      <c r="C908" s="235"/>
      <c r="D908" s="117"/>
      <c r="E908" s="117"/>
      <c r="F908" s="117"/>
    </row>
    <row r="909">
      <c r="A909" s="117"/>
      <c r="B909" s="117"/>
      <c r="C909" s="235"/>
      <c r="D909" s="117"/>
      <c r="E909" s="117"/>
      <c r="F909" s="117"/>
    </row>
    <row r="910">
      <c r="A910" s="117"/>
      <c r="B910" s="117"/>
      <c r="C910" s="235"/>
      <c r="D910" s="117"/>
      <c r="E910" s="117"/>
      <c r="F910" s="117"/>
    </row>
    <row r="911">
      <c r="A911" s="117"/>
      <c r="B911" s="117"/>
      <c r="C911" s="235"/>
      <c r="D911" s="117"/>
      <c r="E911" s="117"/>
      <c r="F911" s="117"/>
    </row>
    <row r="912">
      <c r="A912" s="117"/>
      <c r="B912" s="117"/>
      <c r="C912" s="235"/>
      <c r="D912" s="117"/>
      <c r="E912" s="117"/>
      <c r="F912" s="117"/>
    </row>
    <row r="913">
      <c r="A913" s="117"/>
      <c r="B913" s="117"/>
      <c r="C913" s="235"/>
      <c r="D913" s="117"/>
      <c r="E913" s="117"/>
      <c r="F913" s="117"/>
    </row>
    <row r="914">
      <c r="A914" s="117"/>
      <c r="B914" s="117"/>
      <c r="C914" s="235"/>
      <c r="D914" s="117"/>
      <c r="E914" s="117"/>
      <c r="F914" s="117"/>
    </row>
    <row r="915">
      <c r="A915" s="117"/>
      <c r="B915" s="117"/>
      <c r="C915" s="235"/>
      <c r="D915" s="117"/>
      <c r="E915" s="117"/>
      <c r="F915" s="117"/>
    </row>
    <row r="916">
      <c r="A916" s="117"/>
      <c r="B916" s="117"/>
      <c r="C916" s="235"/>
      <c r="D916" s="117"/>
      <c r="E916" s="117"/>
      <c r="F916" s="117"/>
    </row>
    <row r="917">
      <c r="A917" s="117"/>
      <c r="B917" s="117"/>
      <c r="C917" s="235"/>
      <c r="D917" s="117"/>
      <c r="E917" s="117"/>
      <c r="F917" s="117"/>
    </row>
    <row r="918">
      <c r="A918" s="117"/>
      <c r="B918" s="117"/>
      <c r="C918" s="235"/>
      <c r="D918" s="117"/>
      <c r="E918" s="117"/>
      <c r="F918" s="117"/>
    </row>
    <row r="919">
      <c r="A919" s="117"/>
      <c r="B919" s="117"/>
      <c r="C919" s="235"/>
      <c r="D919" s="117"/>
      <c r="E919" s="117"/>
      <c r="F919" s="117"/>
    </row>
    <row r="920">
      <c r="A920" s="117"/>
      <c r="B920" s="117"/>
      <c r="C920" s="235"/>
      <c r="D920" s="117"/>
      <c r="E920" s="117"/>
      <c r="F920" s="117"/>
    </row>
    <row r="921">
      <c r="A921" s="117"/>
      <c r="B921" s="117"/>
      <c r="C921" s="235"/>
      <c r="D921" s="117"/>
      <c r="E921" s="117"/>
      <c r="F921" s="117"/>
    </row>
    <row r="922">
      <c r="A922" s="117"/>
      <c r="B922" s="117"/>
      <c r="C922" s="235"/>
      <c r="D922" s="117"/>
      <c r="E922" s="117"/>
      <c r="F922" s="117"/>
    </row>
    <row r="923">
      <c r="A923" s="117"/>
      <c r="B923" s="117"/>
      <c r="C923" s="235"/>
      <c r="D923" s="117"/>
      <c r="E923" s="117"/>
      <c r="F923" s="117"/>
    </row>
    <row r="924">
      <c r="A924" s="117"/>
      <c r="B924" s="117"/>
      <c r="C924" s="235"/>
      <c r="D924" s="117"/>
      <c r="E924" s="117"/>
      <c r="F924" s="117"/>
    </row>
    <row r="925">
      <c r="A925" s="117"/>
      <c r="B925" s="117"/>
      <c r="C925" s="235"/>
      <c r="D925" s="117"/>
      <c r="E925" s="117"/>
      <c r="F925" s="117"/>
    </row>
    <row r="926">
      <c r="A926" s="117"/>
      <c r="B926" s="117"/>
      <c r="C926" s="235"/>
      <c r="D926" s="117"/>
      <c r="E926" s="117"/>
      <c r="F926" s="117"/>
    </row>
    <row r="927">
      <c r="A927" s="117"/>
      <c r="B927" s="117"/>
      <c r="C927" s="235"/>
      <c r="D927" s="117"/>
      <c r="E927" s="117"/>
      <c r="F927" s="117"/>
    </row>
    <row r="928">
      <c r="A928" s="117"/>
      <c r="B928" s="117"/>
      <c r="C928" s="235"/>
      <c r="D928" s="117"/>
      <c r="E928" s="117"/>
      <c r="F928" s="117"/>
    </row>
    <row r="929">
      <c r="A929" s="117"/>
      <c r="B929" s="117"/>
      <c r="C929" s="235"/>
      <c r="D929" s="117"/>
      <c r="E929" s="117"/>
      <c r="F929" s="117"/>
    </row>
    <row r="930">
      <c r="A930" s="117"/>
      <c r="B930" s="117"/>
      <c r="C930" s="235"/>
      <c r="D930" s="117"/>
      <c r="E930" s="117"/>
      <c r="F930" s="117"/>
    </row>
    <row r="931">
      <c r="A931" s="117"/>
      <c r="B931" s="117"/>
      <c r="C931" s="235"/>
      <c r="D931" s="117"/>
      <c r="E931" s="117"/>
      <c r="F931" s="117"/>
    </row>
    <row r="932">
      <c r="A932" s="117"/>
      <c r="B932" s="117"/>
      <c r="C932" s="235"/>
      <c r="D932" s="117"/>
      <c r="E932" s="117"/>
      <c r="F932" s="117"/>
    </row>
    <row r="933">
      <c r="A933" s="117"/>
      <c r="B933" s="117"/>
      <c r="C933" s="235"/>
      <c r="D933" s="117"/>
      <c r="E933" s="117"/>
      <c r="F933" s="117"/>
    </row>
    <row r="934">
      <c r="A934" s="117"/>
      <c r="B934" s="117"/>
      <c r="C934" s="235"/>
      <c r="D934" s="117"/>
      <c r="E934" s="117"/>
      <c r="F934" s="117"/>
    </row>
    <row r="935">
      <c r="A935" s="117"/>
      <c r="B935" s="117"/>
      <c r="C935" s="235"/>
      <c r="D935" s="117"/>
      <c r="E935" s="117"/>
      <c r="F935" s="117"/>
    </row>
    <row r="936">
      <c r="A936" s="117"/>
      <c r="B936" s="117"/>
      <c r="C936" s="235"/>
      <c r="D936" s="117"/>
      <c r="E936" s="117"/>
      <c r="F936" s="117"/>
    </row>
    <row r="937">
      <c r="A937" s="117"/>
      <c r="B937" s="117"/>
      <c r="C937" s="235"/>
      <c r="D937" s="117"/>
      <c r="E937" s="117"/>
      <c r="F937" s="117"/>
    </row>
    <row r="938">
      <c r="A938" s="117"/>
      <c r="B938" s="117"/>
      <c r="C938" s="235"/>
      <c r="D938" s="117"/>
      <c r="E938" s="117"/>
      <c r="F938" s="117"/>
    </row>
    <row r="939">
      <c r="A939" s="117"/>
      <c r="B939" s="117"/>
      <c r="C939" s="235"/>
      <c r="D939" s="117"/>
      <c r="E939" s="117"/>
      <c r="F939" s="117"/>
    </row>
    <row r="940">
      <c r="A940" s="117"/>
      <c r="B940" s="117"/>
      <c r="C940" s="235"/>
      <c r="D940" s="117"/>
      <c r="E940" s="117"/>
      <c r="F940" s="117"/>
    </row>
    <row r="941">
      <c r="A941" s="117"/>
      <c r="B941" s="117"/>
      <c r="C941" s="235"/>
      <c r="D941" s="117"/>
      <c r="E941" s="117"/>
      <c r="F941" s="117"/>
    </row>
    <row r="942">
      <c r="A942" s="117"/>
      <c r="B942" s="117"/>
      <c r="C942" s="235"/>
      <c r="D942" s="117"/>
      <c r="E942" s="117"/>
      <c r="F942" s="117"/>
    </row>
    <row r="943">
      <c r="A943" s="117"/>
      <c r="B943" s="117"/>
      <c r="C943" s="235"/>
      <c r="D943" s="117"/>
      <c r="E943" s="117"/>
      <c r="F943" s="117"/>
    </row>
    <row r="944">
      <c r="A944" s="117"/>
      <c r="B944" s="117"/>
      <c r="C944" s="235"/>
      <c r="D944" s="117"/>
      <c r="E944" s="117"/>
      <c r="F944" s="117"/>
    </row>
    <row r="945">
      <c r="A945" s="117"/>
      <c r="B945" s="117"/>
      <c r="C945" s="235"/>
      <c r="D945" s="117"/>
      <c r="E945" s="117"/>
      <c r="F945" s="117"/>
    </row>
    <row r="946">
      <c r="A946" s="117"/>
      <c r="B946" s="117"/>
      <c r="C946" s="235"/>
      <c r="D946" s="117"/>
      <c r="E946" s="117"/>
      <c r="F946" s="117"/>
    </row>
    <row r="947">
      <c r="A947" s="117"/>
      <c r="B947" s="117"/>
      <c r="C947" s="235"/>
      <c r="D947" s="117"/>
      <c r="E947" s="117"/>
      <c r="F947" s="117"/>
    </row>
    <row r="948">
      <c r="A948" s="117"/>
      <c r="B948" s="117"/>
      <c r="C948" s="235"/>
      <c r="D948" s="117"/>
      <c r="E948" s="117"/>
      <c r="F948" s="117"/>
    </row>
    <row r="949">
      <c r="A949" s="117"/>
      <c r="B949" s="117"/>
      <c r="C949" s="235"/>
      <c r="D949" s="117"/>
      <c r="E949" s="117"/>
      <c r="F949" s="117"/>
    </row>
    <row r="950">
      <c r="A950" s="117"/>
      <c r="B950" s="117"/>
      <c r="C950" s="235"/>
      <c r="D950" s="117"/>
      <c r="E950" s="117"/>
      <c r="F950" s="117"/>
    </row>
    <row r="951">
      <c r="A951" s="117"/>
      <c r="B951" s="117"/>
      <c r="C951" s="235"/>
      <c r="D951" s="117"/>
      <c r="E951" s="117"/>
      <c r="F951" s="117"/>
    </row>
    <row r="952">
      <c r="A952" s="117"/>
      <c r="B952" s="117"/>
      <c r="C952" s="235"/>
      <c r="D952" s="117"/>
      <c r="E952" s="117"/>
      <c r="F952" s="117"/>
    </row>
    <row r="953">
      <c r="A953" s="117"/>
      <c r="B953" s="117"/>
      <c r="C953" s="235"/>
      <c r="D953" s="117"/>
      <c r="E953" s="117"/>
      <c r="F953" s="117"/>
    </row>
    <row r="954">
      <c r="A954" s="117"/>
      <c r="B954" s="117"/>
      <c r="C954" s="235"/>
      <c r="D954" s="117"/>
      <c r="E954" s="117"/>
      <c r="F954" s="117"/>
    </row>
    <row r="955">
      <c r="A955" s="117"/>
      <c r="B955" s="117"/>
      <c r="C955" s="235"/>
      <c r="D955" s="117"/>
      <c r="E955" s="117"/>
      <c r="F955" s="117"/>
    </row>
    <row r="956">
      <c r="A956" s="117"/>
      <c r="B956" s="117"/>
      <c r="C956" s="235"/>
      <c r="D956" s="117"/>
      <c r="E956" s="117"/>
      <c r="F956" s="117"/>
    </row>
    <row r="957">
      <c r="A957" s="117"/>
      <c r="B957" s="117"/>
      <c r="C957" s="235"/>
      <c r="D957" s="117"/>
      <c r="E957" s="117"/>
      <c r="F957" s="117"/>
    </row>
    <row r="958">
      <c r="A958" s="117"/>
      <c r="B958" s="117"/>
      <c r="C958" s="235"/>
      <c r="D958" s="117"/>
      <c r="E958" s="117"/>
      <c r="F958" s="117"/>
    </row>
    <row r="959">
      <c r="A959" s="117"/>
      <c r="B959" s="117"/>
      <c r="C959" s="235"/>
      <c r="D959" s="117"/>
      <c r="E959" s="117"/>
      <c r="F959" s="117"/>
    </row>
    <row r="960">
      <c r="A960" s="117"/>
      <c r="B960" s="117"/>
      <c r="C960" s="235"/>
      <c r="D960" s="117"/>
      <c r="E960" s="117"/>
      <c r="F960" s="117"/>
    </row>
    <row r="961">
      <c r="A961" s="117"/>
      <c r="B961" s="117"/>
      <c r="C961" s="235"/>
      <c r="D961" s="117"/>
      <c r="E961" s="117"/>
      <c r="F961" s="117"/>
    </row>
    <row r="962">
      <c r="A962" s="117"/>
      <c r="B962" s="117"/>
      <c r="C962" s="235"/>
      <c r="D962" s="117"/>
      <c r="E962" s="117"/>
      <c r="F962" s="117"/>
    </row>
    <row r="963">
      <c r="A963" s="117"/>
      <c r="B963" s="117"/>
      <c r="C963" s="235"/>
      <c r="D963" s="117"/>
      <c r="E963" s="117"/>
      <c r="F963" s="117"/>
    </row>
    <row r="964">
      <c r="A964" s="117"/>
      <c r="B964" s="117"/>
      <c r="C964" s="235"/>
      <c r="D964" s="117"/>
      <c r="E964" s="117"/>
      <c r="F964" s="117"/>
    </row>
    <row r="965">
      <c r="A965" s="117"/>
      <c r="B965" s="117"/>
      <c r="C965" s="235"/>
      <c r="D965" s="117"/>
      <c r="E965" s="117"/>
      <c r="F965" s="117"/>
    </row>
    <row r="966">
      <c r="A966" s="117"/>
      <c r="B966" s="117"/>
      <c r="C966" s="235"/>
      <c r="D966" s="117"/>
      <c r="E966" s="117"/>
      <c r="F966" s="117"/>
    </row>
    <row r="967">
      <c r="A967" s="117"/>
      <c r="B967" s="117"/>
      <c r="C967" s="235"/>
      <c r="D967" s="117"/>
      <c r="E967" s="117"/>
      <c r="F967" s="117"/>
    </row>
    <row r="968">
      <c r="A968" s="117"/>
      <c r="B968" s="117"/>
      <c r="C968" s="235"/>
      <c r="D968" s="117"/>
      <c r="E968" s="117"/>
      <c r="F968" s="117"/>
    </row>
    <row r="969">
      <c r="A969" s="117"/>
      <c r="B969" s="117"/>
      <c r="C969" s="235"/>
      <c r="D969" s="117"/>
      <c r="E969" s="117"/>
      <c r="F969" s="117"/>
    </row>
    <row r="970">
      <c r="A970" s="117"/>
      <c r="B970" s="117"/>
      <c r="C970" s="235"/>
      <c r="D970" s="117"/>
      <c r="E970" s="117"/>
      <c r="F970" s="117"/>
    </row>
    <row r="971">
      <c r="A971" s="117"/>
      <c r="B971" s="117"/>
      <c r="C971" s="235"/>
      <c r="D971" s="117"/>
      <c r="E971" s="117"/>
      <c r="F971" s="117"/>
    </row>
    <row r="972">
      <c r="A972" s="117"/>
      <c r="B972" s="117"/>
      <c r="C972" s="235"/>
      <c r="D972" s="117"/>
      <c r="E972" s="117"/>
      <c r="F972" s="117"/>
    </row>
    <row r="973">
      <c r="A973" s="117"/>
      <c r="B973" s="117"/>
      <c r="C973" s="235"/>
      <c r="D973" s="117"/>
      <c r="E973" s="117"/>
      <c r="F973" s="117"/>
    </row>
    <row r="974">
      <c r="A974" s="117"/>
      <c r="B974" s="117"/>
      <c r="C974" s="235"/>
      <c r="D974" s="117"/>
      <c r="E974" s="117"/>
      <c r="F974" s="117"/>
    </row>
    <row r="975">
      <c r="A975" s="117"/>
      <c r="B975" s="117"/>
      <c r="C975" s="235"/>
      <c r="D975" s="117"/>
      <c r="E975" s="117"/>
      <c r="F975" s="117"/>
    </row>
    <row r="976">
      <c r="A976" s="117"/>
      <c r="B976" s="117"/>
      <c r="C976" s="235"/>
      <c r="D976" s="117"/>
      <c r="E976" s="117"/>
      <c r="F976" s="117"/>
    </row>
    <row r="977">
      <c r="A977" s="117"/>
      <c r="B977" s="117"/>
      <c r="C977" s="235"/>
      <c r="D977" s="117"/>
      <c r="E977" s="117"/>
      <c r="F977" s="117"/>
    </row>
    <row r="978">
      <c r="A978" s="117"/>
      <c r="B978" s="117"/>
      <c r="C978" s="235"/>
      <c r="D978" s="117"/>
      <c r="E978" s="117"/>
      <c r="F978" s="117"/>
    </row>
    <row r="979">
      <c r="A979" s="117"/>
      <c r="B979" s="117"/>
      <c r="C979" s="235"/>
      <c r="D979" s="117"/>
      <c r="E979" s="117"/>
      <c r="F979" s="117"/>
    </row>
    <row r="980">
      <c r="A980" s="117"/>
      <c r="B980" s="117"/>
      <c r="C980" s="235"/>
      <c r="D980" s="117"/>
      <c r="E980" s="117"/>
      <c r="F980" s="117"/>
    </row>
    <row r="981">
      <c r="A981" s="117"/>
      <c r="B981" s="117"/>
      <c r="C981" s="235"/>
      <c r="D981" s="117"/>
      <c r="E981" s="117"/>
      <c r="F981" s="117"/>
    </row>
    <row r="982">
      <c r="A982" s="117"/>
      <c r="B982" s="117"/>
      <c r="C982" s="235"/>
      <c r="D982" s="117"/>
      <c r="E982" s="117"/>
      <c r="F982" s="117"/>
    </row>
    <row r="983">
      <c r="A983" s="117"/>
      <c r="B983" s="117"/>
      <c r="C983" s="235"/>
      <c r="D983" s="117"/>
      <c r="E983" s="117"/>
      <c r="F983" s="117"/>
    </row>
    <row r="984">
      <c r="A984" s="117"/>
      <c r="B984" s="117"/>
      <c r="C984" s="235"/>
      <c r="D984" s="117"/>
      <c r="E984" s="117"/>
      <c r="F984" s="117"/>
    </row>
    <row r="985">
      <c r="A985" s="117"/>
      <c r="B985" s="117"/>
      <c r="C985" s="235"/>
      <c r="D985" s="117"/>
      <c r="E985" s="117"/>
      <c r="F985" s="117"/>
    </row>
    <row r="986">
      <c r="A986" s="117"/>
      <c r="B986" s="117"/>
      <c r="C986" s="235"/>
      <c r="D986" s="117"/>
      <c r="E986" s="117"/>
      <c r="F986" s="117"/>
    </row>
    <row r="987">
      <c r="A987" s="117"/>
      <c r="B987" s="117"/>
      <c r="C987" s="235"/>
      <c r="D987" s="117"/>
      <c r="E987" s="117"/>
      <c r="F987" s="117"/>
    </row>
    <row r="988">
      <c r="A988" s="117"/>
      <c r="B988" s="117"/>
      <c r="C988" s="235"/>
      <c r="D988" s="117"/>
      <c r="E988" s="117"/>
      <c r="F988" s="117"/>
    </row>
    <row r="989">
      <c r="A989" s="117"/>
      <c r="B989" s="117"/>
      <c r="C989" s="235"/>
      <c r="D989" s="117"/>
      <c r="E989" s="117"/>
      <c r="F989" s="117"/>
    </row>
    <row r="990">
      <c r="A990" s="117"/>
      <c r="B990" s="117"/>
      <c r="C990" s="235"/>
      <c r="D990" s="117"/>
      <c r="E990" s="117"/>
      <c r="F990" s="117"/>
    </row>
    <row r="991">
      <c r="A991" s="117"/>
      <c r="B991" s="117"/>
      <c r="C991" s="235"/>
      <c r="D991" s="117"/>
      <c r="E991" s="117"/>
      <c r="F991" s="117"/>
    </row>
    <row r="992">
      <c r="A992" s="117"/>
      <c r="B992" s="117"/>
      <c r="C992" s="235"/>
      <c r="D992" s="117"/>
      <c r="E992" s="117"/>
      <c r="F992" s="117"/>
    </row>
    <row r="993">
      <c r="A993" s="117"/>
      <c r="B993" s="117"/>
      <c r="C993" s="235"/>
      <c r="D993" s="117"/>
      <c r="E993" s="117"/>
      <c r="F993" s="117"/>
    </row>
    <row r="994">
      <c r="A994" s="117"/>
      <c r="B994" s="117"/>
      <c r="C994" s="235"/>
      <c r="D994" s="117"/>
      <c r="E994" s="117"/>
      <c r="F994" s="117"/>
    </row>
    <row r="995">
      <c r="A995" s="117"/>
      <c r="B995" s="117"/>
      <c r="C995" s="235"/>
      <c r="D995" s="117"/>
      <c r="E995" s="117"/>
      <c r="F995" s="117"/>
    </row>
    <row r="996">
      <c r="A996" s="117"/>
      <c r="B996" s="117"/>
      <c r="C996" s="235"/>
      <c r="D996" s="117"/>
      <c r="E996" s="117"/>
      <c r="F996" s="117"/>
    </row>
    <row r="997">
      <c r="A997" s="117"/>
      <c r="B997" s="117"/>
      <c r="C997" s="235"/>
      <c r="D997" s="117"/>
      <c r="E997" s="117"/>
      <c r="F997" s="117"/>
    </row>
    <row r="998">
      <c r="A998" s="117"/>
      <c r="B998" s="117"/>
      <c r="C998" s="235"/>
      <c r="D998" s="117"/>
      <c r="E998" s="117"/>
      <c r="F998" s="117"/>
    </row>
    <row r="999">
      <c r="A999" s="117"/>
      <c r="B999" s="117"/>
      <c r="C999" s="235"/>
      <c r="D999" s="117"/>
      <c r="E999" s="117"/>
      <c r="F999" s="117"/>
    </row>
    <row r="1000">
      <c r="A1000" s="117"/>
      <c r="B1000" s="117"/>
      <c r="C1000" s="235"/>
      <c r="D1000" s="117"/>
      <c r="E1000" s="117"/>
      <c r="F1000" s="117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606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32.63"/>
    <col customWidth="1" min="3" max="3" width="70.13"/>
  </cols>
  <sheetData>
    <row r="1" ht="24.0" customHeight="1">
      <c r="A1" s="110" t="s">
        <v>611</v>
      </c>
      <c r="B1" s="110" t="s">
        <v>612</v>
      </c>
      <c r="C1" s="110" t="s">
        <v>44</v>
      </c>
    </row>
    <row r="2">
      <c r="A2" s="114" t="s">
        <v>613</v>
      </c>
      <c r="B2" s="114">
        <v>4.43142649E8</v>
      </c>
      <c r="C2" s="236" t="s">
        <v>614</v>
      </c>
    </row>
    <row r="3">
      <c r="A3" s="114" t="s">
        <v>616</v>
      </c>
      <c r="B3" s="117"/>
      <c r="C3" s="236" t="s">
        <v>617</v>
      </c>
    </row>
    <row r="4">
      <c r="A4" s="114" t="s">
        <v>618</v>
      </c>
      <c r="B4" s="230">
        <v>19.0</v>
      </c>
      <c r="C4" s="236" t="s">
        <v>619</v>
      </c>
    </row>
    <row r="5">
      <c r="A5" s="114" t="s">
        <v>620</v>
      </c>
      <c r="B5" s="230">
        <v>21.0</v>
      </c>
      <c r="C5" s="236" t="s">
        <v>621</v>
      </c>
    </row>
    <row r="6">
      <c r="A6" s="114" t="s">
        <v>622</v>
      </c>
      <c r="B6" s="230">
        <v>3.0</v>
      </c>
      <c r="C6" s="236" t="s">
        <v>623</v>
      </c>
    </row>
    <row r="7">
      <c r="A7" s="114" t="s">
        <v>624</v>
      </c>
      <c r="B7" s="230">
        <v>1000000.0</v>
      </c>
      <c r="C7" s="236" t="s">
        <v>625</v>
      </c>
    </row>
    <row r="8">
      <c r="A8" s="114" t="s">
        <v>626</v>
      </c>
      <c r="B8" s="230">
        <v>80.0</v>
      </c>
      <c r="C8" s="236" t="s">
        <v>627</v>
      </c>
    </row>
    <row r="9">
      <c r="A9" s="114" t="s">
        <v>628</v>
      </c>
      <c r="B9" s="230">
        <v>11900.0</v>
      </c>
      <c r="C9" s="236" t="s">
        <v>629</v>
      </c>
    </row>
    <row r="10">
      <c r="A10" s="114" t="s">
        <v>630</v>
      </c>
      <c r="B10" s="237" t="s">
        <v>631</v>
      </c>
      <c r="C10" s="236" t="s">
        <v>632</v>
      </c>
    </row>
    <row r="11">
      <c r="A11" s="114" t="s">
        <v>633</v>
      </c>
      <c r="B11" s="114" t="s">
        <v>634</v>
      </c>
      <c r="C11" s="238"/>
    </row>
    <row r="12">
      <c r="A12" s="114" t="s">
        <v>636</v>
      </c>
      <c r="B12" s="114" t="s">
        <v>637</v>
      </c>
      <c r="C12" s="238"/>
    </row>
    <row r="13">
      <c r="A13" s="114" t="s">
        <v>638</v>
      </c>
      <c r="B13" s="114">
        <v>5.578698344E9</v>
      </c>
      <c r="C13" s="238"/>
    </row>
    <row r="14">
      <c r="A14" s="114" t="s">
        <v>639</v>
      </c>
      <c r="B14" s="114">
        <v>1.019834709E9</v>
      </c>
      <c r="C14" s="238"/>
    </row>
    <row r="15">
      <c r="A15" s="117"/>
      <c r="B15" s="117"/>
      <c r="C15" s="238"/>
    </row>
    <row r="16">
      <c r="A16" s="117"/>
      <c r="B16" s="117"/>
      <c r="C16" s="238"/>
    </row>
    <row r="17">
      <c r="A17" s="117"/>
      <c r="B17" s="117"/>
      <c r="C17" s="238"/>
    </row>
    <row r="18">
      <c r="A18" s="117"/>
      <c r="B18" s="117"/>
      <c r="C18" s="238"/>
    </row>
    <row r="19">
      <c r="A19" s="117"/>
      <c r="B19" s="117"/>
      <c r="C19" s="238"/>
    </row>
    <row r="20">
      <c r="A20" s="117"/>
      <c r="B20" s="117"/>
      <c r="C20" s="238"/>
    </row>
    <row r="21">
      <c r="A21" s="117"/>
      <c r="B21" s="117"/>
      <c r="C21" s="238"/>
    </row>
    <row r="22">
      <c r="A22" s="117"/>
      <c r="B22" s="117"/>
      <c r="C22" s="238"/>
    </row>
    <row r="23">
      <c r="A23" s="117"/>
      <c r="B23" s="117"/>
      <c r="C23" s="238"/>
    </row>
    <row r="24">
      <c r="A24" s="117"/>
      <c r="B24" s="117"/>
      <c r="C24" s="238"/>
    </row>
    <row r="25">
      <c r="A25" s="117"/>
      <c r="B25" s="117"/>
      <c r="C25" s="238"/>
    </row>
    <row r="26">
      <c r="A26" s="117"/>
      <c r="B26" s="117"/>
      <c r="C26" s="238"/>
    </row>
    <row r="27">
      <c r="A27" s="117"/>
      <c r="B27" s="117"/>
      <c r="C27" s="238"/>
    </row>
    <row r="28">
      <c r="A28" s="117"/>
      <c r="B28" s="117"/>
      <c r="C28" s="238"/>
    </row>
    <row r="29">
      <c r="A29" s="117"/>
      <c r="B29" s="117"/>
      <c r="C29" s="238"/>
    </row>
    <row r="30">
      <c r="A30" s="117"/>
      <c r="B30" s="117"/>
      <c r="C30" s="238"/>
    </row>
    <row r="31">
      <c r="A31" s="117"/>
      <c r="B31" s="117"/>
      <c r="C31" s="238"/>
    </row>
    <row r="32">
      <c r="A32" s="117"/>
      <c r="B32" s="117"/>
      <c r="C32" s="238"/>
    </row>
    <row r="33">
      <c r="A33" s="117"/>
      <c r="B33" s="117"/>
      <c r="C33" s="238"/>
    </row>
    <row r="34">
      <c r="A34" s="117"/>
      <c r="B34" s="117"/>
      <c r="C34" s="238"/>
    </row>
    <row r="35">
      <c r="A35" s="117"/>
      <c r="B35" s="117"/>
      <c r="C35" s="238"/>
    </row>
    <row r="36">
      <c r="A36" s="117"/>
      <c r="B36" s="117"/>
      <c r="C36" s="238"/>
    </row>
    <row r="37">
      <c r="A37" s="117"/>
      <c r="B37" s="117"/>
      <c r="C37" s="238"/>
    </row>
    <row r="38">
      <c r="A38" s="117"/>
      <c r="B38" s="117"/>
      <c r="C38" s="238"/>
    </row>
    <row r="39">
      <c r="A39" s="117"/>
      <c r="B39" s="117"/>
      <c r="C39" s="238"/>
    </row>
    <row r="40">
      <c r="A40" s="117"/>
      <c r="B40" s="117"/>
      <c r="C40" s="238"/>
    </row>
    <row r="41">
      <c r="A41" s="117"/>
      <c r="B41" s="117"/>
      <c r="C41" s="238"/>
    </row>
    <row r="42">
      <c r="A42" s="117"/>
      <c r="B42" s="117"/>
      <c r="C42" s="238"/>
    </row>
    <row r="43">
      <c r="A43" s="117"/>
      <c r="B43" s="117"/>
      <c r="C43" s="238"/>
    </row>
    <row r="44">
      <c r="A44" s="117"/>
      <c r="B44" s="117"/>
      <c r="C44" s="238"/>
    </row>
    <row r="45">
      <c r="A45" s="117"/>
      <c r="B45" s="117"/>
      <c r="C45" s="238"/>
    </row>
    <row r="46">
      <c r="A46" s="117"/>
      <c r="B46" s="117"/>
      <c r="C46" s="238"/>
    </row>
    <row r="47">
      <c r="A47" s="117"/>
      <c r="B47" s="117"/>
      <c r="C47" s="238"/>
    </row>
    <row r="48">
      <c r="A48" s="117"/>
      <c r="B48" s="117"/>
      <c r="C48" s="238"/>
    </row>
    <row r="49">
      <c r="A49" s="117"/>
      <c r="B49" s="117"/>
      <c r="C49" s="238"/>
    </row>
    <row r="50">
      <c r="A50" s="117"/>
      <c r="B50" s="117"/>
      <c r="C50" s="238"/>
    </row>
    <row r="51">
      <c r="A51" s="117"/>
      <c r="B51" s="117"/>
      <c r="C51" s="238"/>
    </row>
    <row r="52">
      <c r="A52" s="117"/>
      <c r="B52" s="117"/>
      <c r="C52" s="238"/>
    </row>
    <row r="53">
      <c r="A53" s="117"/>
      <c r="B53" s="117"/>
      <c r="C53" s="238"/>
    </row>
    <row r="54">
      <c r="A54" s="117"/>
      <c r="B54" s="117"/>
      <c r="C54" s="238"/>
    </row>
    <row r="55">
      <c r="A55" s="117"/>
      <c r="B55" s="117"/>
      <c r="C55" s="238"/>
    </row>
    <row r="56">
      <c r="A56" s="117"/>
      <c r="B56" s="117"/>
      <c r="C56" s="238"/>
    </row>
    <row r="57">
      <c r="A57" s="117"/>
      <c r="B57" s="117"/>
      <c r="C57" s="238"/>
    </row>
    <row r="58">
      <c r="A58" s="117"/>
      <c r="B58" s="117"/>
      <c r="C58" s="238"/>
    </row>
    <row r="59">
      <c r="A59" s="117"/>
      <c r="B59" s="117"/>
      <c r="C59" s="238"/>
    </row>
    <row r="60">
      <c r="A60" s="117"/>
      <c r="B60" s="117"/>
      <c r="C60" s="238"/>
    </row>
    <row r="61">
      <c r="A61" s="117"/>
      <c r="B61" s="117"/>
      <c r="C61" s="238"/>
    </row>
    <row r="62">
      <c r="A62" s="117"/>
      <c r="B62" s="117"/>
      <c r="C62" s="238"/>
    </row>
    <row r="63">
      <c r="A63" s="117"/>
      <c r="B63" s="117"/>
      <c r="C63" s="238"/>
    </row>
    <row r="64">
      <c r="A64" s="117"/>
      <c r="B64" s="117"/>
      <c r="C64" s="238"/>
    </row>
    <row r="65">
      <c r="A65" s="117"/>
      <c r="B65" s="117"/>
      <c r="C65" s="238"/>
    </row>
    <row r="66">
      <c r="A66" s="117"/>
      <c r="B66" s="117"/>
      <c r="C66" s="238"/>
    </row>
    <row r="67">
      <c r="A67" s="117"/>
      <c r="B67" s="117"/>
      <c r="C67" s="238"/>
    </row>
    <row r="68">
      <c r="A68" s="117"/>
      <c r="B68" s="117"/>
      <c r="C68" s="238"/>
    </row>
    <row r="69">
      <c r="A69" s="117"/>
      <c r="B69" s="117"/>
      <c r="C69" s="238"/>
    </row>
    <row r="70">
      <c r="A70" s="117"/>
      <c r="B70" s="117"/>
      <c r="C70" s="238"/>
    </row>
    <row r="71">
      <c r="A71" s="117"/>
      <c r="B71" s="117"/>
      <c r="C71" s="238"/>
    </row>
    <row r="72">
      <c r="A72" s="117"/>
      <c r="B72" s="117"/>
      <c r="C72" s="238"/>
    </row>
    <row r="73">
      <c r="A73" s="117"/>
      <c r="B73" s="117"/>
      <c r="C73" s="238"/>
    </row>
    <row r="74">
      <c r="A74" s="117"/>
      <c r="B74" s="117"/>
      <c r="C74" s="238"/>
    </row>
    <row r="75">
      <c r="A75" s="117"/>
      <c r="B75" s="117"/>
      <c r="C75" s="238"/>
    </row>
    <row r="76">
      <c r="A76" s="117"/>
      <c r="B76" s="117"/>
      <c r="C76" s="238"/>
    </row>
    <row r="77">
      <c r="A77" s="117"/>
      <c r="B77" s="117"/>
      <c r="C77" s="238"/>
    </row>
    <row r="78">
      <c r="A78" s="117"/>
      <c r="B78" s="117"/>
      <c r="C78" s="238"/>
    </row>
    <row r="79">
      <c r="A79" s="117"/>
      <c r="B79" s="117"/>
      <c r="C79" s="238"/>
    </row>
    <row r="80">
      <c r="A80" s="117"/>
      <c r="B80" s="117"/>
      <c r="C80" s="238"/>
    </row>
    <row r="81">
      <c r="A81" s="117"/>
      <c r="B81" s="117"/>
      <c r="C81" s="238"/>
    </row>
    <row r="82">
      <c r="A82" s="117"/>
      <c r="B82" s="117"/>
      <c r="C82" s="238"/>
    </row>
    <row r="83">
      <c r="A83" s="117"/>
      <c r="B83" s="117"/>
      <c r="C83" s="238"/>
    </row>
    <row r="84">
      <c r="A84" s="117"/>
      <c r="B84" s="117"/>
      <c r="C84" s="238"/>
    </row>
    <row r="85">
      <c r="A85" s="117"/>
      <c r="B85" s="117"/>
      <c r="C85" s="238"/>
    </row>
    <row r="86">
      <c r="A86" s="117"/>
      <c r="B86" s="117"/>
      <c r="C86" s="238"/>
    </row>
    <row r="87">
      <c r="A87" s="117"/>
      <c r="B87" s="117"/>
      <c r="C87" s="238"/>
    </row>
    <row r="88">
      <c r="A88" s="117"/>
      <c r="B88" s="117"/>
      <c r="C88" s="238"/>
    </row>
    <row r="89">
      <c r="A89" s="117"/>
      <c r="B89" s="117"/>
      <c r="C89" s="238"/>
    </row>
    <row r="90">
      <c r="A90" s="117"/>
      <c r="B90" s="117"/>
      <c r="C90" s="238"/>
    </row>
    <row r="91">
      <c r="A91" s="117"/>
      <c r="B91" s="117"/>
      <c r="C91" s="238"/>
    </row>
    <row r="92">
      <c r="A92" s="117"/>
      <c r="B92" s="117"/>
      <c r="C92" s="238"/>
    </row>
    <row r="93">
      <c r="A93" s="117"/>
      <c r="B93" s="117"/>
      <c r="C93" s="238"/>
    </row>
    <row r="94">
      <c r="A94" s="117"/>
      <c r="B94" s="117"/>
      <c r="C94" s="238"/>
    </row>
    <row r="95">
      <c r="A95" s="117"/>
      <c r="B95" s="117"/>
      <c r="C95" s="238"/>
    </row>
    <row r="96">
      <c r="A96" s="117"/>
      <c r="B96" s="117"/>
      <c r="C96" s="238"/>
    </row>
    <row r="97">
      <c r="A97" s="117"/>
      <c r="B97" s="117"/>
      <c r="C97" s="238"/>
    </row>
    <row r="98">
      <c r="A98" s="117"/>
      <c r="B98" s="117"/>
      <c r="C98" s="238"/>
    </row>
    <row r="99">
      <c r="A99" s="117"/>
      <c r="B99" s="117"/>
      <c r="C99" s="238"/>
    </row>
    <row r="100">
      <c r="A100" s="117"/>
      <c r="B100" s="117"/>
      <c r="C100" s="238"/>
    </row>
    <row r="101">
      <c r="A101" s="117"/>
      <c r="B101" s="117"/>
      <c r="C101" s="238"/>
    </row>
    <row r="102">
      <c r="A102" s="117"/>
      <c r="B102" s="117"/>
      <c r="C102" s="238"/>
    </row>
    <row r="103">
      <c r="A103" s="117"/>
      <c r="B103" s="117"/>
      <c r="C103" s="238"/>
    </row>
    <row r="104">
      <c r="A104" s="117"/>
      <c r="B104" s="117"/>
      <c r="C104" s="238"/>
    </row>
    <row r="105">
      <c r="A105" s="117"/>
      <c r="B105" s="117"/>
      <c r="C105" s="238"/>
    </row>
    <row r="106">
      <c r="A106" s="117"/>
      <c r="B106" s="117"/>
      <c r="C106" s="238"/>
    </row>
    <row r="107">
      <c r="A107" s="117"/>
      <c r="B107" s="117"/>
      <c r="C107" s="238"/>
    </row>
    <row r="108">
      <c r="A108" s="117"/>
      <c r="B108" s="117"/>
      <c r="C108" s="238"/>
    </row>
    <row r="109">
      <c r="A109" s="117"/>
      <c r="B109" s="117"/>
      <c r="C109" s="238"/>
    </row>
    <row r="110">
      <c r="A110" s="117"/>
      <c r="B110" s="117"/>
      <c r="C110" s="238"/>
    </row>
    <row r="111">
      <c r="A111" s="117"/>
      <c r="B111" s="117"/>
      <c r="C111" s="238"/>
    </row>
    <row r="112">
      <c r="A112" s="117"/>
      <c r="B112" s="117"/>
      <c r="C112" s="238"/>
    </row>
    <row r="113">
      <c r="A113" s="117"/>
      <c r="B113" s="117"/>
      <c r="C113" s="238"/>
    </row>
    <row r="114">
      <c r="A114" s="117"/>
      <c r="B114" s="117"/>
      <c r="C114" s="238"/>
    </row>
    <row r="115">
      <c r="A115" s="117"/>
      <c r="B115" s="117"/>
      <c r="C115" s="238"/>
    </row>
    <row r="116">
      <c r="A116" s="117"/>
      <c r="B116" s="117"/>
      <c r="C116" s="238"/>
    </row>
    <row r="117">
      <c r="A117" s="117"/>
      <c r="B117" s="117"/>
      <c r="C117" s="238"/>
    </row>
    <row r="118">
      <c r="A118" s="117"/>
      <c r="B118" s="117"/>
      <c r="C118" s="238"/>
    </row>
    <row r="119">
      <c r="A119" s="117"/>
      <c r="B119" s="117"/>
      <c r="C119" s="238"/>
    </row>
    <row r="120">
      <c r="A120" s="117"/>
      <c r="B120" s="117"/>
      <c r="C120" s="238"/>
    </row>
    <row r="121">
      <c r="A121" s="117"/>
      <c r="B121" s="117"/>
      <c r="C121" s="238"/>
    </row>
    <row r="122">
      <c r="A122" s="117"/>
      <c r="B122" s="117"/>
      <c r="C122" s="238"/>
    </row>
    <row r="123">
      <c r="A123" s="117"/>
      <c r="B123" s="117"/>
      <c r="C123" s="238"/>
    </row>
    <row r="124">
      <c r="A124" s="117"/>
      <c r="B124" s="117"/>
      <c r="C124" s="238"/>
    </row>
    <row r="125">
      <c r="A125" s="117"/>
      <c r="B125" s="117"/>
      <c r="C125" s="238"/>
    </row>
    <row r="126">
      <c r="A126" s="117"/>
      <c r="B126" s="117"/>
      <c r="C126" s="238"/>
    </row>
    <row r="127">
      <c r="A127" s="117"/>
      <c r="B127" s="117"/>
      <c r="C127" s="238"/>
    </row>
    <row r="128">
      <c r="A128" s="117"/>
      <c r="B128" s="117"/>
      <c r="C128" s="238"/>
    </row>
    <row r="129">
      <c r="A129" s="117"/>
      <c r="B129" s="117"/>
      <c r="C129" s="238"/>
    </row>
    <row r="130">
      <c r="A130" s="117"/>
      <c r="B130" s="117"/>
      <c r="C130" s="238"/>
    </row>
    <row r="131">
      <c r="A131" s="117"/>
      <c r="B131" s="117"/>
      <c r="C131" s="238"/>
    </row>
    <row r="132">
      <c r="A132" s="117"/>
      <c r="B132" s="117"/>
      <c r="C132" s="238"/>
    </row>
    <row r="133">
      <c r="A133" s="117"/>
      <c r="B133" s="117"/>
      <c r="C133" s="238"/>
    </row>
    <row r="134">
      <c r="A134" s="117"/>
      <c r="B134" s="117"/>
      <c r="C134" s="238"/>
    </row>
    <row r="135">
      <c r="A135" s="117"/>
      <c r="B135" s="117"/>
      <c r="C135" s="238"/>
    </row>
    <row r="136">
      <c r="A136" s="117"/>
      <c r="B136" s="117"/>
      <c r="C136" s="238"/>
    </row>
    <row r="137">
      <c r="A137" s="117"/>
      <c r="B137" s="117"/>
      <c r="C137" s="238"/>
    </row>
    <row r="138">
      <c r="A138" s="117"/>
      <c r="B138" s="117"/>
      <c r="C138" s="238"/>
    </row>
    <row r="139">
      <c r="A139" s="117"/>
      <c r="B139" s="117"/>
      <c r="C139" s="238"/>
    </row>
    <row r="140">
      <c r="A140" s="117"/>
      <c r="B140" s="117"/>
      <c r="C140" s="238"/>
    </row>
    <row r="141">
      <c r="A141" s="117"/>
      <c r="B141" s="117"/>
      <c r="C141" s="238"/>
    </row>
    <row r="142">
      <c r="A142" s="117"/>
      <c r="B142" s="117"/>
      <c r="C142" s="238"/>
    </row>
    <row r="143">
      <c r="A143" s="117"/>
      <c r="B143" s="117"/>
      <c r="C143" s="238"/>
    </row>
    <row r="144">
      <c r="A144" s="117"/>
      <c r="B144" s="117"/>
      <c r="C144" s="238"/>
    </row>
    <row r="145">
      <c r="A145" s="117"/>
      <c r="B145" s="117"/>
      <c r="C145" s="238"/>
    </row>
    <row r="146">
      <c r="A146" s="117"/>
      <c r="B146" s="117"/>
      <c r="C146" s="238"/>
    </row>
    <row r="147">
      <c r="A147" s="117"/>
      <c r="B147" s="117"/>
      <c r="C147" s="238"/>
    </row>
    <row r="148">
      <c r="A148" s="117"/>
      <c r="B148" s="117"/>
      <c r="C148" s="238"/>
    </row>
    <row r="149">
      <c r="A149" s="117"/>
      <c r="B149" s="117"/>
      <c r="C149" s="238"/>
    </row>
    <row r="150">
      <c r="A150" s="117"/>
      <c r="B150" s="117"/>
      <c r="C150" s="238"/>
    </row>
    <row r="151">
      <c r="A151" s="117"/>
      <c r="B151" s="117"/>
      <c r="C151" s="238"/>
    </row>
    <row r="152">
      <c r="A152" s="117"/>
      <c r="B152" s="117"/>
      <c r="C152" s="238"/>
    </row>
    <row r="153">
      <c r="A153" s="117"/>
      <c r="B153" s="117"/>
      <c r="C153" s="238"/>
    </row>
    <row r="154">
      <c r="A154" s="117"/>
      <c r="B154" s="117"/>
      <c r="C154" s="238"/>
    </row>
    <row r="155">
      <c r="A155" s="117"/>
      <c r="B155" s="117"/>
      <c r="C155" s="238"/>
    </row>
    <row r="156">
      <c r="A156" s="117"/>
      <c r="B156" s="117"/>
      <c r="C156" s="238"/>
    </row>
    <row r="157">
      <c r="A157" s="117"/>
      <c r="B157" s="117"/>
      <c r="C157" s="238"/>
    </row>
    <row r="158">
      <c r="A158" s="117"/>
      <c r="B158" s="117"/>
      <c r="C158" s="238"/>
    </row>
    <row r="159">
      <c r="A159" s="117"/>
      <c r="B159" s="117"/>
      <c r="C159" s="238"/>
    </row>
    <row r="160">
      <c r="A160" s="117"/>
      <c r="B160" s="117"/>
      <c r="C160" s="238"/>
    </row>
    <row r="161">
      <c r="A161" s="117"/>
      <c r="B161" s="117"/>
      <c r="C161" s="238"/>
    </row>
    <row r="162">
      <c r="A162" s="117"/>
      <c r="B162" s="117"/>
      <c r="C162" s="238"/>
    </row>
    <row r="163">
      <c r="A163" s="117"/>
      <c r="B163" s="117"/>
      <c r="C163" s="238"/>
    </row>
    <row r="164">
      <c r="A164" s="117"/>
      <c r="B164" s="117"/>
      <c r="C164" s="238"/>
    </row>
    <row r="165">
      <c r="A165" s="117"/>
      <c r="B165" s="117"/>
      <c r="C165" s="238"/>
    </row>
    <row r="166">
      <c r="A166" s="117"/>
      <c r="B166" s="117"/>
      <c r="C166" s="238"/>
    </row>
    <row r="167">
      <c r="A167" s="117"/>
      <c r="B167" s="117"/>
      <c r="C167" s="238"/>
    </row>
    <row r="168">
      <c r="A168" s="117"/>
      <c r="B168" s="117"/>
      <c r="C168" s="238"/>
    </row>
    <row r="169">
      <c r="A169" s="117"/>
      <c r="B169" s="117"/>
      <c r="C169" s="238"/>
    </row>
    <row r="170">
      <c r="A170" s="117"/>
      <c r="B170" s="117"/>
      <c r="C170" s="238"/>
    </row>
    <row r="171">
      <c r="A171" s="117"/>
      <c r="B171" s="117"/>
      <c r="C171" s="238"/>
    </row>
    <row r="172">
      <c r="A172" s="117"/>
      <c r="B172" s="117"/>
      <c r="C172" s="238"/>
    </row>
    <row r="173">
      <c r="A173" s="117"/>
      <c r="B173" s="117"/>
      <c r="C173" s="238"/>
    </row>
    <row r="174">
      <c r="A174" s="117"/>
      <c r="B174" s="117"/>
      <c r="C174" s="238"/>
    </row>
    <row r="175">
      <c r="A175" s="117"/>
      <c r="B175" s="117"/>
      <c r="C175" s="238"/>
    </row>
    <row r="176">
      <c r="A176" s="117"/>
      <c r="B176" s="117"/>
      <c r="C176" s="238"/>
    </row>
    <row r="177">
      <c r="A177" s="117"/>
      <c r="B177" s="117"/>
      <c r="C177" s="238"/>
    </row>
    <row r="178">
      <c r="A178" s="117"/>
      <c r="B178" s="117"/>
      <c r="C178" s="238"/>
    </row>
    <row r="179">
      <c r="A179" s="117"/>
      <c r="B179" s="117"/>
      <c r="C179" s="238"/>
    </row>
    <row r="180">
      <c r="A180" s="117"/>
      <c r="B180" s="117"/>
      <c r="C180" s="238"/>
    </row>
    <row r="181">
      <c r="A181" s="117"/>
      <c r="B181" s="117"/>
      <c r="C181" s="238"/>
    </row>
    <row r="182">
      <c r="A182" s="117"/>
      <c r="B182" s="117"/>
      <c r="C182" s="238"/>
    </row>
    <row r="183">
      <c r="A183" s="117"/>
      <c r="B183" s="117"/>
      <c r="C183" s="238"/>
    </row>
    <row r="184">
      <c r="A184" s="117"/>
      <c r="B184" s="117"/>
      <c r="C184" s="238"/>
    </row>
    <row r="185">
      <c r="A185" s="117"/>
      <c r="B185" s="117"/>
      <c r="C185" s="238"/>
    </row>
    <row r="186">
      <c r="A186" s="117"/>
      <c r="B186" s="117"/>
      <c r="C186" s="238"/>
    </row>
    <row r="187">
      <c r="A187" s="117"/>
      <c r="B187" s="117"/>
      <c r="C187" s="238"/>
    </row>
    <row r="188">
      <c r="A188" s="117"/>
      <c r="B188" s="117"/>
      <c r="C188" s="238"/>
    </row>
    <row r="189">
      <c r="A189" s="117"/>
      <c r="B189" s="117"/>
      <c r="C189" s="238"/>
    </row>
    <row r="190">
      <c r="A190" s="117"/>
      <c r="B190" s="117"/>
      <c r="C190" s="238"/>
    </row>
    <row r="191">
      <c r="A191" s="117"/>
      <c r="B191" s="117"/>
      <c r="C191" s="238"/>
    </row>
    <row r="192">
      <c r="A192" s="117"/>
      <c r="B192" s="117"/>
      <c r="C192" s="238"/>
    </row>
    <row r="193">
      <c r="A193" s="117"/>
      <c r="B193" s="117"/>
      <c r="C193" s="238"/>
    </row>
    <row r="194">
      <c r="A194" s="117"/>
      <c r="B194" s="117"/>
      <c r="C194" s="238"/>
    </row>
    <row r="195">
      <c r="A195" s="117"/>
      <c r="B195" s="117"/>
      <c r="C195" s="238"/>
    </row>
    <row r="196">
      <c r="A196" s="117"/>
      <c r="B196" s="117"/>
      <c r="C196" s="238"/>
    </row>
    <row r="197">
      <c r="A197" s="117"/>
      <c r="B197" s="117"/>
      <c r="C197" s="238"/>
    </row>
    <row r="198">
      <c r="A198" s="117"/>
      <c r="B198" s="117"/>
      <c r="C198" s="238"/>
    </row>
    <row r="199">
      <c r="A199" s="117"/>
      <c r="B199" s="117"/>
      <c r="C199" s="238"/>
    </row>
    <row r="200">
      <c r="A200" s="117"/>
      <c r="B200" s="117"/>
      <c r="C200" s="238"/>
    </row>
    <row r="201">
      <c r="A201" s="117"/>
      <c r="B201" s="117"/>
      <c r="C201" s="238"/>
    </row>
    <row r="202">
      <c r="A202" s="117"/>
      <c r="B202" s="117"/>
      <c r="C202" s="238"/>
    </row>
    <row r="203">
      <c r="A203" s="117"/>
      <c r="B203" s="117"/>
      <c r="C203" s="238"/>
    </row>
    <row r="204">
      <c r="A204" s="117"/>
      <c r="B204" s="117"/>
      <c r="C204" s="238"/>
    </row>
    <row r="205">
      <c r="A205" s="117"/>
      <c r="B205" s="117"/>
      <c r="C205" s="238"/>
    </row>
    <row r="206">
      <c r="A206" s="117"/>
      <c r="B206" s="117"/>
      <c r="C206" s="238"/>
    </row>
    <row r="207">
      <c r="A207" s="117"/>
      <c r="B207" s="117"/>
      <c r="C207" s="238"/>
    </row>
    <row r="208">
      <c r="A208" s="117"/>
      <c r="B208" s="117"/>
      <c r="C208" s="238"/>
    </row>
    <row r="209">
      <c r="A209" s="117"/>
      <c r="B209" s="117"/>
      <c r="C209" s="238"/>
    </row>
    <row r="210">
      <c r="A210" s="117"/>
      <c r="B210" s="117"/>
      <c r="C210" s="238"/>
    </row>
    <row r="211">
      <c r="A211" s="117"/>
      <c r="B211" s="117"/>
      <c r="C211" s="238"/>
    </row>
    <row r="212">
      <c r="A212" s="117"/>
      <c r="B212" s="117"/>
      <c r="C212" s="238"/>
    </row>
    <row r="213">
      <c r="A213" s="117"/>
      <c r="B213" s="117"/>
      <c r="C213" s="238"/>
    </row>
    <row r="214">
      <c r="A214" s="117"/>
      <c r="B214" s="117"/>
      <c r="C214" s="238"/>
    </row>
    <row r="215">
      <c r="A215" s="117"/>
      <c r="B215" s="117"/>
      <c r="C215" s="238"/>
    </row>
    <row r="216">
      <c r="A216" s="117"/>
      <c r="B216" s="117"/>
      <c r="C216" s="238"/>
    </row>
    <row r="217">
      <c r="A217" s="117"/>
      <c r="B217" s="117"/>
      <c r="C217" s="238"/>
    </row>
    <row r="218">
      <c r="A218" s="117"/>
      <c r="B218" s="117"/>
      <c r="C218" s="238"/>
    </row>
    <row r="219">
      <c r="A219" s="117"/>
      <c r="B219" s="117"/>
      <c r="C219" s="238"/>
    </row>
    <row r="220">
      <c r="A220" s="117"/>
      <c r="B220" s="117"/>
      <c r="C220" s="238"/>
    </row>
    <row r="221">
      <c r="A221" s="117"/>
      <c r="B221" s="117"/>
      <c r="C221" s="238"/>
    </row>
    <row r="222">
      <c r="A222" s="117"/>
      <c r="B222" s="117"/>
      <c r="C222" s="238"/>
    </row>
    <row r="223">
      <c r="A223" s="117"/>
      <c r="B223" s="117"/>
      <c r="C223" s="238"/>
    </row>
    <row r="224">
      <c r="A224" s="117"/>
      <c r="B224" s="117"/>
      <c r="C224" s="238"/>
    </row>
    <row r="225">
      <c r="A225" s="117"/>
      <c r="B225" s="117"/>
      <c r="C225" s="238"/>
    </row>
    <row r="226">
      <c r="A226" s="117"/>
      <c r="B226" s="117"/>
      <c r="C226" s="238"/>
    </row>
    <row r="227">
      <c r="A227" s="117"/>
      <c r="B227" s="117"/>
      <c r="C227" s="238"/>
    </row>
    <row r="228">
      <c r="A228" s="117"/>
      <c r="B228" s="117"/>
      <c r="C228" s="238"/>
    </row>
    <row r="229">
      <c r="A229" s="117"/>
      <c r="B229" s="117"/>
      <c r="C229" s="238"/>
    </row>
    <row r="230">
      <c r="A230" s="117"/>
      <c r="B230" s="117"/>
      <c r="C230" s="238"/>
    </row>
    <row r="231">
      <c r="A231" s="117"/>
      <c r="B231" s="117"/>
      <c r="C231" s="238"/>
    </row>
    <row r="232">
      <c r="A232" s="117"/>
      <c r="B232" s="117"/>
      <c r="C232" s="238"/>
    </row>
    <row r="233">
      <c r="A233" s="117"/>
      <c r="B233" s="117"/>
      <c r="C233" s="238"/>
    </row>
    <row r="234">
      <c r="A234" s="117"/>
      <c r="B234" s="117"/>
      <c r="C234" s="238"/>
    </row>
    <row r="235">
      <c r="A235" s="117"/>
      <c r="B235" s="117"/>
      <c r="C235" s="238"/>
    </row>
    <row r="236">
      <c r="A236" s="117"/>
      <c r="B236" s="117"/>
      <c r="C236" s="238"/>
    </row>
    <row r="237">
      <c r="A237" s="117"/>
      <c r="B237" s="117"/>
      <c r="C237" s="238"/>
    </row>
    <row r="238">
      <c r="A238" s="117"/>
      <c r="B238" s="117"/>
      <c r="C238" s="238"/>
    </row>
    <row r="239">
      <c r="A239" s="117"/>
      <c r="B239" s="117"/>
      <c r="C239" s="238"/>
    </row>
    <row r="240">
      <c r="A240" s="117"/>
      <c r="B240" s="117"/>
      <c r="C240" s="238"/>
    </row>
    <row r="241">
      <c r="A241" s="117"/>
      <c r="B241" s="117"/>
      <c r="C241" s="238"/>
    </row>
    <row r="242">
      <c r="A242" s="117"/>
      <c r="B242" s="117"/>
      <c r="C242" s="238"/>
    </row>
    <row r="243">
      <c r="A243" s="117"/>
      <c r="B243" s="117"/>
      <c r="C243" s="238"/>
    </row>
    <row r="244">
      <c r="A244" s="117"/>
      <c r="B244" s="117"/>
      <c r="C244" s="238"/>
    </row>
    <row r="245">
      <c r="A245" s="117"/>
      <c r="B245" s="117"/>
      <c r="C245" s="238"/>
    </row>
    <row r="246">
      <c r="A246" s="117"/>
      <c r="B246" s="117"/>
      <c r="C246" s="238"/>
    </row>
    <row r="247">
      <c r="A247" s="117"/>
      <c r="B247" s="117"/>
      <c r="C247" s="238"/>
    </row>
    <row r="248">
      <c r="A248" s="117"/>
      <c r="B248" s="117"/>
      <c r="C248" s="238"/>
    </row>
    <row r="249">
      <c r="A249" s="117"/>
      <c r="B249" s="117"/>
      <c r="C249" s="238"/>
    </row>
    <row r="250">
      <c r="A250" s="117"/>
      <c r="B250" s="117"/>
      <c r="C250" s="238"/>
    </row>
    <row r="251">
      <c r="A251" s="117"/>
      <c r="B251" s="117"/>
      <c r="C251" s="238"/>
    </row>
    <row r="252">
      <c r="A252" s="117"/>
      <c r="B252" s="117"/>
      <c r="C252" s="238"/>
    </row>
    <row r="253">
      <c r="A253" s="117"/>
      <c r="B253" s="117"/>
      <c r="C253" s="238"/>
    </row>
    <row r="254">
      <c r="A254" s="117"/>
      <c r="B254" s="117"/>
      <c r="C254" s="238"/>
    </row>
    <row r="255">
      <c r="A255" s="117"/>
      <c r="B255" s="117"/>
      <c r="C255" s="238"/>
    </row>
    <row r="256">
      <c r="A256" s="117"/>
      <c r="B256" s="117"/>
      <c r="C256" s="238"/>
    </row>
    <row r="257">
      <c r="A257" s="117"/>
      <c r="B257" s="117"/>
      <c r="C257" s="238"/>
    </row>
    <row r="258">
      <c r="A258" s="117"/>
      <c r="B258" s="117"/>
      <c r="C258" s="238"/>
    </row>
    <row r="259">
      <c r="A259" s="117"/>
      <c r="B259" s="117"/>
      <c r="C259" s="238"/>
    </row>
    <row r="260">
      <c r="A260" s="117"/>
      <c r="B260" s="117"/>
      <c r="C260" s="238"/>
    </row>
    <row r="261">
      <c r="A261" s="117"/>
      <c r="B261" s="117"/>
      <c r="C261" s="238"/>
    </row>
    <row r="262">
      <c r="A262" s="117"/>
      <c r="B262" s="117"/>
      <c r="C262" s="238"/>
    </row>
    <row r="263">
      <c r="A263" s="117"/>
      <c r="B263" s="117"/>
      <c r="C263" s="238"/>
    </row>
    <row r="264">
      <c r="A264" s="117"/>
      <c r="B264" s="117"/>
      <c r="C264" s="238"/>
    </row>
    <row r="265">
      <c r="A265" s="117"/>
      <c r="B265" s="117"/>
      <c r="C265" s="238"/>
    </row>
    <row r="266">
      <c r="A266" s="117"/>
      <c r="B266" s="117"/>
      <c r="C266" s="238"/>
    </row>
    <row r="267">
      <c r="A267" s="117"/>
      <c r="B267" s="117"/>
      <c r="C267" s="238"/>
    </row>
    <row r="268">
      <c r="A268" s="117"/>
      <c r="B268" s="117"/>
      <c r="C268" s="238"/>
    </row>
    <row r="269">
      <c r="A269" s="117"/>
      <c r="B269" s="117"/>
      <c r="C269" s="238"/>
    </row>
    <row r="270">
      <c r="A270" s="117"/>
      <c r="B270" s="117"/>
      <c r="C270" s="238"/>
    </row>
    <row r="271">
      <c r="A271" s="117"/>
      <c r="B271" s="117"/>
      <c r="C271" s="238"/>
    </row>
    <row r="272">
      <c r="A272" s="117"/>
      <c r="B272" s="117"/>
      <c r="C272" s="238"/>
    </row>
    <row r="273">
      <c r="A273" s="117"/>
      <c r="B273" s="117"/>
      <c r="C273" s="238"/>
    </row>
    <row r="274">
      <c r="A274" s="117"/>
      <c r="B274" s="117"/>
      <c r="C274" s="238"/>
    </row>
    <row r="275">
      <c r="A275" s="117"/>
      <c r="B275" s="117"/>
      <c r="C275" s="238"/>
    </row>
    <row r="276">
      <c r="A276" s="117"/>
      <c r="B276" s="117"/>
      <c r="C276" s="238"/>
    </row>
    <row r="277">
      <c r="A277" s="117"/>
      <c r="B277" s="117"/>
      <c r="C277" s="238"/>
    </row>
    <row r="278">
      <c r="A278" s="117"/>
      <c r="B278" s="117"/>
      <c r="C278" s="238"/>
    </row>
    <row r="279">
      <c r="A279" s="117"/>
      <c r="B279" s="117"/>
      <c r="C279" s="238"/>
    </row>
    <row r="280">
      <c r="A280" s="117"/>
      <c r="B280" s="117"/>
      <c r="C280" s="238"/>
    </row>
    <row r="281">
      <c r="A281" s="117"/>
      <c r="B281" s="117"/>
      <c r="C281" s="238"/>
    </row>
    <row r="282">
      <c r="A282" s="117"/>
      <c r="B282" s="117"/>
      <c r="C282" s="238"/>
    </row>
    <row r="283">
      <c r="A283" s="117"/>
      <c r="B283" s="117"/>
      <c r="C283" s="238"/>
    </row>
    <row r="284">
      <c r="A284" s="117"/>
      <c r="B284" s="117"/>
      <c r="C284" s="238"/>
    </row>
    <row r="285">
      <c r="A285" s="117"/>
      <c r="B285" s="117"/>
      <c r="C285" s="238"/>
    </row>
    <row r="286">
      <c r="A286" s="117"/>
      <c r="B286" s="117"/>
      <c r="C286" s="238"/>
    </row>
    <row r="287">
      <c r="A287" s="117"/>
      <c r="B287" s="117"/>
      <c r="C287" s="238"/>
    </row>
    <row r="288">
      <c r="A288" s="117"/>
      <c r="B288" s="117"/>
      <c r="C288" s="238"/>
    </row>
    <row r="289">
      <c r="A289" s="117"/>
      <c r="B289" s="117"/>
      <c r="C289" s="238"/>
    </row>
    <row r="290">
      <c r="A290" s="117"/>
      <c r="B290" s="117"/>
      <c r="C290" s="238"/>
    </row>
    <row r="291">
      <c r="A291" s="117"/>
      <c r="B291" s="117"/>
      <c r="C291" s="238"/>
    </row>
    <row r="292">
      <c r="A292" s="117"/>
      <c r="B292" s="117"/>
      <c r="C292" s="238"/>
    </row>
    <row r="293">
      <c r="A293" s="117"/>
      <c r="B293" s="117"/>
      <c r="C293" s="238"/>
    </row>
    <row r="294">
      <c r="A294" s="117"/>
      <c r="B294" s="117"/>
      <c r="C294" s="238"/>
    </row>
    <row r="295">
      <c r="A295" s="117"/>
      <c r="B295" s="117"/>
      <c r="C295" s="238"/>
    </row>
    <row r="296">
      <c r="A296" s="117"/>
      <c r="B296" s="117"/>
      <c r="C296" s="238"/>
    </row>
    <row r="297">
      <c r="A297" s="117"/>
      <c r="B297" s="117"/>
      <c r="C297" s="238"/>
    </row>
    <row r="298">
      <c r="A298" s="117"/>
      <c r="B298" s="117"/>
      <c r="C298" s="238"/>
    </row>
    <row r="299">
      <c r="A299" s="117"/>
      <c r="B299" s="117"/>
      <c r="C299" s="238"/>
    </row>
    <row r="300">
      <c r="A300" s="117"/>
      <c r="B300" s="117"/>
      <c r="C300" s="238"/>
    </row>
    <row r="301">
      <c r="A301" s="117"/>
      <c r="B301" s="117"/>
      <c r="C301" s="238"/>
    </row>
    <row r="302">
      <c r="A302" s="117"/>
      <c r="B302" s="117"/>
      <c r="C302" s="238"/>
    </row>
    <row r="303">
      <c r="A303" s="117"/>
      <c r="B303" s="117"/>
      <c r="C303" s="238"/>
    </row>
    <row r="304">
      <c r="A304" s="117"/>
      <c r="B304" s="117"/>
      <c r="C304" s="238"/>
    </row>
    <row r="305">
      <c r="A305" s="117"/>
      <c r="B305" s="117"/>
      <c r="C305" s="238"/>
    </row>
    <row r="306">
      <c r="A306" s="117"/>
      <c r="B306" s="117"/>
      <c r="C306" s="238"/>
    </row>
    <row r="307">
      <c r="A307" s="117"/>
      <c r="B307" s="117"/>
      <c r="C307" s="238"/>
    </row>
    <row r="308">
      <c r="A308" s="117"/>
      <c r="B308" s="117"/>
      <c r="C308" s="238"/>
    </row>
    <row r="309">
      <c r="A309" s="117"/>
      <c r="B309" s="117"/>
      <c r="C309" s="238"/>
    </row>
    <row r="310">
      <c r="A310" s="117"/>
      <c r="B310" s="117"/>
      <c r="C310" s="238"/>
    </row>
    <row r="311">
      <c r="A311" s="117"/>
      <c r="B311" s="117"/>
      <c r="C311" s="238"/>
    </row>
    <row r="312">
      <c r="A312" s="117"/>
      <c r="B312" s="117"/>
      <c r="C312" s="238"/>
    </row>
    <row r="313">
      <c r="A313" s="117"/>
      <c r="B313" s="117"/>
      <c r="C313" s="238"/>
    </row>
    <row r="314">
      <c r="A314" s="117"/>
      <c r="B314" s="117"/>
      <c r="C314" s="238"/>
    </row>
    <row r="315">
      <c r="A315" s="117"/>
      <c r="B315" s="117"/>
      <c r="C315" s="238"/>
    </row>
    <row r="316">
      <c r="A316" s="117"/>
      <c r="B316" s="117"/>
      <c r="C316" s="238"/>
    </row>
    <row r="317">
      <c r="A317" s="117"/>
      <c r="B317" s="117"/>
      <c r="C317" s="238"/>
    </row>
    <row r="318">
      <c r="A318" s="117"/>
      <c r="B318" s="117"/>
      <c r="C318" s="238"/>
    </row>
    <row r="319">
      <c r="A319" s="117"/>
      <c r="B319" s="117"/>
      <c r="C319" s="238"/>
    </row>
    <row r="320">
      <c r="A320" s="117"/>
      <c r="B320" s="117"/>
      <c r="C320" s="238"/>
    </row>
    <row r="321">
      <c r="A321" s="117"/>
      <c r="B321" s="117"/>
      <c r="C321" s="238"/>
    </row>
    <row r="322">
      <c r="A322" s="117"/>
      <c r="B322" s="117"/>
      <c r="C322" s="238"/>
    </row>
    <row r="323">
      <c r="A323" s="117"/>
      <c r="B323" s="117"/>
      <c r="C323" s="238"/>
    </row>
    <row r="324">
      <c r="A324" s="117"/>
      <c r="B324" s="117"/>
      <c r="C324" s="238"/>
    </row>
    <row r="325">
      <c r="A325" s="117"/>
      <c r="B325" s="117"/>
      <c r="C325" s="238"/>
    </row>
    <row r="326">
      <c r="A326" s="117"/>
      <c r="B326" s="117"/>
      <c r="C326" s="238"/>
    </row>
    <row r="327">
      <c r="A327" s="117"/>
      <c r="B327" s="117"/>
      <c r="C327" s="238"/>
    </row>
    <row r="328">
      <c r="A328" s="117"/>
      <c r="B328" s="117"/>
      <c r="C328" s="238"/>
    </row>
    <row r="329">
      <c r="A329" s="117"/>
      <c r="B329" s="117"/>
      <c r="C329" s="238"/>
    </row>
    <row r="330">
      <c r="A330" s="117"/>
      <c r="B330" s="117"/>
      <c r="C330" s="238"/>
    </row>
    <row r="331">
      <c r="A331" s="117"/>
      <c r="B331" s="117"/>
      <c r="C331" s="238"/>
    </row>
    <row r="332">
      <c r="A332" s="117"/>
      <c r="B332" s="117"/>
      <c r="C332" s="238"/>
    </row>
    <row r="333">
      <c r="A333" s="117"/>
      <c r="B333" s="117"/>
      <c r="C333" s="238"/>
    </row>
    <row r="334">
      <c r="A334" s="117"/>
      <c r="B334" s="117"/>
      <c r="C334" s="238"/>
    </row>
    <row r="335">
      <c r="A335" s="117"/>
      <c r="B335" s="117"/>
      <c r="C335" s="238"/>
    </row>
    <row r="336">
      <c r="A336" s="117"/>
      <c r="B336" s="117"/>
      <c r="C336" s="238"/>
    </row>
    <row r="337">
      <c r="A337" s="117"/>
      <c r="B337" s="117"/>
      <c r="C337" s="238"/>
    </row>
    <row r="338">
      <c r="A338" s="117"/>
      <c r="B338" s="117"/>
      <c r="C338" s="238"/>
    </row>
    <row r="339">
      <c r="A339" s="117"/>
      <c r="B339" s="117"/>
      <c r="C339" s="238"/>
    </row>
    <row r="340">
      <c r="A340" s="117"/>
      <c r="B340" s="117"/>
      <c r="C340" s="238"/>
    </row>
    <row r="341">
      <c r="A341" s="117"/>
      <c r="B341" s="117"/>
      <c r="C341" s="238"/>
    </row>
    <row r="342">
      <c r="A342" s="117"/>
      <c r="B342" s="117"/>
      <c r="C342" s="238"/>
    </row>
    <row r="343">
      <c r="A343" s="117"/>
      <c r="B343" s="117"/>
      <c r="C343" s="238"/>
    </row>
    <row r="344">
      <c r="A344" s="117"/>
      <c r="B344" s="117"/>
      <c r="C344" s="238"/>
    </row>
    <row r="345">
      <c r="A345" s="117"/>
      <c r="B345" s="117"/>
      <c r="C345" s="238"/>
    </row>
    <row r="346">
      <c r="A346" s="117"/>
      <c r="B346" s="117"/>
      <c r="C346" s="238"/>
    </row>
    <row r="347">
      <c r="A347" s="117"/>
      <c r="B347" s="117"/>
      <c r="C347" s="238"/>
    </row>
    <row r="348">
      <c r="A348" s="117"/>
      <c r="B348" s="117"/>
      <c r="C348" s="238"/>
    </row>
    <row r="349">
      <c r="A349" s="117"/>
      <c r="B349" s="117"/>
      <c r="C349" s="238"/>
    </row>
    <row r="350">
      <c r="A350" s="117"/>
      <c r="B350" s="117"/>
      <c r="C350" s="238"/>
    </row>
    <row r="351">
      <c r="A351" s="117"/>
      <c r="B351" s="117"/>
      <c r="C351" s="238"/>
    </row>
    <row r="352">
      <c r="A352" s="117"/>
      <c r="B352" s="117"/>
      <c r="C352" s="238"/>
    </row>
    <row r="353">
      <c r="A353" s="117"/>
      <c r="B353" s="117"/>
      <c r="C353" s="238"/>
    </row>
    <row r="354">
      <c r="A354" s="117"/>
      <c r="B354" s="117"/>
      <c r="C354" s="238"/>
    </row>
    <row r="355">
      <c r="A355" s="117"/>
      <c r="B355" s="117"/>
      <c r="C355" s="238"/>
    </row>
    <row r="356">
      <c r="A356" s="117"/>
      <c r="B356" s="117"/>
      <c r="C356" s="238"/>
    </row>
    <row r="357">
      <c r="A357" s="117"/>
      <c r="B357" s="117"/>
      <c r="C357" s="238"/>
    </row>
    <row r="358">
      <c r="A358" s="117"/>
      <c r="B358" s="117"/>
      <c r="C358" s="238"/>
    </row>
    <row r="359">
      <c r="A359" s="117"/>
      <c r="B359" s="117"/>
      <c r="C359" s="238"/>
    </row>
    <row r="360">
      <c r="A360" s="117"/>
      <c r="B360" s="117"/>
      <c r="C360" s="238"/>
    </row>
    <row r="361">
      <c r="A361" s="117"/>
      <c r="B361" s="117"/>
      <c r="C361" s="238"/>
    </row>
    <row r="362">
      <c r="A362" s="117"/>
      <c r="B362" s="117"/>
      <c r="C362" s="238"/>
    </row>
    <row r="363">
      <c r="A363" s="117"/>
      <c r="B363" s="117"/>
      <c r="C363" s="238"/>
    </row>
    <row r="364">
      <c r="A364" s="117"/>
      <c r="B364" s="117"/>
      <c r="C364" s="238"/>
    </row>
    <row r="365">
      <c r="A365" s="117"/>
      <c r="B365" s="117"/>
      <c r="C365" s="238"/>
    </row>
    <row r="366">
      <c r="A366" s="117"/>
      <c r="B366" s="117"/>
      <c r="C366" s="238"/>
    </row>
    <row r="367">
      <c r="A367" s="117"/>
      <c r="B367" s="117"/>
      <c r="C367" s="238"/>
    </row>
    <row r="368">
      <c r="A368" s="117"/>
      <c r="B368" s="117"/>
      <c r="C368" s="238"/>
    </row>
    <row r="369">
      <c r="A369" s="117"/>
      <c r="B369" s="117"/>
      <c r="C369" s="238"/>
    </row>
    <row r="370">
      <c r="A370" s="117"/>
      <c r="B370" s="117"/>
      <c r="C370" s="238"/>
    </row>
    <row r="371">
      <c r="A371" s="117"/>
      <c r="B371" s="117"/>
      <c r="C371" s="238"/>
    </row>
    <row r="372">
      <c r="A372" s="117"/>
      <c r="B372" s="117"/>
      <c r="C372" s="238"/>
    </row>
    <row r="373">
      <c r="A373" s="117"/>
      <c r="B373" s="117"/>
      <c r="C373" s="238"/>
    </row>
    <row r="374">
      <c r="A374" s="117"/>
      <c r="B374" s="117"/>
      <c r="C374" s="238"/>
    </row>
    <row r="375">
      <c r="A375" s="117"/>
      <c r="B375" s="117"/>
      <c r="C375" s="238"/>
    </row>
    <row r="376">
      <c r="A376" s="117"/>
      <c r="B376" s="117"/>
      <c r="C376" s="238"/>
    </row>
    <row r="377">
      <c r="A377" s="117"/>
      <c r="B377" s="117"/>
      <c r="C377" s="238"/>
    </row>
    <row r="378">
      <c r="A378" s="117"/>
      <c r="B378" s="117"/>
      <c r="C378" s="238"/>
    </row>
    <row r="379">
      <c r="A379" s="117"/>
      <c r="B379" s="117"/>
      <c r="C379" s="238"/>
    </row>
    <row r="380">
      <c r="A380" s="117"/>
      <c r="B380" s="117"/>
      <c r="C380" s="238"/>
    </row>
    <row r="381">
      <c r="A381" s="117"/>
      <c r="B381" s="117"/>
      <c r="C381" s="238"/>
    </row>
    <row r="382">
      <c r="A382" s="117"/>
      <c r="B382" s="117"/>
      <c r="C382" s="238"/>
    </row>
    <row r="383">
      <c r="A383" s="117"/>
      <c r="B383" s="117"/>
      <c r="C383" s="238"/>
    </row>
    <row r="384">
      <c r="A384" s="117"/>
      <c r="B384" s="117"/>
      <c r="C384" s="238"/>
    </row>
    <row r="385">
      <c r="A385" s="117"/>
      <c r="B385" s="117"/>
      <c r="C385" s="238"/>
    </row>
    <row r="386">
      <c r="A386" s="117"/>
      <c r="B386" s="117"/>
      <c r="C386" s="238"/>
    </row>
    <row r="387">
      <c r="A387" s="117"/>
      <c r="B387" s="117"/>
      <c r="C387" s="238"/>
    </row>
    <row r="388">
      <c r="A388" s="117"/>
      <c r="B388" s="117"/>
      <c r="C388" s="238"/>
    </row>
    <row r="389">
      <c r="A389" s="117"/>
      <c r="B389" s="117"/>
      <c r="C389" s="238"/>
    </row>
    <row r="390">
      <c r="A390" s="117"/>
      <c r="B390" s="117"/>
      <c r="C390" s="238"/>
    </row>
    <row r="391">
      <c r="A391" s="117"/>
      <c r="B391" s="117"/>
      <c r="C391" s="238"/>
    </row>
    <row r="392">
      <c r="A392" s="117"/>
      <c r="B392" s="117"/>
      <c r="C392" s="238"/>
    </row>
    <row r="393">
      <c r="A393" s="117"/>
      <c r="B393" s="117"/>
      <c r="C393" s="238"/>
    </row>
    <row r="394">
      <c r="A394" s="117"/>
      <c r="B394" s="117"/>
      <c r="C394" s="238"/>
    </row>
    <row r="395">
      <c r="A395" s="117"/>
      <c r="B395" s="117"/>
      <c r="C395" s="238"/>
    </row>
    <row r="396">
      <c r="A396" s="117"/>
      <c r="B396" s="117"/>
      <c r="C396" s="238"/>
    </row>
    <row r="397">
      <c r="A397" s="117"/>
      <c r="B397" s="117"/>
      <c r="C397" s="238"/>
    </row>
    <row r="398">
      <c r="A398" s="117"/>
      <c r="B398" s="117"/>
      <c r="C398" s="238"/>
    </row>
    <row r="399">
      <c r="A399" s="117"/>
      <c r="B399" s="117"/>
      <c r="C399" s="238"/>
    </row>
    <row r="400">
      <c r="A400" s="117"/>
      <c r="B400" s="117"/>
      <c r="C400" s="238"/>
    </row>
    <row r="401">
      <c r="A401" s="117"/>
      <c r="B401" s="117"/>
      <c r="C401" s="238"/>
    </row>
    <row r="402">
      <c r="A402" s="117"/>
      <c r="B402" s="117"/>
      <c r="C402" s="238"/>
    </row>
    <row r="403">
      <c r="A403" s="117"/>
      <c r="B403" s="117"/>
      <c r="C403" s="238"/>
    </row>
    <row r="404">
      <c r="A404" s="117"/>
      <c r="B404" s="117"/>
      <c r="C404" s="238"/>
    </row>
    <row r="405">
      <c r="A405" s="117"/>
      <c r="B405" s="117"/>
      <c r="C405" s="238"/>
    </row>
    <row r="406">
      <c r="A406" s="117"/>
      <c r="B406" s="117"/>
      <c r="C406" s="238"/>
    </row>
    <row r="407">
      <c r="A407" s="117"/>
      <c r="B407" s="117"/>
      <c r="C407" s="238"/>
    </row>
    <row r="408">
      <c r="A408" s="117"/>
      <c r="B408" s="117"/>
      <c r="C408" s="238"/>
    </row>
    <row r="409">
      <c r="A409" s="117"/>
      <c r="B409" s="117"/>
      <c r="C409" s="238"/>
    </row>
    <row r="410">
      <c r="A410" s="117"/>
      <c r="B410" s="117"/>
      <c r="C410" s="238"/>
    </row>
    <row r="411">
      <c r="A411" s="117"/>
      <c r="B411" s="117"/>
      <c r="C411" s="238"/>
    </row>
    <row r="412">
      <c r="A412" s="117"/>
      <c r="B412" s="117"/>
      <c r="C412" s="238"/>
    </row>
    <row r="413">
      <c r="A413" s="117"/>
      <c r="B413" s="117"/>
      <c r="C413" s="238"/>
    </row>
    <row r="414">
      <c r="A414" s="117"/>
      <c r="B414" s="117"/>
      <c r="C414" s="238"/>
    </row>
    <row r="415">
      <c r="A415" s="117"/>
      <c r="B415" s="117"/>
      <c r="C415" s="238"/>
    </row>
    <row r="416">
      <c r="A416" s="117"/>
      <c r="B416" s="117"/>
      <c r="C416" s="238"/>
    </row>
    <row r="417">
      <c r="A417" s="117"/>
      <c r="B417" s="117"/>
      <c r="C417" s="238"/>
    </row>
    <row r="418">
      <c r="A418" s="117"/>
      <c r="B418" s="117"/>
      <c r="C418" s="238"/>
    </row>
    <row r="419">
      <c r="A419" s="117"/>
      <c r="B419" s="117"/>
      <c r="C419" s="238"/>
    </row>
    <row r="420">
      <c r="A420" s="117"/>
      <c r="B420" s="117"/>
      <c r="C420" s="238"/>
    </row>
    <row r="421">
      <c r="A421" s="117"/>
      <c r="B421" s="117"/>
      <c r="C421" s="238"/>
    </row>
    <row r="422">
      <c r="A422" s="117"/>
      <c r="B422" s="117"/>
      <c r="C422" s="238"/>
    </row>
    <row r="423">
      <c r="A423" s="117"/>
      <c r="B423" s="117"/>
      <c r="C423" s="238"/>
    </row>
    <row r="424">
      <c r="A424" s="117"/>
      <c r="B424" s="117"/>
      <c r="C424" s="238"/>
    </row>
    <row r="425">
      <c r="A425" s="117"/>
      <c r="B425" s="117"/>
      <c r="C425" s="238"/>
    </row>
    <row r="426">
      <c r="A426" s="117"/>
      <c r="B426" s="117"/>
      <c r="C426" s="238"/>
    </row>
    <row r="427">
      <c r="A427" s="117"/>
      <c r="B427" s="117"/>
      <c r="C427" s="238"/>
    </row>
    <row r="428">
      <c r="A428" s="117"/>
      <c r="B428" s="117"/>
      <c r="C428" s="238"/>
    </row>
    <row r="429">
      <c r="A429" s="117"/>
      <c r="B429" s="117"/>
      <c r="C429" s="238"/>
    </row>
    <row r="430">
      <c r="A430" s="117"/>
      <c r="B430" s="117"/>
      <c r="C430" s="238"/>
    </row>
    <row r="431">
      <c r="A431" s="117"/>
      <c r="B431" s="117"/>
      <c r="C431" s="238"/>
    </row>
    <row r="432">
      <c r="A432" s="117"/>
      <c r="B432" s="117"/>
      <c r="C432" s="238"/>
    </row>
    <row r="433">
      <c r="A433" s="117"/>
      <c r="B433" s="117"/>
      <c r="C433" s="238"/>
    </row>
    <row r="434">
      <c r="A434" s="117"/>
      <c r="B434" s="117"/>
      <c r="C434" s="238"/>
    </row>
    <row r="435">
      <c r="A435" s="117"/>
      <c r="B435" s="117"/>
      <c r="C435" s="238"/>
    </row>
    <row r="436">
      <c r="A436" s="117"/>
      <c r="B436" s="117"/>
      <c r="C436" s="238"/>
    </row>
    <row r="437">
      <c r="A437" s="117"/>
      <c r="B437" s="117"/>
      <c r="C437" s="238"/>
    </row>
    <row r="438">
      <c r="A438" s="117"/>
      <c r="B438" s="117"/>
      <c r="C438" s="238"/>
    </row>
    <row r="439">
      <c r="A439" s="117"/>
      <c r="B439" s="117"/>
      <c r="C439" s="238"/>
    </row>
    <row r="440">
      <c r="A440" s="117"/>
      <c r="B440" s="117"/>
      <c r="C440" s="238"/>
    </row>
    <row r="441">
      <c r="A441" s="117"/>
      <c r="B441" s="117"/>
      <c r="C441" s="238"/>
    </row>
    <row r="442">
      <c r="A442" s="117"/>
      <c r="B442" s="117"/>
      <c r="C442" s="238"/>
    </row>
    <row r="443">
      <c r="A443" s="117"/>
      <c r="B443" s="117"/>
      <c r="C443" s="238"/>
    </row>
    <row r="444">
      <c r="A444" s="117"/>
      <c r="B444" s="117"/>
      <c r="C444" s="238"/>
    </row>
    <row r="445">
      <c r="A445" s="117"/>
      <c r="B445" s="117"/>
      <c r="C445" s="238"/>
    </row>
    <row r="446">
      <c r="A446" s="117"/>
      <c r="B446" s="117"/>
      <c r="C446" s="238"/>
    </row>
    <row r="447">
      <c r="A447" s="117"/>
      <c r="B447" s="117"/>
      <c r="C447" s="238"/>
    </row>
    <row r="448">
      <c r="A448" s="117"/>
      <c r="B448" s="117"/>
      <c r="C448" s="238"/>
    </row>
    <row r="449">
      <c r="A449" s="117"/>
      <c r="B449" s="117"/>
      <c r="C449" s="238"/>
    </row>
    <row r="450">
      <c r="A450" s="117"/>
      <c r="B450" s="117"/>
      <c r="C450" s="238"/>
    </row>
    <row r="451">
      <c r="A451" s="117"/>
      <c r="B451" s="117"/>
      <c r="C451" s="238"/>
    </row>
    <row r="452">
      <c r="A452" s="117"/>
      <c r="B452" s="117"/>
      <c r="C452" s="238"/>
    </row>
    <row r="453">
      <c r="A453" s="117"/>
      <c r="B453" s="117"/>
      <c r="C453" s="238"/>
    </row>
    <row r="454">
      <c r="A454" s="117"/>
      <c r="B454" s="117"/>
      <c r="C454" s="238"/>
    </row>
    <row r="455">
      <c r="A455" s="117"/>
      <c r="B455" s="117"/>
      <c r="C455" s="238"/>
    </row>
    <row r="456">
      <c r="A456" s="117"/>
      <c r="B456" s="117"/>
      <c r="C456" s="238"/>
    </row>
    <row r="457">
      <c r="A457" s="117"/>
      <c r="B457" s="117"/>
      <c r="C457" s="238"/>
    </row>
    <row r="458">
      <c r="A458" s="117"/>
      <c r="B458" s="117"/>
      <c r="C458" s="238"/>
    </row>
    <row r="459">
      <c r="A459" s="117"/>
      <c r="B459" s="117"/>
      <c r="C459" s="238"/>
    </row>
    <row r="460">
      <c r="A460" s="117"/>
      <c r="B460" s="117"/>
      <c r="C460" s="238"/>
    </row>
    <row r="461">
      <c r="A461" s="117"/>
      <c r="B461" s="117"/>
      <c r="C461" s="238"/>
    </row>
    <row r="462">
      <c r="A462" s="117"/>
      <c r="B462" s="117"/>
      <c r="C462" s="238"/>
    </row>
    <row r="463">
      <c r="A463" s="117"/>
      <c r="B463" s="117"/>
      <c r="C463" s="238"/>
    </row>
    <row r="464">
      <c r="A464" s="117"/>
      <c r="B464" s="117"/>
      <c r="C464" s="238"/>
    </row>
    <row r="465">
      <c r="A465" s="117"/>
      <c r="B465" s="117"/>
      <c r="C465" s="238"/>
    </row>
    <row r="466">
      <c r="A466" s="117"/>
      <c r="B466" s="117"/>
      <c r="C466" s="238"/>
    </row>
    <row r="467">
      <c r="A467" s="117"/>
      <c r="B467" s="117"/>
      <c r="C467" s="238"/>
    </row>
    <row r="468">
      <c r="A468" s="117"/>
      <c r="B468" s="117"/>
      <c r="C468" s="238"/>
    </row>
    <row r="469">
      <c r="A469" s="117"/>
      <c r="B469" s="117"/>
      <c r="C469" s="238"/>
    </row>
    <row r="470">
      <c r="A470" s="117"/>
      <c r="B470" s="117"/>
      <c r="C470" s="238"/>
    </row>
    <row r="471">
      <c r="A471" s="117"/>
      <c r="B471" s="117"/>
      <c r="C471" s="238"/>
    </row>
    <row r="472">
      <c r="A472" s="117"/>
      <c r="B472" s="117"/>
      <c r="C472" s="238"/>
    </row>
    <row r="473">
      <c r="A473" s="117"/>
      <c r="B473" s="117"/>
      <c r="C473" s="238"/>
    </row>
    <row r="474">
      <c r="A474" s="117"/>
      <c r="B474" s="117"/>
      <c r="C474" s="238"/>
    </row>
    <row r="475">
      <c r="A475" s="117"/>
      <c r="B475" s="117"/>
      <c r="C475" s="238"/>
    </row>
    <row r="476">
      <c r="A476" s="117"/>
      <c r="B476" s="117"/>
      <c r="C476" s="238"/>
    </row>
    <row r="477">
      <c r="A477" s="117"/>
      <c r="B477" s="117"/>
      <c r="C477" s="238"/>
    </row>
    <row r="478">
      <c r="A478" s="117"/>
      <c r="B478" s="117"/>
      <c r="C478" s="238"/>
    </row>
    <row r="479">
      <c r="A479" s="117"/>
      <c r="B479" s="117"/>
      <c r="C479" s="238"/>
    </row>
    <row r="480">
      <c r="A480" s="117"/>
      <c r="B480" s="117"/>
      <c r="C480" s="238"/>
    </row>
    <row r="481">
      <c r="A481" s="117"/>
      <c r="B481" s="117"/>
      <c r="C481" s="238"/>
    </row>
    <row r="482">
      <c r="A482" s="117"/>
      <c r="B482" s="117"/>
      <c r="C482" s="238"/>
    </row>
    <row r="483">
      <c r="A483" s="117"/>
      <c r="B483" s="117"/>
      <c r="C483" s="238"/>
    </row>
    <row r="484">
      <c r="A484" s="117"/>
      <c r="B484" s="117"/>
      <c r="C484" s="238"/>
    </row>
    <row r="485">
      <c r="A485" s="117"/>
      <c r="B485" s="117"/>
      <c r="C485" s="238"/>
    </row>
    <row r="486">
      <c r="A486" s="117"/>
      <c r="B486" s="117"/>
      <c r="C486" s="238"/>
    </row>
    <row r="487">
      <c r="A487" s="117"/>
      <c r="B487" s="117"/>
      <c r="C487" s="238"/>
    </row>
    <row r="488">
      <c r="A488" s="117"/>
      <c r="B488" s="117"/>
      <c r="C488" s="238"/>
    </row>
    <row r="489">
      <c r="A489" s="117"/>
      <c r="B489" s="117"/>
      <c r="C489" s="238"/>
    </row>
    <row r="490">
      <c r="A490" s="117"/>
      <c r="B490" s="117"/>
      <c r="C490" s="238"/>
    </row>
    <row r="491">
      <c r="A491" s="117"/>
      <c r="B491" s="117"/>
      <c r="C491" s="238"/>
    </row>
    <row r="492">
      <c r="A492" s="117"/>
      <c r="B492" s="117"/>
      <c r="C492" s="238"/>
    </row>
    <row r="493">
      <c r="A493" s="117"/>
      <c r="B493" s="117"/>
      <c r="C493" s="238"/>
    </row>
    <row r="494">
      <c r="A494" s="117"/>
      <c r="B494" s="117"/>
      <c r="C494" s="238"/>
    </row>
    <row r="495">
      <c r="A495" s="117"/>
      <c r="B495" s="117"/>
      <c r="C495" s="238"/>
    </row>
    <row r="496">
      <c r="A496" s="117"/>
      <c r="B496" s="117"/>
      <c r="C496" s="238"/>
    </row>
    <row r="497">
      <c r="A497" s="117"/>
      <c r="B497" s="117"/>
      <c r="C497" s="238"/>
    </row>
    <row r="498">
      <c r="A498" s="117"/>
      <c r="B498" s="117"/>
      <c r="C498" s="238"/>
    </row>
    <row r="499">
      <c r="A499" s="117"/>
      <c r="B499" s="117"/>
      <c r="C499" s="238"/>
    </row>
    <row r="500">
      <c r="A500" s="117"/>
      <c r="B500" s="117"/>
      <c r="C500" s="238"/>
    </row>
    <row r="501">
      <c r="A501" s="117"/>
      <c r="B501" s="117"/>
      <c r="C501" s="238"/>
    </row>
    <row r="502">
      <c r="A502" s="117"/>
      <c r="B502" s="117"/>
      <c r="C502" s="238"/>
    </row>
    <row r="503">
      <c r="A503" s="117"/>
      <c r="B503" s="117"/>
      <c r="C503" s="238"/>
    </row>
    <row r="504">
      <c r="A504" s="117"/>
      <c r="B504" s="117"/>
      <c r="C504" s="238"/>
    </row>
    <row r="505">
      <c r="A505" s="117"/>
      <c r="B505" s="117"/>
      <c r="C505" s="238"/>
    </row>
    <row r="506">
      <c r="A506" s="117"/>
      <c r="B506" s="117"/>
      <c r="C506" s="238"/>
    </row>
    <row r="507">
      <c r="A507" s="117"/>
      <c r="B507" s="117"/>
      <c r="C507" s="238"/>
    </row>
    <row r="508">
      <c r="A508" s="117"/>
      <c r="B508" s="117"/>
      <c r="C508" s="238"/>
    </row>
    <row r="509">
      <c r="A509" s="117"/>
      <c r="B509" s="117"/>
      <c r="C509" s="238"/>
    </row>
    <row r="510">
      <c r="A510" s="117"/>
      <c r="B510" s="117"/>
      <c r="C510" s="238"/>
    </row>
    <row r="511">
      <c r="A511" s="117"/>
      <c r="B511" s="117"/>
      <c r="C511" s="238"/>
    </row>
    <row r="512">
      <c r="A512" s="117"/>
      <c r="B512" s="117"/>
      <c r="C512" s="238"/>
    </row>
    <row r="513">
      <c r="A513" s="117"/>
      <c r="B513" s="117"/>
      <c r="C513" s="238"/>
    </row>
    <row r="514">
      <c r="A514" s="117"/>
      <c r="B514" s="117"/>
      <c r="C514" s="238"/>
    </row>
    <row r="515">
      <c r="A515" s="117"/>
      <c r="B515" s="117"/>
      <c r="C515" s="238"/>
    </row>
    <row r="516">
      <c r="A516" s="117"/>
      <c r="B516" s="117"/>
      <c r="C516" s="238"/>
    </row>
    <row r="517">
      <c r="A517" s="117"/>
      <c r="B517" s="117"/>
      <c r="C517" s="238"/>
    </row>
    <row r="518">
      <c r="A518" s="117"/>
      <c r="B518" s="117"/>
      <c r="C518" s="238"/>
    </row>
    <row r="519">
      <c r="A519" s="117"/>
      <c r="B519" s="117"/>
      <c r="C519" s="238"/>
    </row>
    <row r="520">
      <c r="A520" s="117"/>
      <c r="B520" s="117"/>
      <c r="C520" s="238"/>
    </row>
    <row r="521">
      <c r="A521" s="117"/>
      <c r="B521" s="117"/>
      <c r="C521" s="238"/>
    </row>
    <row r="522">
      <c r="A522" s="117"/>
      <c r="B522" s="117"/>
      <c r="C522" s="238"/>
    </row>
    <row r="523">
      <c r="A523" s="117"/>
      <c r="B523" s="117"/>
      <c r="C523" s="238"/>
    </row>
    <row r="524">
      <c r="A524" s="117"/>
      <c r="B524" s="117"/>
      <c r="C524" s="238"/>
    </row>
    <row r="525">
      <c r="A525" s="117"/>
      <c r="B525" s="117"/>
      <c r="C525" s="238"/>
    </row>
    <row r="526">
      <c r="A526" s="117"/>
      <c r="B526" s="117"/>
      <c r="C526" s="238"/>
    </row>
    <row r="527">
      <c r="A527" s="117"/>
      <c r="B527" s="117"/>
      <c r="C527" s="238"/>
    </row>
    <row r="528">
      <c r="A528" s="117"/>
      <c r="B528" s="117"/>
      <c r="C528" s="238"/>
    </row>
    <row r="529">
      <c r="A529" s="117"/>
      <c r="B529" s="117"/>
      <c r="C529" s="238"/>
    </row>
    <row r="530">
      <c r="A530" s="117"/>
      <c r="B530" s="117"/>
      <c r="C530" s="238"/>
    </row>
    <row r="531">
      <c r="A531" s="117"/>
      <c r="B531" s="117"/>
      <c r="C531" s="238"/>
    </row>
    <row r="532">
      <c r="A532" s="117"/>
      <c r="B532" s="117"/>
      <c r="C532" s="238"/>
    </row>
    <row r="533">
      <c r="A533" s="117"/>
      <c r="B533" s="117"/>
      <c r="C533" s="238"/>
    </row>
    <row r="534">
      <c r="A534" s="117"/>
      <c r="B534" s="117"/>
      <c r="C534" s="238"/>
    </row>
    <row r="535">
      <c r="A535" s="117"/>
      <c r="B535" s="117"/>
      <c r="C535" s="238"/>
    </row>
    <row r="536">
      <c r="A536" s="117"/>
      <c r="B536" s="117"/>
      <c r="C536" s="238"/>
    </row>
    <row r="537">
      <c r="A537" s="117"/>
      <c r="B537" s="117"/>
      <c r="C537" s="238"/>
    </row>
    <row r="538">
      <c r="A538" s="117"/>
      <c r="B538" s="117"/>
      <c r="C538" s="238"/>
    </row>
    <row r="539">
      <c r="A539" s="117"/>
      <c r="B539" s="117"/>
      <c r="C539" s="238"/>
    </row>
    <row r="540">
      <c r="A540" s="117"/>
      <c r="B540" s="117"/>
      <c r="C540" s="238"/>
    </row>
    <row r="541">
      <c r="A541" s="117"/>
      <c r="B541" s="117"/>
      <c r="C541" s="238"/>
    </row>
    <row r="542">
      <c r="A542" s="117"/>
      <c r="B542" s="117"/>
      <c r="C542" s="238"/>
    </row>
    <row r="543">
      <c r="A543" s="117"/>
      <c r="B543" s="117"/>
      <c r="C543" s="238"/>
    </row>
    <row r="544">
      <c r="A544" s="117"/>
      <c r="B544" s="117"/>
      <c r="C544" s="238"/>
    </row>
    <row r="545">
      <c r="A545" s="117"/>
      <c r="B545" s="117"/>
      <c r="C545" s="238"/>
    </row>
    <row r="546">
      <c r="A546" s="117"/>
      <c r="B546" s="117"/>
      <c r="C546" s="238"/>
    </row>
    <row r="547">
      <c r="A547" s="117"/>
      <c r="B547" s="117"/>
      <c r="C547" s="238"/>
    </row>
    <row r="548">
      <c r="A548" s="117"/>
      <c r="B548" s="117"/>
      <c r="C548" s="238"/>
    </row>
    <row r="549">
      <c r="A549" s="117"/>
      <c r="B549" s="117"/>
      <c r="C549" s="238"/>
    </row>
    <row r="550">
      <c r="A550" s="117"/>
      <c r="B550" s="117"/>
      <c r="C550" s="238"/>
    </row>
    <row r="551">
      <c r="A551" s="117"/>
      <c r="B551" s="117"/>
      <c r="C551" s="238"/>
    </row>
    <row r="552">
      <c r="A552" s="117"/>
      <c r="B552" s="117"/>
      <c r="C552" s="238"/>
    </row>
    <row r="553">
      <c r="A553" s="117"/>
      <c r="B553" s="117"/>
      <c r="C553" s="238"/>
    </row>
    <row r="554">
      <c r="A554" s="117"/>
      <c r="B554" s="117"/>
      <c r="C554" s="238"/>
    </row>
    <row r="555">
      <c r="A555" s="117"/>
      <c r="B555" s="117"/>
      <c r="C555" s="238"/>
    </row>
    <row r="556">
      <c r="A556" s="117"/>
      <c r="B556" s="117"/>
      <c r="C556" s="238"/>
    </row>
    <row r="557">
      <c r="A557" s="117"/>
      <c r="B557" s="117"/>
      <c r="C557" s="238"/>
    </row>
    <row r="558">
      <c r="A558" s="117"/>
      <c r="B558" s="117"/>
      <c r="C558" s="238"/>
    </row>
    <row r="559">
      <c r="A559" s="117"/>
      <c r="B559" s="117"/>
      <c r="C559" s="238"/>
    </row>
    <row r="560">
      <c r="A560" s="117"/>
      <c r="B560" s="117"/>
      <c r="C560" s="238"/>
    </row>
    <row r="561">
      <c r="A561" s="117"/>
      <c r="B561" s="117"/>
      <c r="C561" s="238"/>
    </row>
    <row r="562">
      <c r="A562" s="117"/>
      <c r="B562" s="117"/>
      <c r="C562" s="238"/>
    </row>
    <row r="563">
      <c r="A563" s="117"/>
      <c r="B563" s="117"/>
      <c r="C563" s="238"/>
    </row>
    <row r="564">
      <c r="A564" s="117"/>
      <c r="B564" s="117"/>
      <c r="C564" s="238"/>
    </row>
    <row r="565">
      <c r="A565" s="117"/>
      <c r="B565" s="117"/>
      <c r="C565" s="238"/>
    </row>
    <row r="566">
      <c r="A566" s="117"/>
      <c r="B566" s="117"/>
      <c r="C566" s="238"/>
    </row>
    <row r="567">
      <c r="A567" s="117"/>
      <c r="B567" s="117"/>
      <c r="C567" s="238"/>
    </row>
    <row r="568">
      <c r="A568" s="117"/>
      <c r="B568" s="117"/>
      <c r="C568" s="238"/>
    </row>
    <row r="569">
      <c r="A569" s="117"/>
      <c r="B569" s="117"/>
      <c r="C569" s="238"/>
    </row>
    <row r="570">
      <c r="A570" s="117"/>
      <c r="B570" s="117"/>
      <c r="C570" s="238"/>
    </row>
    <row r="571">
      <c r="A571" s="117"/>
      <c r="B571" s="117"/>
      <c r="C571" s="238"/>
    </row>
    <row r="572">
      <c r="A572" s="117"/>
      <c r="B572" s="117"/>
      <c r="C572" s="238"/>
    </row>
    <row r="573">
      <c r="A573" s="117"/>
      <c r="B573" s="117"/>
      <c r="C573" s="238"/>
    </row>
    <row r="574">
      <c r="A574" s="117"/>
      <c r="B574" s="117"/>
      <c r="C574" s="238"/>
    </row>
    <row r="575">
      <c r="A575" s="117"/>
      <c r="B575" s="117"/>
      <c r="C575" s="238"/>
    </row>
    <row r="576">
      <c r="A576" s="117"/>
      <c r="B576" s="117"/>
      <c r="C576" s="238"/>
    </row>
    <row r="577">
      <c r="A577" s="117"/>
      <c r="B577" s="117"/>
      <c r="C577" s="238"/>
    </row>
    <row r="578">
      <c r="A578" s="117"/>
      <c r="B578" s="117"/>
      <c r="C578" s="238"/>
    </row>
    <row r="579">
      <c r="A579" s="117"/>
      <c r="B579" s="117"/>
      <c r="C579" s="238"/>
    </row>
    <row r="580">
      <c r="A580" s="117"/>
      <c r="B580" s="117"/>
      <c r="C580" s="238"/>
    </row>
    <row r="581">
      <c r="A581" s="117"/>
      <c r="B581" s="117"/>
      <c r="C581" s="238"/>
    </row>
    <row r="582">
      <c r="A582" s="117"/>
      <c r="B582" s="117"/>
      <c r="C582" s="238"/>
    </row>
    <row r="583">
      <c r="A583" s="117"/>
      <c r="B583" s="117"/>
      <c r="C583" s="238"/>
    </row>
    <row r="584">
      <c r="A584" s="117"/>
      <c r="B584" s="117"/>
      <c r="C584" s="238"/>
    </row>
    <row r="585">
      <c r="A585" s="117"/>
      <c r="B585" s="117"/>
      <c r="C585" s="238"/>
    </row>
    <row r="586">
      <c r="A586" s="117"/>
      <c r="B586" s="117"/>
      <c r="C586" s="238"/>
    </row>
    <row r="587">
      <c r="A587" s="117"/>
      <c r="B587" s="117"/>
      <c r="C587" s="238"/>
    </row>
    <row r="588">
      <c r="A588" s="117"/>
      <c r="B588" s="117"/>
      <c r="C588" s="238"/>
    </row>
    <row r="589">
      <c r="A589" s="117"/>
      <c r="B589" s="117"/>
      <c r="C589" s="238"/>
    </row>
    <row r="590">
      <c r="A590" s="117"/>
      <c r="B590" s="117"/>
      <c r="C590" s="238"/>
    </row>
    <row r="591">
      <c r="A591" s="117"/>
      <c r="B591" s="117"/>
      <c r="C591" s="238"/>
    </row>
    <row r="592">
      <c r="A592" s="117"/>
      <c r="B592" s="117"/>
      <c r="C592" s="238"/>
    </row>
    <row r="593">
      <c r="A593" s="117"/>
      <c r="B593" s="117"/>
      <c r="C593" s="238"/>
    </row>
    <row r="594">
      <c r="A594" s="117"/>
      <c r="B594" s="117"/>
      <c r="C594" s="238"/>
    </row>
    <row r="595">
      <c r="A595" s="117"/>
      <c r="B595" s="117"/>
      <c r="C595" s="238"/>
    </row>
    <row r="596">
      <c r="A596" s="117"/>
      <c r="B596" s="117"/>
      <c r="C596" s="238"/>
    </row>
    <row r="597">
      <c r="A597" s="117"/>
      <c r="B597" s="117"/>
      <c r="C597" s="238"/>
    </row>
    <row r="598">
      <c r="A598" s="117"/>
      <c r="B598" s="117"/>
      <c r="C598" s="238"/>
    </row>
    <row r="599">
      <c r="A599" s="117"/>
      <c r="B599" s="117"/>
      <c r="C599" s="238"/>
    </row>
    <row r="600">
      <c r="A600" s="117"/>
      <c r="B600" s="117"/>
      <c r="C600" s="238"/>
    </row>
    <row r="601">
      <c r="A601" s="117"/>
      <c r="B601" s="117"/>
      <c r="C601" s="238"/>
    </row>
    <row r="602">
      <c r="A602" s="117"/>
      <c r="B602" s="117"/>
      <c r="C602" s="238"/>
    </row>
    <row r="603">
      <c r="A603" s="117"/>
      <c r="B603" s="117"/>
      <c r="C603" s="238"/>
    </row>
    <row r="604">
      <c r="A604" s="117"/>
      <c r="B604" s="117"/>
      <c r="C604" s="238"/>
    </row>
    <row r="605">
      <c r="A605" s="117"/>
      <c r="B605" s="117"/>
      <c r="C605" s="238"/>
    </row>
    <row r="606">
      <c r="A606" s="117"/>
      <c r="B606" s="117"/>
      <c r="C606" s="238"/>
    </row>
    <row r="607">
      <c r="A607" s="117"/>
      <c r="B607" s="117"/>
      <c r="C607" s="238"/>
    </row>
    <row r="608">
      <c r="A608" s="117"/>
      <c r="B608" s="117"/>
      <c r="C608" s="238"/>
    </row>
    <row r="609">
      <c r="A609" s="117"/>
      <c r="B609" s="117"/>
      <c r="C609" s="238"/>
    </row>
    <row r="610">
      <c r="A610" s="117"/>
      <c r="B610" s="117"/>
      <c r="C610" s="238"/>
    </row>
    <row r="611">
      <c r="A611" s="117"/>
      <c r="B611" s="117"/>
      <c r="C611" s="238"/>
    </row>
    <row r="612">
      <c r="A612" s="117"/>
      <c r="B612" s="117"/>
      <c r="C612" s="238"/>
    </row>
    <row r="613">
      <c r="A613" s="117"/>
      <c r="B613" s="117"/>
      <c r="C613" s="238"/>
    </row>
    <row r="614">
      <c r="A614" s="117"/>
      <c r="B614" s="117"/>
      <c r="C614" s="238"/>
    </row>
    <row r="615">
      <c r="A615" s="117"/>
      <c r="B615" s="117"/>
      <c r="C615" s="238"/>
    </row>
    <row r="616">
      <c r="A616" s="117"/>
      <c r="B616" s="117"/>
      <c r="C616" s="238"/>
    </row>
    <row r="617">
      <c r="A617" s="117"/>
      <c r="B617" s="117"/>
      <c r="C617" s="238"/>
    </row>
    <row r="618">
      <c r="A618" s="117"/>
      <c r="B618" s="117"/>
      <c r="C618" s="238"/>
    </row>
    <row r="619">
      <c r="A619" s="117"/>
      <c r="B619" s="117"/>
      <c r="C619" s="238"/>
    </row>
    <row r="620">
      <c r="A620" s="117"/>
      <c r="B620" s="117"/>
      <c r="C620" s="238"/>
    </row>
    <row r="621">
      <c r="A621" s="117"/>
      <c r="B621" s="117"/>
      <c r="C621" s="238"/>
    </row>
    <row r="622">
      <c r="A622" s="117"/>
      <c r="B622" s="117"/>
      <c r="C622" s="238"/>
    </row>
    <row r="623">
      <c r="A623" s="117"/>
      <c r="B623" s="117"/>
      <c r="C623" s="238"/>
    </row>
    <row r="624">
      <c r="A624" s="117"/>
      <c r="B624" s="117"/>
      <c r="C624" s="238"/>
    </row>
    <row r="625">
      <c r="A625" s="117"/>
      <c r="B625" s="117"/>
      <c r="C625" s="238"/>
    </row>
    <row r="626">
      <c r="A626" s="117"/>
      <c r="B626" s="117"/>
      <c r="C626" s="238"/>
    </row>
    <row r="627">
      <c r="A627" s="117"/>
      <c r="B627" s="117"/>
      <c r="C627" s="238"/>
    </row>
    <row r="628">
      <c r="A628" s="117"/>
      <c r="B628" s="117"/>
      <c r="C628" s="238"/>
    </row>
    <row r="629">
      <c r="A629" s="117"/>
      <c r="B629" s="117"/>
      <c r="C629" s="238"/>
    </row>
    <row r="630">
      <c r="A630" s="117"/>
      <c r="B630" s="117"/>
      <c r="C630" s="238"/>
    </row>
    <row r="631">
      <c r="A631" s="117"/>
      <c r="B631" s="117"/>
      <c r="C631" s="238"/>
    </row>
    <row r="632">
      <c r="A632" s="117"/>
      <c r="B632" s="117"/>
      <c r="C632" s="238"/>
    </row>
    <row r="633">
      <c r="A633" s="117"/>
      <c r="B633" s="117"/>
      <c r="C633" s="238"/>
    </row>
    <row r="634">
      <c r="A634" s="117"/>
      <c r="B634" s="117"/>
      <c r="C634" s="238"/>
    </row>
    <row r="635">
      <c r="A635" s="117"/>
      <c r="B635" s="117"/>
      <c r="C635" s="238"/>
    </row>
    <row r="636">
      <c r="A636" s="117"/>
      <c r="B636" s="117"/>
      <c r="C636" s="238"/>
    </row>
    <row r="637">
      <c r="A637" s="117"/>
      <c r="B637" s="117"/>
      <c r="C637" s="238"/>
    </row>
    <row r="638">
      <c r="A638" s="117"/>
      <c r="B638" s="117"/>
      <c r="C638" s="238"/>
    </row>
    <row r="639">
      <c r="A639" s="117"/>
      <c r="B639" s="117"/>
      <c r="C639" s="238"/>
    </row>
    <row r="640">
      <c r="A640" s="117"/>
      <c r="B640" s="117"/>
      <c r="C640" s="238"/>
    </row>
    <row r="641">
      <c r="A641" s="117"/>
      <c r="B641" s="117"/>
      <c r="C641" s="238"/>
    </row>
    <row r="642">
      <c r="A642" s="117"/>
      <c r="B642" s="117"/>
      <c r="C642" s="238"/>
    </row>
    <row r="643">
      <c r="A643" s="117"/>
      <c r="B643" s="117"/>
      <c r="C643" s="238"/>
    </row>
    <row r="644">
      <c r="A644" s="117"/>
      <c r="B644" s="117"/>
      <c r="C644" s="238"/>
    </row>
    <row r="645">
      <c r="A645" s="117"/>
      <c r="B645" s="117"/>
      <c r="C645" s="238"/>
    </row>
    <row r="646">
      <c r="A646" s="117"/>
      <c r="B646" s="117"/>
      <c r="C646" s="238"/>
    </row>
    <row r="647">
      <c r="A647" s="117"/>
      <c r="B647" s="117"/>
      <c r="C647" s="238"/>
    </row>
    <row r="648">
      <c r="A648" s="117"/>
      <c r="B648" s="117"/>
      <c r="C648" s="238"/>
    </row>
    <row r="649">
      <c r="A649" s="117"/>
      <c r="B649" s="117"/>
      <c r="C649" s="238"/>
    </row>
    <row r="650">
      <c r="A650" s="117"/>
      <c r="B650" s="117"/>
      <c r="C650" s="238"/>
    </row>
    <row r="651">
      <c r="A651" s="117"/>
      <c r="B651" s="117"/>
      <c r="C651" s="238"/>
    </row>
    <row r="652">
      <c r="A652" s="117"/>
      <c r="B652" s="117"/>
      <c r="C652" s="238"/>
    </row>
    <row r="653">
      <c r="A653" s="117"/>
      <c r="B653" s="117"/>
      <c r="C653" s="238"/>
    </row>
    <row r="654">
      <c r="A654" s="117"/>
      <c r="B654" s="117"/>
      <c r="C654" s="238"/>
    </row>
    <row r="655">
      <c r="A655" s="117"/>
      <c r="B655" s="117"/>
      <c r="C655" s="238"/>
    </row>
    <row r="656">
      <c r="A656" s="117"/>
      <c r="B656" s="117"/>
      <c r="C656" s="238"/>
    </row>
    <row r="657">
      <c r="A657" s="117"/>
      <c r="B657" s="117"/>
      <c r="C657" s="238"/>
    </row>
    <row r="658">
      <c r="A658" s="117"/>
      <c r="B658" s="117"/>
      <c r="C658" s="238"/>
    </row>
    <row r="659">
      <c r="A659" s="117"/>
      <c r="B659" s="117"/>
      <c r="C659" s="238"/>
    </row>
    <row r="660">
      <c r="A660" s="117"/>
      <c r="B660" s="117"/>
      <c r="C660" s="238"/>
    </row>
    <row r="661">
      <c r="A661" s="117"/>
      <c r="B661" s="117"/>
      <c r="C661" s="238"/>
    </row>
    <row r="662">
      <c r="A662" s="117"/>
      <c r="B662" s="117"/>
      <c r="C662" s="238"/>
    </row>
    <row r="663">
      <c r="A663" s="117"/>
      <c r="B663" s="117"/>
      <c r="C663" s="238"/>
    </row>
    <row r="664">
      <c r="A664" s="117"/>
      <c r="B664" s="117"/>
      <c r="C664" s="238"/>
    </row>
    <row r="665">
      <c r="A665" s="117"/>
      <c r="B665" s="117"/>
      <c r="C665" s="238"/>
    </row>
    <row r="666">
      <c r="A666" s="117"/>
      <c r="B666" s="117"/>
      <c r="C666" s="238"/>
    </row>
    <row r="667">
      <c r="A667" s="117"/>
      <c r="B667" s="117"/>
      <c r="C667" s="238"/>
    </row>
    <row r="668">
      <c r="A668" s="117"/>
      <c r="B668" s="117"/>
      <c r="C668" s="238"/>
    </row>
    <row r="669">
      <c r="A669" s="117"/>
      <c r="B669" s="117"/>
      <c r="C669" s="238"/>
    </row>
    <row r="670">
      <c r="A670" s="117"/>
      <c r="B670" s="117"/>
      <c r="C670" s="238"/>
    </row>
    <row r="671">
      <c r="A671" s="117"/>
      <c r="B671" s="117"/>
      <c r="C671" s="238"/>
    </row>
    <row r="672">
      <c r="A672" s="117"/>
      <c r="B672" s="117"/>
      <c r="C672" s="238"/>
    </row>
    <row r="673">
      <c r="A673" s="117"/>
      <c r="B673" s="117"/>
      <c r="C673" s="238"/>
    </row>
    <row r="674">
      <c r="A674" s="117"/>
      <c r="B674" s="117"/>
      <c r="C674" s="238"/>
    </row>
    <row r="675">
      <c r="A675" s="117"/>
      <c r="B675" s="117"/>
      <c r="C675" s="238"/>
    </row>
    <row r="676">
      <c r="A676" s="117"/>
      <c r="B676" s="117"/>
      <c r="C676" s="238"/>
    </row>
    <row r="677">
      <c r="A677" s="117"/>
      <c r="B677" s="117"/>
      <c r="C677" s="238"/>
    </row>
    <row r="678">
      <c r="A678" s="117"/>
      <c r="B678" s="117"/>
      <c r="C678" s="238"/>
    </row>
    <row r="679">
      <c r="A679" s="117"/>
      <c r="B679" s="117"/>
      <c r="C679" s="238"/>
    </row>
    <row r="680">
      <c r="A680" s="117"/>
      <c r="B680" s="117"/>
      <c r="C680" s="238"/>
    </row>
    <row r="681">
      <c r="A681" s="117"/>
      <c r="B681" s="117"/>
      <c r="C681" s="238"/>
    </row>
    <row r="682">
      <c r="A682" s="117"/>
      <c r="B682" s="117"/>
      <c r="C682" s="238"/>
    </row>
    <row r="683">
      <c r="A683" s="117"/>
      <c r="B683" s="117"/>
      <c r="C683" s="238"/>
    </row>
    <row r="684">
      <c r="A684" s="117"/>
      <c r="B684" s="117"/>
      <c r="C684" s="238"/>
    </row>
    <row r="685">
      <c r="A685" s="117"/>
      <c r="B685" s="117"/>
      <c r="C685" s="238"/>
    </row>
    <row r="686">
      <c r="A686" s="117"/>
      <c r="B686" s="117"/>
      <c r="C686" s="238"/>
    </row>
    <row r="687">
      <c r="A687" s="117"/>
      <c r="B687" s="117"/>
      <c r="C687" s="238"/>
    </row>
    <row r="688">
      <c r="A688" s="117"/>
      <c r="B688" s="117"/>
      <c r="C688" s="238"/>
    </row>
    <row r="689">
      <c r="A689" s="117"/>
      <c r="B689" s="117"/>
      <c r="C689" s="238"/>
    </row>
    <row r="690">
      <c r="A690" s="117"/>
      <c r="B690" s="117"/>
      <c r="C690" s="238"/>
    </row>
    <row r="691">
      <c r="A691" s="117"/>
      <c r="B691" s="117"/>
      <c r="C691" s="238"/>
    </row>
    <row r="692">
      <c r="A692" s="117"/>
      <c r="B692" s="117"/>
      <c r="C692" s="238"/>
    </row>
    <row r="693">
      <c r="A693" s="117"/>
      <c r="B693" s="117"/>
      <c r="C693" s="238"/>
    </row>
    <row r="694">
      <c r="A694" s="117"/>
      <c r="B694" s="117"/>
      <c r="C694" s="238"/>
    </row>
    <row r="695">
      <c r="A695" s="117"/>
      <c r="B695" s="117"/>
      <c r="C695" s="238"/>
    </row>
    <row r="696">
      <c r="A696" s="117"/>
      <c r="B696" s="117"/>
      <c r="C696" s="238"/>
    </row>
    <row r="697">
      <c r="A697" s="117"/>
      <c r="B697" s="117"/>
      <c r="C697" s="238"/>
    </row>
    <row r="698">
      <c r="A698" s="117"/>
      <c r="B698" s="117"/>
      <c r="C698" s="238"/>
    </row>
    <row r="699">
      <c r="A699" s="117"/>
      <c r="B699" s="117"/>
      <c r="C699" s="238"/>
    </row>
    <row r="700">
      <c r="A700" s="117"/>
      <c r="B700" s="117"/>
      <c r="C700" s="238"/>
    </row>
    <row r="701">
      <c r="A701" s="117"/>
      <c r="B701" s="117"/>
      <c r="C701" s="238"/>
    </row>
    <row r="702">
      <c r="A702" s="117"/>
      <c r="B702" s="117"/>
      <c r="C702" s="238"/>
    </row>
    <row r="703">
      <c r="A703" s="117"/>
      <c r="B703" s="117"/>
      <c r="C703" s="238"/>
    </row>
    <row r="704">
      <c r="A704" s="117"/>
      <c r="B704" s="117"/>
      <c r="C704" s="238"/>
    </row>
    <row r="705">
      <c r="A705" s="117"/>
      <c r="B705" s="117"/>
      <c r="C705" s="238"/>
    </row>
    <row r="706">
      <c r="A706" s="117"/>
      <c r="B706" s="117"/>
      <c r="C706" s="238"/>
    </row>
    <row r="707">
      <c r="A707" s="117"/>
      <c r="B707" s="117"/>
      <c r="C707" s="238"/>
    </row>
    <row r="708">
      <c r="A708" s="117"/>
      <c r="B708" s="117"/>
      <c r="C708" s="238"/>
    </row>
    <row r="709">
      <c r="A709" s="117"/>
      <c r="B709" s="117"/>
      <c r="C709" s="238"/>
    </row>
    <row r="710">
      <c r="A710" s="117"/>
      <c r="B710" s="117"/>
      <c r="C710" s="238"/>
    </row>
    <row r="711">
      <c r="A711" s="117"/>
      <c r="B711" s="117"/>
      <c r="C711" s="238"/>
    </row>
    <row r="712">
      <c r="A712" s="117"/>
      <c r="B712" s="117"/>
      <c r="C712" s="238"/>
    </row>
    <row r="713">
      <c r="A713" s="117"/>
      <c r="B713" s="117"/>
      <c r="C713" s="238"/>
    </row>
    <row r="714">
      <c r="A714" s="117"/>
      <c r="B714" s="117"/>
      <c r="C714" s="238"/>
    </row>
    <row r="715">
      <c r="A715" s="117"/>
      <c r="B715" s="117"/>
      <c r="C715" s="238"/>
    </row>
    <row r="716">
      <c r="A716" s="117"/>
      <c r="B716" s="117"/>
      <c r="C716" s="238"/>
    </row>
    <row r="717">
      <c r="A717" s="117"/>
      <c r="B717" s="117"/>
      <c r="C717" s="238"/>
    </row>
    <row r="718">
      <c r="A718" s="117"/>
      <c r="B718" s="117"/>
      <c r="C718" s="238"/>
    </row>
    <row r="719">
      <c r="A719" s="117"/>
      <c r="B719" s="117"/>
      <c r="C719" s="238"/>
    </row>
    <row r="720">
      <c r="A720" s="117"/>
      <c r="B720" s="117"/>
      <c r="C720" s="238"/>
    </row>
    <row r="721">
      <c r="A721" s="117"/>
      <c r="B721" s="117"/>
      <c r="C721" s="238"/>
    </row>
    <row r="722">
      <c r="A722" s="117"/>
      <c r="B722" s="117"/>
      <c r="C722" s="238"/>
    </row>
    <row r="723">
      <c r="A723" s="117"/>
      <c r="B723" s="117"/>
      <c r="C723" s="238"/>
    </row>
    <row r="724">
      <c r="A724" s="117"/>
      <c r="B724" s="117"/>
      <c r="C724" s="238"/>
    </row>
    <row r="725">
      <c r="A725" s="117"/>
      <c r="B725" s="117"/>
      <c r="C725" s="238"/>
    </row>
    <row r="726">
      <c r="A726" s="117"/>
      <c r="B726" s="117"/>
      <c r="C726" s="238"/>
    </row>
    <row r="727">
      <c r="A727" s="117"/>
      <c r="B727" s="117"/>
      <c r="C727" s="238"/>
    </row>
    <row r="728">
      <c r="A728" s="117"/>
      <c r="B728" s="117"/>
      <c r="C728" s="238"/>
    </row>
    <row r="729">
      <c r="A729" s="117"/>
      <c r="B729" s="117"/>
      <c r="C729" s="238"/>
    </row>
    <row r="730">
      <c r="A730" s="117"/>
      <c r="B730" s="117"/>
      <c r="C730" s="238"/>
    </row>
    <row r="731">
      <c r="A731" s="117"/>
      <c r="B731" s="117"/>
      <c r="C731" s="238"/>
    </row>
    <row r="732">
      <c r="A732" s="117"/>
      <c r="B732" s="117"/>
      <c r="C732" s="238"/>
    </row>
    <row r="733">
      <c r="A733" s="117"/>
      <c r="B733" s="117"/>
      <c r="C733" s="238"/>
    </row>
    <row r="734">
      <c r="A734" s="117"/>
      <c r="B734" s="117"/>
      <c r="C734" s="238"/>
    </row>
    <row r="735">
      <c r="A735" s="117"/>
      <c r="B735" s="117"/>
      <c r="C735" s="238"/>
    </row>
    <row r="736">
      <c r="A736" s="117"/>
      <c r="B736" s="117"/>
      <c r="C736" s="238"/>
    </row>
    <row r="737">
      <c r="A737" s="117"/>
      <c r="B737" s="117"/>
      <c r="C737" s="238"/>
    </row>
    <row r="738">
      <c r="A738" s="117"/>
      <c r="B738" s="117"/>
      <c r="C738" s="238"/>
    </row>
    <row r="739">
      <c r="A739" s="117"/>
      <c r="B739" s="117"/>
      <c r="C739" s="238"/>
    </row>
    <row r="740">
      <c r="A740" s="117"/>
      <c r="B740" s="117"/>
      <c r="C740" s="238"/>
    </row>
    <row r="741">
      <c r="A741" s="117"/>
      <c r="B741" s="117"/>
      <c r="C741" s="238"/>
    </row>
    <row r="742">
      <c r="A742" s="117"/>
      <c r="B742" s="117"/>
      <c r="C742" s="238"/>
    </row>
    <row r="743">
      <c r="A743" s="117"/>
      <c r="B743" s="117"/>
      <c r="C743" s="238"/>
    </row>
    <row r="744">
      <c r="A744" s="117"/>
      <c r="B744" s="117"/>
      <c r="C744" s="238"/>
    </row>
    <row r="745">
      <c r="A745" s="117"/>
      <c r="B745" s="117"/>
      <c r="C745" s="238"/>
    </row>
    <row r="746">
      <c r="A746" s="117"/>
      <c r="B746" s="117"/>
      <c r="C746" s="238"/>
    </row>
    <row r="747">
      <c r="A747" s="117"/>
      <c r="B747" s="117"/>
      <c r="C747" s="238"/>
    </row>
    <row r="748">
      <c r="A748" s="117"/>
      <c r="B748" s="117"/>
      <c r="C748" s="238"/>
    </row>
    <row r="749">
      <c r="A749" s="117"/>
      <c r="B749" s="117"/>
      <c r="C749" s="238"/>
    </row>
    <row r="750">
      <c r="A750" s="117"/>
      <c r="B750" s="117"/>
      <c r="C750" s="238"/>
    </row>
    <row r="751">
      <c r="A751" s="117"/>
      <c r="B751" s="117"/>
      <c r="C751" s="238"/>
    </row>
    <row r="752">
      <c r="A752" s="117"/>
      <c r="B752" s="117"/>
      <c r="C752" s="238"/>
    </row>
    <row r="753">
      <c r="A753" s="117"/>
      <c r="B753" s="117"/>
      <c r="C753" s="238"/>
    </row>
    <row r="754">
      <c r="A754" s="117"/>
      <c r="B754" s="117"/>
      <c r="C754" s="238"/>
    </row>
    <row r="755">
      <c r="A755" s="117"/>
      <c r="B755" s="117"/>
      <c r="C755" s="238"/>
    </row>
    <row r="756">
      <c r="A756" s="117"/>
      <c r="B756" s="117"/>
      <c r="C756" s="238"/>
    </row>
    <row r="757">
      <c r="A757" s="117"/>
      <c r="B757" s="117"/>
      <c r="C757" s="238"/>
    </row>
    <row r="758">
      <c r="A758" s="117"/>
      <c r="B758" s="117"/>
      <c r="C758" s="238"/>
    </row>
    <row r="759">
      <c r="A759" s="117"/>
      <c r="B759" s="117"/>
      <c r="C759" s="238"/>
    </row>
    <row r="760">
      <c r="A760" s="117"/>
      <c r="B760" s="117"/>
      <c r="C760" s="238"/>
    </row>
    <row r="761">
      <c r="A761" s="117"/>
      <c r="B761" s="117"/>
      <c r="C761" s="238"/>
    </row>
    <row r="762">
      <c r="A762" s="117"/>
      <c r="B762" s="117"/>
      <c r="C762" s="238"/>
    </row>
    <row r="763">
      <c r="A763" s="117"/>
      <c r="B763" s="117"/>
      <c r="C763" s="238"/>
    </row>
    <row r="764">
      <c r="A764" s="117"/>
      <c r="B764" s="117"/>
      <c r="C764" s="238"/>
    </row>
    <row r="765">
      <c r="A765" s="117"/>
      <c r="B765" s="117"/>
      <c r="C765" s="238"/>
    </row>
    <row r="766">
      <c r="A766" s="117"/>
      <c r="B766" s="117"/>
      <c r="C766" s="238"/>
    </row>
    <row r="767">
      <c r="A767" s="117"/>
      <c r="B767" s="117"/>
      <c r="C767" s="238"/>
    </row>
    <row r="768">
      <c r="A768" s="117"/>
      <c r="B768" s="117"/>
      <c r="C768" s="238"/>
    </row>
    <row r="769">
      <c r="A769" s="117"/>
      <c r="B769" s="117"/>
      <c r="C769" s="238"/>
    </row>
    <row r="770">
      <c r="A770" s="117"/>
      <c r="B770" s="117"/>
      <c r="C770" s="238"/>
    </row>
    <row r="771">
      <c r="A771" s="117"/>
      <c r="B771" s="117"/>
      <c r="C771" s="238"/>
    </row>
    <row r="772">
      <c r="A772" s="117"/>
      <c r="B772" s="117"/>
      <c r="C772" s="238"/>
    </row>
    <row r="773">
      <c r="A773" s="117"/>
      <c r="B773" s="117"/>
      <c r="C773" s="238"/>
    </row>
    <row r="774">
      <c r="A774" s="117"/>
      <c r="B774" s="117"/>
      <c r="C774" s="238"/>
    </row>
    <row r="775">
      <c r="A775" s="117"/>
      <c r="B775" s="117"/>
      <c r="C775" s="238"/>
    </row>
    <row r="776">
      <c r="A776" s="117"/>
      <c r="B776" s="117"/>
      <c r="C776" s="238"/>
    </row>
    <row r="777">
      <c r="A777" s="117"/>
      <c r="B777" s="117"/>
      <c r="C777" s="238"/>
    </row>
    <row r="778">
      <c r="A778" s="117"/>
      <c r="B778" s="117"/>
      <c r="C778" s="238"/>
    </row>
    <row r="779">
      <c r="A779" s="117"/>
      <c r="B779" s="117"/>
      <c r="C779" s="238"/>
    </row>
    <row r="780">
      <c r="A780" s="117"/>
      <c r="B780" s="117"/>
      <c r="C780" s="238"/>
    </row>
    <row r="781">
      <c r="A781" s="117"/>
      <c r="B781" s="117"/>
      <c r="C781" s="238"/>
    </row>
    <row r="782">
      <c r="A782" s="117"/>
      <c r="B782" s="117"/>
      <c r="C782" s="238"/>
    </row>
    <row r="783">
      <c r="A783" s="117"/>
      <c r="B783" s="117"/>
      <c r="C783" s="238"/>
    </row>
    <row r="784">
      <c r="A784" s="117"/>
      <c r="B784" s="117"/>
      <c r="C784" s="238"/>
    </row>
    <row r="785">
      <c r="A785" s="117"/>
      <c r="B785" s="117"/>
      <c r="C785" s="238"/>
    </row>
    <row r="786">
      <c r="A786" s="117"/>
      <c r="B786" s="117"/>
      <c r="C786" s="238"/>
    </row>
    <row r="787">
      <c r="A787" s="117"/>
      <c r="B787" s="117"/>
      <c r="C787" s="238"/>
    </row>
    <row r="788">
      <c r="A788" s="117"/>
      <c r="B788" s="117"/>
      <c r="C788" s="238"/>
    </row>
    <row r="789">
      <c r="A789" s="117"/>
      <c r="B789" s="117"/>
      <c r="C789" s="238"/>
    </row>
    <row r="790">
      <c r="A790" s="117"/>
      <c r="B790" s="117"/>
      <c r="C790" s="238"/>
    </row>
    <row r="791">
      <c r="A791" s="117"/>
      <c r="B791" s="117"/>
      <c r="C791" s="238"/>
    </row>
    <row r="792">
      <c r="A792" s="117"/>
      <c r="B792" s="117"/>
      <c r="C792" s="238"/>
    </row>
    <row r="793">
      <c r="A793" s="117"/>
      <c r="B793" s="117"/>
      <c r="C793" s="238"/>
    </row>
    <row r="794">
      <c r="A794" s="117"/>
      <c r="B794" s="117"/>
      <c r="C794" s="238"/>
    </row>
    <row r="795">
      <c r="A795" s="117"/>
      <c r="B795" s="117"/>
      <c r="C795" s="238"/>
    </row>
    <row r="796">
      <c r="A796" s="117"/>
      <c r="B796" s="117"/>
      <c r="C796" s="238"/>
    </row>
    <row r="797">
      <c r="A797" s="117"/>
      <c r="B797" s="117"/>
      <c r="C797" s="238"/>
    </row>
    <row r="798">
      <c r="A798" s="117"/>
      <c r="B798" s="117"/>
      <c r="C798" s="238"/>
    </row>
    <row r="799">
      <c r="A799" s="117"/>
      <c r="B799" s="117"/>
      <c r="C799" s="238"/>
    </row>
    <row r="800">
      <c r="A800" s="117"/>
      <c r="B800" s="117"/>
      <c r="C800" s="238"/>
    </row>
    <row r="801">
      <c r="A801" s="117"/>
      <c r="B801" s="117"/>
      <c r="C801" s="238"/>
    </row>
    <row r="802">
      <c r="A802" s="117"/>
      <c r="B802" s="117"/>
      <c r="C802" s="238"/>
    </row>
    <row r="803">
      <c r="A803" s="117"/>
      <c r="B803" s="117"/>
      <c r="C803" s="238"/>
    </row>
    <row r="804">
      <c r="A804" s="117"/>
      <c r="B804" s="117"/>
      <c r="C804" s="238"/>
    </row>
    <row r="805">
      <c r="A805" s="117"/>
      <c r="B805" s="117"/>
      <c r="C805" s="238"/>
    </row>
    <row r="806">
      <c r="A806" s="117"/>
      <c r="B806" s="117"/>
      <c r="C806" s="238"/>
    </row>
    <row r="807">
      <c r="A807" s="117"/>
      <c r="B807" s="117"/>
      <c r="C807" s="238"/>
    </row>
    <row r="808">
      <c r="A808" s="117"/>
      <c r="B808" s="117"/>
      <c r="C808" s="238"/>
    </row>
    <row r="809">
      <c r="A809" s="117"/>
      <c r="B809" s="117"/>
      <c r="C809" s="238"/>
    </row>
    <row r="810">
      <c r="A810" s="117"/>
      <c r="B810" s="117"/>
      <c r="C810" s="238"/>
    </row>
    <row r="811">
      <c r="A811" s="117"/>
      <c r="B811" s="117"/>
      <c r="C811" s="238"/>
    </row>
    <row r="812">
      <c r="A812" s="117"/>
      <c r="B812" s="117"/>
      <c r="C812" s="238"/>
    </row>
    <row r="813">
      <c r="A813" s="117"/>
      <c r="B813" s="117"/>
      <c r="C813" s="238"/>
    </row>
    <row r="814">
      <c r="A814" s="117"/>
      <c r="B814" s="117"/>
      <c r="C814" s="238"/>
    </row>
    <row r="815">
      <c r="A815" s="117"/>
      <c r="B815" s="117"/>
      <c r="C815" s="238"/>
    </row>
    <row r="816">
      <c r="A816" s="117"/>
      <c r="B816" s="117"/>
      <c r="C816" s="238"/>
    </row>
    <row r="817">
      <c r="A817" s="117"/>
      <c r="B817" s="117"/>
      <c r="C817" s="238"/>
    </row>
    <row r="818">
      <c r="A818" s="117"/>
      <c r="B818" s="117"/>
      <c r="C818" s="238"/>
    </row>
    <row r="819">
      <c r="A819" s="117"/>
      <c r="B819" s="117"/>
      <c r="C819" s="238"/>
    </row>
    <row r="820">
      <c r="A820" s="117"/>
      <c r="B820" s="117"/>
      <c r="C820" s="238"/>
    </row>
    <row r="821">
      <c r="A821" s="117"/>
      <c r="B821" s="117"/>
      <c r="C821" s="238"/>
    </row>
    <row r="822">
      <c r="A822" s="117"/>
      <c r="B822" s="117"/>
      <c r="C822" s="238"/>
    </row>
    <row r="823">
      <c r="A823" s="117"/>
      <c r="B823" s="117"/>
      <c r="C823" s="238"/>
    </row>
    <row r="824">
      <c r="A824" s="117"/>
      <c r="B824" s="117"/>
      <c r="C824" s="238"/>
    </row>
    <row r="825">
      <c r="A825" s="117"/>
      <c r="B825" s="117"/>
      <c r="C825" s="238"/>
    </row>
    <row r="826">
      <c r="A826" s="117"/>
      <c r="B826" s="117"/>
      <c r="C826" s="238"/>
    </row>
    <row r="827">
      <c r="A827" s="117"/>
      <c r="B827" s="117"/>
      <c r="C827" s="238"/>
    </row>
    <row r="828">
      <c r="A828" s="117"/>
      <c r="B828" s="117"/>
      <c r="C828" s="238"/>
    </row>
    <row r="829">
      <c r="A829" s="117"/>
      <c r="B829" s="117"/>
      <c r="C829" s="238"/>
    </row>
    <row r="830">
      <c r="A830" s="117"/>
      <c r="B830" s="117"/>
      <c r="C830" s="238"/>
    </row>
    <row r="831">
      <c r="A831" s="117"/>
      <c r="B831" s="117"/>
      <c r="C831" s="238"/>
    </row>
    <row r="832">
      <c r="A832" s="117"/>
      <c r="B832" s="117"/>
      <c r="C832" s="238"/>
    </row>
    <row r="833">
      <c r="A833" s="117"/>
      <c r="B833" s="117"/>
      <c r="C833" s="238"/>
    </row>
    <row r="834">
      <c r="A834" s="117"/>
      <c r="B834" s="117"/>
      <c r="C834" s="238"/>
    </row>
    <row r="835">
      <c r="A835" s="117"/>
      <c r="B835" s="117"/>
      <c r="C835" s="238"/>
    </row>
    <row r="836">
      <c r="A836" s="117"/>
      <c r="B836" s="117"/>
      <c r="C836" s="238"/>
    </row>
    <row r="837">
      <c r="A837" s="117"/>
      <c r="B837" s="117"/>
      <c r="C837" s="238"/>
    </row>
    <row r="838">
      <c r="A838" s="117"/>
      <c r="B838" s="117"/>
      <c r="C838" s="238"/>
    </row>
    <row r="839">
      <c r="A839" s="117"/>
      <c r="B839" s="117"/>
      <c r="C839" s="238"/>
    </row>
    <row r="840">
      <c r="A840" s="117"/>
      <c r="B840" s="117"/>
      <c r="C840" s="238"/>
    </row>
    <row r="841">
      <c r="A841" s="117"/>
      <c r="B841" s="117"/>
      <c r="C841" s="238"/>
    </row>
    <row r="842">
      <c r="A842" s="117"/>
      <c r="B842" s="117"/>
      <c r="C842" s="238"/>
    </row>
    <row r="843">
      <c r="A843" s="117"/>
      <c r="B843" s="117"/>
      <c r="C843" s="238"/>
    </row>
    <row r="844">
      <c r="A844" s="117"/>
      <c r="B844" s="117"/>
      <c r="C844" s="238"/>
    </row>
    <row r="845">
      <c r="A845" s="117"/>
      <c r="B845" s="117"/>
      <c r="C845" s="238"/>
    </row>
    <row r="846">
      <c r="A846" s="117"/>
      <c r="B846" s="117"/>
      <c r="C846" s="238"/>
    </row>
    <row r="847">
      <c r="A847" s="117"/>
      <c r="B847" s="117"/>
      <c r="C847" s="238"/>
    </row>
    <row r="848">
      <c r="A848" s="117"/>
      <c r="B848" s="117"/>
      <c r="C848" s="238"/>
    </row>
    <row r="849">
      <c r="A849" s="117"/>
      <c r="B849" s="117"/>
      <c r="C849" s="238"/>
    </row>
    <row r="850">
      <c r="A850" s="117"/>
      <c r="B850" s="117"/>
      <c r="C850" s="238"/>
    </row>
    <row r="851">
      <c r="A851" s="117"/>
      <c r="B851" s="117"/>
      <c r="C851" s="238"/>
    </row>
    <row r="852">
      <c r="A852" s="117"/>
      <c r="B852" s="117"/>
      <c r="C852" s="238"/>
    </row>
    <row r="853">
      <c r="A853" s="117"/>
      <c r="B853" s="117"/>
      <c r="C853" s="238"/>
    </row>
    <row r="854">
      <c r="A854" s="117"/>
      <c r="B854" s="117"/>
      <c r="C854" s="238"/>
    </row>
    <row r="855">
      <c r="A855" s="117"/>
      <c r="B855" s="117"/>
      <c r="C855" s="238"/>
    </row>
    <row r="856">
      <c r="A856" s="117"/>
      <c r="B856" s="117"/>
      <c r="C856" s="238"/>
    </row>
    <row r="857">
      <c r="A857" s="117"/>
      <c r="B857" s="117"/>
      <c r="C857" s="238"/>
    </row>
    <row r="858">
      <c r="A858" s="117"/>
      <c r="B858" s="117"/>
      <c r="C858" s="238"/>
    </row>
    <row r="859">
      <c r="A859" s="117"/>
      <c r="B859" s="117"/>
      <c r="C859" s="238"/>
    </row>
    <row r="860">
      <c r="A860" s="117"/>
      <c r="B860" s="117"/>
      <c r="C860" s="238"/>
    </row>
    <row r="861">
      <c r="A861" s="117"/>
      <c r="B861" s="117"/>
      <c r="C861" s="238"/>
    </row>
    <row r="862">
      <c r="A862" s="117"/>
      <c r="B862" s="117"/>
      <c r="C862" s="238"/>
    </row>
    <row r="863">
      <c r="A863" s="117"/>
      <c r="B863" s="117"/>
      <c r="C863" s="238"/>
    </row>
    <row r="864">
      <c r="A864" s="117"/>
      <c r="B864" s="117"/>
      <c r="C864" s="238"/>
    </row>
    <row r="865">
      <c r="A865" s="117"/>
      <c r="B865" s="117"/>
      <c r="C865" s="238"/>
    </row>
    <row r="866">
      <c r="A866" s="117"/>
      <c r="B866" s="117"/>
      <c r="C866" s="238"/>
    </row>
    <row r="867">
      <c r="A867" s="117"/>
      <c r="B867" s="117"/>
      <c r="C867" s="238"/>
    </row>
    <row r="868">
      <c r="A868" s="117"/>
      <c r="B868" s="117"/>
      <c r="C868" s="238"/>
    </row>
    <row r="869">
      <c r="A869" s="117"/>
      <c r="B869" s="117"/>
      <c r="C869" s="238"/>
    </row>
    <row r="870">
      <c r="A870" s="117"/>
      <c r="B870" s="117"/>
      <c r="C870" s="238"/>
    </row>
    <row r="871">
      <c r="A871" s="117"/>
      <c r="B871" s="117"/>
      <c r="C871" s="238"/>
    </row>
    <row r="872">
      <c r="A872" s="117"/>
      <c r="B872" s="117"/>
      <c r="C872" s="238"/>
    </row>
    <row r="873">
      <c r="A873" s="117"/>
      <c r="B873" s="117"/>
      <c r="C873" s="238"/>
    </row>
    <row r="874">
      <c r="A874" s="117"/>
      <c r="B874" s="117"/>
      <c r="C874" s="238"/>
    </row>
    <row r="875">
      <c r="A875" s="117"/>
      <c r="B875" s="117"/>
      <c r="C875" s="238"/>
    </row>
    <row r="876">
      <c r="A876" s="117"/>
      <c r="B876" s="117"/>
      <c r="C876" s="238"/>
    </row>
    <row r="877">
      <c r="A877" s="117"/>
      <c r="B877" s="117"/>
      <c r="C877" s="238"/>
    </row>
    <row r="878">
      <c r="A878" s="117"/>
      <c r="B878" s="117"/>
      <c r="C878" s="238"/>
    </row>
    <row r="879">
      <c r="A879" s="117"/>
      <c r="B879" s="117"/>
      <c r="C879" s="238"/>
    </row>
    <row r="880">
      <c r="A880" s="117"/>
      <c r="B880" s="117"/>
      <c r="C880" s="238"/>
    </row>
    <row r="881">
      <c r="A881" s="117"/>
      <c r="B881" s="117"/>
      <c r="C881" s="238"/>
    </row>
    <row r="882">
      <c r="A882" s="117"/>
      <c r="B882" s="117"/>
      <c r="C882" s="238"/>
    </row>
    <row r="883">
      <c r="A883" s="117"/>
      <c r="B883" s="117"/>
      <c r="C883" s="238"/>
    </row>
    <row r="884">
      <c r="A884" s="117"/>
      <c r="B884" s="117"/>
      <c r="C884" s="238"/>
    </row>
    <row r="885">
      <c r="A885" s="117"/>
      <c r="B885" s="117"/>
      <c r="C885" s="238"/>
    </row>
    <row r="886">
      <c r="A886" s="117"/>
      <c r="B886" s="117"/>
      <c r="C886" s="238"/>
    </row>
    <row r="887">
      <c r="A887" s="117"/>
      <c r="B887" s="117"/>
      <c r="C887" s="238"/>
    </row>
    <row r="888">
      <c r="A888" s="117"/>
      <c r="B888" s="117"/>
      <c r="C888" s="238"/>
    </row>
    <row r="889">
      <c r="A889" s="117"/>
      <c r="B889" s="117"/>
      <c r="C889" s="238"/>
    </row>
    <row r="890">
      <c r="A890" s="117"/>
      <c r="B890" s="117"/>
      <c r="C890" s="238"/>
    </row>
    <row r="891">
      <c r="A891" s="117"/>
      <c r="B891" s="117"/>
      <c r="C891" s="238"/>
    </row>
    <row r="892">
      <c r="A892" s="117"/>
      <c r="B892" s="117"/>
      <c r="C892" s="238"/>
    </row>
    <row r="893">
      <c r="A893" s="117"/>
      <c r="B893" s="117"/>
      <c r="C893" s="238"/>
    </row>
    <row r="894">
      <c r="A894" s="117"/>
      <c r="B894" s="117"/>
      <c r="C894" s="238"/>
    </row>
    <row r="895">
      <c r="A895" s="117"/>
      <c r="B895" s="117"/>
      <c r="C895" s="238"/>
    </row>
    <row r="896">
      <c r="A896" s="117"/>
      <c r="B896" s="117"/>
      <c r="C896" s="238"/>
    </row>
    <row r="897">
      <c r="A897" s="117"/>
      <c r="B897" s="117"/>
      <c r="C897" s="238"/>
    </row>
    <row r="898">
      <c r="A898" s="117"/>
      <c r="B898" s="117"/>
      <c r="C898" s="238"/>
    </row>
    <row r="899">
      <c r="A899" s="117"/>
      <c r="B899" s="117"/>
      <c r="C899" s="238"/>
    </row>
    <row r="900">
      <c r="A900" s="117"/>
      <c r="B900" s="117"/>
      <c r="C900" s="238"/>
    </row>
    <row r="901">
      <c r="A901" s="117"/>
      <c r="B901" s="117"/>
      <c r="C901" s="238"/>
    </row>
    <row r="902">
      <c r="A902" s="117"/>
      <c r="B902" s="117"/>
      <c r="C902" s="238"/>
    </row>
    <row r="903">
      <c r="A903" s="117"/>
      <c r="B903" s="117"/>
      <c r="C903" s="238"/>
    </row>
    <row r="904">
      <c r="A904" s="117"/>
      <c r="B904" s="117"/>
      <c r="C904" s="238"/>
    </row>
    <row r="905">
      <c r="A905" s="117"/>
      <c r="B905" s="117"/>
      <c r="C905" s="238"/>
    </row>
    <row r="906">
      <c r="A906" s="117"/>
      <c r="B906" s="117"/>
      <c r="C906" s="238"/>
    </row>
    <row r="907">
      <c r="A907" s="117"/>
      <c r="B907" s="117"/>
      <c r="C907" s="238"/>
    </row>
    <row r="908">
      <c r="A908" s="117"/>
      <c r="B908" s="117"/>
      <c r="C908" s="238"/>
    </row>
    <row r="909">
      <c r="A909" s="117"/>
      <c r="B909" s="117"/>
      <c r="C909" s="238"/>
    </row>
    <row r="910">
      <c r="A910" s="117"/>
      <c r="B910" s="117"/>
      <c r="C910" s="238"/>
    </row>
    <row r="911">
      <c r="A911" s="117"/>
      <c r="B911" s="117"/>
      <c r="C911" s="238"/>
    </row>
    <row r="912">
      <c r="A912" s="117"/>
      <c r="B912" s="117"/>
      <c r="C912" s="238"/>
    </row>
    <row r="913">
      <c r="A913" s="117"/>
      <c r="B913" s="117"/>
      <c r="C913" s="238"/>
    </row>
    <row r="914">
      <c r="A914" s="117"/>
      <c r="B914" s="117"/>
      <c r="C914" s="238"/>
    </row>
    <row r="915">
      <c r="A915" s="117"/>
      <c r="B915" s="117"/>
      <c r="C915" s="238"/>
    </row>
    <row r="916">
      <c r="A916" s="117"/>
      <c r="B916" s="117"/>
      <c r="C916" s="238"/>
    </row>
    <row r="917">
      <c r="A917" s="117"/>
      <c r="B917" s="117"/>
      <c r="C917" s="238"/>
    </row>
    <row r="918">
      <c r="A918" s="117"/>
      <c r="B918" s="117"/>
      <c r="C918" s="238"/>
    </row>
    <row r="919">
      <c r="A919" s="117"/>
      <c r="B919" s="117"/>
      <c r="C919" s="238"/>
    </row>
    <row r="920">
      <c r="A920" s="117"/>
      <c r="B920" s="117"/>
      <c r="C920" s="238"/>
    </row>
    <row r="921">
      <c r="A921" s="117"/>
      <c r="B921" s="117"/>
      <c r="C921" s="238"/>
    </row>
    <row r="922">
      <c r="A922" s="117"/>
      <c r="B922" s="117"/>
      <c r="C922" s="238"/>
    </row>
    <row r="923">
      <c r="A923" s="117"/>
      <c r="B923" s="117"/>
      <c r="C923" s="238"/>
    </row>
    <row r="924">
      <c r="A924" s="117"/>
      <c r="B924" s="117"/>
      <c r="C924" s="238"/>
    </row>
    <row r="925">
      <c r="A925" s="117"/>
      <c r="B925" s="117"/>
      <c r="C925" s="238"/>
    </row>
    <row r="926">
      <c r="A926" s="117"/>
      <c r="B926" s="117"/>
      <c r="C926" s="238"/>
    </row>
    <row r="927">
      <c r="A927" s="117"/>
      <c r="B927" s="117"/>
      <c r="C927" s="238"/>
    </row>
    <row r="928">
      <c r="A928" s="117"/>
      <c r="B928" s="117"/>
      <c r="C928" s="238"/>
    </row>
    <row r="929">
      <c r="A929" s="117"/>
      <c r="B929" s="117"/>
      <c r="C929" s="238"/>
    </row>
    <row r="930">
      <c r="A930" s="117"/>
      <c r="B930" s="117"/>
      <c r="C930" s="238"/>
    </row>
    <row r="931">
      <c r="A931" s="117"/>
      <c r="B931" s="117"/>
      <c r="C931" s="238"/>
    </row>
    <row r="932">
      <c r="A932" s="117"/>
      <c r="B932" s="117"/>
      <c r="C932" s="238"/>
    </row>
    <row r="933">
      <c r="A933" s="117"/>
      <c r="B933" s="117"/>
      <c r="C933" s="238"/>
    </row>
    <row r="934">
      <c r="A934" s="117"/>
      <c r="B934" s="117"/>
      <c r="C934" s="238"/>
    </row>
    <row r="935">
      <c r="A935" s="117"/>
      <c r="B935" s="117"/>
      <c r="C935" s="238"/>
    </row>
    <row r="936">
      <c r="A936" s="117"/>
      <c r="B936" s="117"/>
      <c r="C936" s="238"/>
    </row>
    <row r="937">
      <c r="A937" s="117"/>
      <c r="B937" s="117"/>
      <c r="C937" s="238"/>
    </row>
    <row r="938">
      <c r="A938" s="117"/>
      <c r="B938" s="117"/>
      <c r="C938" s="238"/>
    </row>
    <row r="939">
      <c r="A939" s="117"/>
      <c r="B939" s="117"/>
      <c r="C939" s="238"/>
    </row>
    <row r="940">
      <c r="A940" s="117"/>
      <c r="B940" s="117"/>
      <c r="C940" s="238"/>
    </row>
    <row r="941">
      <c r="A941" s="117"/>
      <c r="B941" s="117"/>
      <c r="C941" s="238"/>
    </row>
    <row r="942">
      <c r="A942" s="117"/>
      <c r="B942" s="117"/>
      <c r="C942" s="238"/>
    </row>
    <row r="943">
      <c r="A943" s="117"/>
      <c r="B943" s="117"/>
      <c r="C943" s="238"/>
    </row>
    <row r="944">
      <c r="A944" s="117"/>
      <c r="B944" s="117"/>
      <c r="C944" s="238"/>
    </row>
    <row r="945">
      <c r="A945" s="117"/>
      <c r="B945" s="117"/>
      <c r="C945" s="238"/>
    </row>
    <row r="946">
      <c r="A946" s="117"/>
      <c r="B946" s="117"/>
      <c r="C946" s="238"/>
    </row>
    <row r="947">
      <c r="A947" s="117"/>
      <c r="B947" s="117"/>
      <c r="C947" s="238"/>
    </row>
    <row r="948">
      <c r="A948" s="117"/>
      <c r="B948" s="117"/>
      <c r="C948" s="238"/>
    </row>
    <row r="949">
      <c r="A949" s="117"/>
      <c r="B949" s="117"/>
      <c r="C949" s="238"/>
    </row>
    <row r="950">
      <c r="A950" s="117"/>
      <c r="B950" s="117"/>
      <c r="C950" s="238"/>
    </row>
    <row r="951">
      <c r="A951" s="117"/>
      <c r="B951" s="117"/>
      <c r="C951" s="238"/>
    </row>
    <row r="952">
      <c r="A952" s="117"/>
      <c r="B952" s="117"/>
      <c r="C952" s="238"/>
    </row>
    <row r="953">
      <c r="A953" s="117"/>
      <c r="B953" s="117"/>
      <c r="C953" s="238"/>
    </row>
    <row r="954">
      <c r="A954" s="117"/>
      <c r="B954" s="117"/>
      <c r="C954" s="238"/>
    </row>
    <row r="955">
      <c r="A955" s="117"/>
      <c r="B955" s="117"/>
      <c r="C955" s="238"/>
    </row>
    <row r="956">
      <c r="A956" s="117"/>
      <c r="B956" s="117"/>
      <c r="C956" s="238"/>
    </row>
    <row r="957">
      <c r="A957" s="117"/>
      <c r="B957" s="117"/>
      <c r="C957" s="238"/>
    </row>
    <row r="958">
      <c r="A958" s="117"/>
      <c r="B958" s="117"/>
      <c r="C958" s="238"/>
    </row>
    <row r="959">
      <c r="A959" s="117"/>
      <c r="B959" s="117"/>
      <c r="C959" s="238"/>
    </row>
    <row r="960">
      <c r="A960" s="117"/>
      <c r="B960" s="117"/>
      <c r="C960" s="238"/>
    </row>
    <row r="961">
      <c r="A961" s="117"/>
      <c r="B961" s="117"/>
      <c r="C961" s="238"/>
    </row>
    <row r="962">
      <c r="A962" s="117"/>
      <c r="B962" s="117"/>
      <c r="C962" s="238"/>
    </row>
    <row r="963">
      <c r="A963" s="117"/>
      <c r="B963" s="117"/>
      <c r="C963" s="238"/>
    </row>
    <row r="964">
      <c r="A964" s="117"/>
      <c r="B964" s="117"/>
      <c r="C964" s="238"/>
    </row>
    <row r="965">
      <c r="A965" s="117"/>
      <c r="B965" s="117"/>
      <c r="C965" s="238"/>
    </row>
    <row r="966">
      <c r="A966" s="117"/>
      <c r="B966" s="117"/>
      <c r="C966" s="238"/>
    </row>
    <row r="967">
      <c r="A967" s="117"/>
      <c r="B967" s="117"/>
      <c r="C967" s="238"/>
    </row>
    <row r="968">
      <c r="A968" s="117"/>
      <c r="B968" s="117"/>
      <c r="C968" s="238"/>
    </row>
    <row r="969">
      <c r="A969" s="117"/>
      <c r="B969" s="117"/>
      <c r="C969" s="238"/>
    </row>
    <row r="970">
      <c r="A970" s="117"/>
      <c r="B970" s="117"/>
      <c r="C970" s="238"/>
    </row>
    <row r="971">
      <c r="A971" s="117"/>
      <c r="B971" s="117"/>
      <c r="C971" s="238"/>
    </row>
    <row r="972">
      <c r="A972" s="117"/>
      <c r="B972" s="117"/>
      <c r="C972" s="238"/>
    </row>
    <row r="973">
      <c r="A973" s="117"/>
      <c r="B973" s="117"/>
      <c r="C973" s="238"/>
    </row>
    <row r="974">
      <c r="A974" s="117"/>
      <c r="B974" s="117"/>
      <c r="C974" s="238"/>
    </row>
    <row r="975">
      <c r="A975" s="117"/>
      <c r="B975" s="117"/>
      <c r="C975" s="238"/>
    </row>
    <row r="976">
      <c r="A976" s="117"/>
      <c r="B976" s="117"/>
      <c r="C976" s="238"/>
    </row>
    <row r="977">
      <c r="A977" s="117"/>
      <c r="B977" s="117"/>
      <c r="C977" s="238"/>
    </row>
    <row r="978">
      <c r="A978" s="117"/>
      <c r="B978" s="117"/>
      <c r="C978" s="238"/>
    </row>
    <row r="979">
      <c r="A979" s="117"/>
      <c r="B979" s="117"/>
      <c r="C979" s="238"/>
    </row>
    <row r="980">
      <c r="A980" s="117"/>
      <c r="B980" s="117"/>
      <c r="C980" s="238"/>
    </row>
    <row r="981">
      <c r="A981" s="117"/>
      <c r="B981" s="117"/>
      <c r="C981" s="238"/>
    </row>
    <row r="982">
      <c r="A982" s="117"/>
      <c r="B982" s="117"/>
      <c r="C982" s="238"/>
    </row>
    <row r="983">
      <c r="A983" s="117"/>
      <c r="B983" s="117"/>
      <c r="C983" s="238"/>
    </row>
    <row r="984">
      <c r="A984" s="117"/>
      <c r="B984" s="117"/>
      <c r="C984" s="238"/>
    </row>
    <row r="985">
      <c r="A985" s="117"/>
      <c r="B985" s="117"/>
      <c r="C985" s="238"/>
    </row>
    <row r="986">
      <c r="A986" s="117"/>
      <c r="B986" s="117"/>
      <c r="C986" s="238"/>
    </row>
    <row r="987">
      <c r="A987" s="117"/>
      <c r="B987" s="117"/>
      <c r="C987" s="238"/>
    </row>
    <row r="988">
      <c r="A988" s="117"/>
      <c r="B988" s="117"/>
      <c r="C988" s="238"/>
    </row>
    <row r="989">
      <c r="A989" s="117"/>
      <c r="B989" s="117"/>
      <c r="C989" s="238"/>
    </row>
    <row r="990">
      <c r="A990" s="117"/>
      <c r="B990" s="117"/>
      <c r="C990" s="238"/>
    </row>
    <row r="991">
      <c r="A991" s="117"/>
      <c r="B991" s="117"/>
      <c r="C991" s="238"/>
    </row>
    <row r="992">
      <c r="A992" s="117"/>
      <c r="B992" s="117"/>
      <c r="C992" s="238"/>
    </row>
    <row r="993">
      <c r="A993" s="117"/>
      <c r="B993" s="117"/>
      <c r="C993" s="238"/>
    </row>
    <row r="994">
      <c r="A994" s="117"/>
      <c r="B994" s="117"/>
      <c r="C994" s="238"/>
    </row>
    <row r="995">
      <c r="A995" s="117"/>
      <c r="B995" s="117"/>
      <c r="C995" s="238"/>
    </row>
    <row r="996">
      <c r="A996" s="117"/>
      <c r="B996" s="117"/>
      <c r="C996" s="238"/>
    </row>
    <row r="997">
      <c r="A997" s="117"/>
      <c r="B997" s="117"/>
      <c r="C997" s="238"/>
    </row>
    <row r="998">
      <c r="A998" s="117"/>
      <c r="B998" s="117"/>
      <c r="C998" s="238"/>
    </row>
    <row r="999">
      <c r="A999" s="117"/>
      <c r="B999" s="117"/>
      <c r="C999" s="238"/>
    </row>
    <row r="1000">
      <c r="A1000" s="117"/>
      <c r="B1000" s="117"/>
      <c r="C1000" s="238"/>
    </row>
  </sheetData>
  <hyperlinks>
    <hyperlink r:id="rId1" ref="B10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88"/>
    <col customWidth="1" min="4" max="4" width="21.38"/>
    <col customWidth="1" min="5" max="9" width="13.88"/>
    <col customWidth="1" min="10" max="10" width="27.63"/>
    <col customWidth="1" min="11" max="13" width="13.88"/>
    <col customWidth="1" min="14" max="14" width="3.88"/>
  </cols>
  <sheetData>
    <row r="1">
      <c r="A1" s="239" t="s">
        <v>37</v>
      </c>
      <c r="B1" s="239" t="s">
        <v>642</v>
      </c>
      <c r="C1" s="239" t="s">
        <v>643</v>
      </c>
      <c r="D1" s="239" t="s">
        <v>55</v>
      </c>
      <c r="E1" s="239" t="s">
        <v>567</v>
      </c>
      <c r="F1" s="239" t="s">
        <v>134</v>
      </c>
      <c r="G1" s="239" t="s">
        <v>644</v>
      </c>
      <c r="H1" s="240" t="s">
        <v>645</v>
      </c>
      <c r="I1" s="239" t="s">
        <v>646</v>
      </c>
      <c r="J1" s="239" t="s">
        <v>44</v>
      </c>
      <c r="K1" s="239" t="s">
        <v>647</v>
      </c>
      <c r="L1" s="239" t="s">
        <v>648</v>
      </c>
      <c r="M1" s="239" t="s">
        <v>566</v>
      </c>
      <c r="N1" s="241" t="s">
        <v>649</v>
      </c>
      <c r="O1" s="242" t="s">
        <v>650</v>
      </c>
      <c r="P1" s="241" t="s">
        <v>651</v>
      </c>
      <c r="Q1" s="241" t="s">
        <v>652</v>
      </c>
      <c r="R1" s="242" t="s">
        <v>653</v>
      </c>
      <c r="S1" s="243"/>
      <c r="T1" s="244" t="s">
        <v>654</v>
      </c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</row>
    <row r="2">
      <c r="A2" s="245" t="s">
        <v>655</v>
      </c>
      <c r="B2" s="245" t="s">
        <v>656</v>
      </c>
      <c r="C2" s="245" t="s">
        <v>657</v>
      </c>
      <c r="D2" s="245" t="s">
        <v>658</v>
      </c>
      <c r="E2" s="245" t="s">
        <v>659</v>
      </c>
      <c r="F2" s="245" t="s">
        <v>660</v>
      </c>
      <c r="G2" s="245" t="s">
        <v>661</v>
      </c>
      <c r="H2" s="246">
        <v>35.0</v>
      </c>
      <c r="I2" s="245" t="s">
        <v>662</v>
      </c>
      <c r="J2" s="245" t="s">
        <v>663</v>
      </c>
      <c r="K2" s="245"/>
      <c r="L2" s="245" t="s">
        <v>258</v>
      </c>
      <c r="M2" s="245" t="s">
        <v>665</v>
      </c>
      <c r="N2" s="245" t="s">
        <v>666</v>
      </c>
      <c r="O2" s="244"/>
      <c r="P2" s="247"/>
      <c r="Q2" s="247" t="s">
        <v>668</v>
      </c>
      <c r="R2" s="244">
        <v>7.0</v>
      </c>
      <c r="S2" s="244"/>
      <c r="T2" s="244" t="s">
        <v>669</v>
      </c>
      <c r="U2" s="244" t="s">
        <v>55</v>
      </c>
      <c r="V2" s="244" t="s">
        <v>653</v>
      </c>
      <c r="W2" s="244" t="s">
        <v>670</v>
      </c>
      <c r="X2" s="244" t="s">
        <v>671</v>
      </c>
      <c r="Y2" s="244" t="s">
        <v>660</v>
      </c>
      <c r="Z2" s="244" t="s">
        <v>673</v>
      </c>
      <c r="AA2" s="244" t="s">
        <v>674</v>
      </c>
      <c r="AB2" s="244" t="s">
        <v>675</v>
      </c>
      <c r="AC2" s="244" t="s">
        <v>676</v>
      </c>
      <c r="AD2" s="244" t="s">
        <v>677</v>
      </c>
      <c r="AE2" s="244" t="s">
        <v>678</v>
      </c>
      <c r="AF2" s="244"/>
    </row>
    <row r="3">
      <c r="A3" s="245" t="s">
        <v>655</v>
      </c>
      <c r="B3" s="245" t="s">
        <v>656</v>
      </c>
      <c r="C3" s="245" t="s">
        <v>657</v>
      </c>
      <c r="D3" s="245" t="s">
        <v>679</v>
      </c>
      <c r="E3" s="245" t="s">
        <v>680</v>
      </c>
      <c r="F3" s="245" t="s">
        <v>671</v>
      </c>
      <c r="G3" s="245" t="s">
        <v>681</v>
      </c>
      <c r="H3" s="246"/>
      <c r="I3" s="245"/>
      <c r="J3" s="248"/>
      <c r="K3" s="248"/>
      <c r="L3" s="245" t="s">
        <v>258</v>
      </c>
      <c r="M3" s="245" t="s">
        <v>682</v>
      </c>
      <c r="N3" s="245" t="s">
        <v>683</v>
      </c>
      <c r="O3" s="249"/>
      <c r="P3" s="245"/>
      <c r="Q3" s="245" t="s">
        <v>668</v>
      </c>
      <c r="R3" s="246">
        <v>19.0</v>
      </c>
      <c r="S3" s="246"/>
      <c r="T3" s="246">
        <v>1.0</v>
      </c>
      <c r="U3" s="249" t="s">
        <v>658</v>
      </c>
      <c r="V3" s="246">
        <v>68.0</v>
      </c>
      <c r="W3" s="246">
        <v>5.0</v>
      </c>
      <c r="X3" s="246">
        <v>4.0</v>
      </c>
      <c r="Y3" s="246">
        <v>1.0</v>
      </c>
      <c r="Z3" s="246">
        <v>35.0</v>
      </c>
      <c r="AA3" s="246">
        <v>0.0</v>
      </c>
      <c r="AB3" s="246">
        <v>0.0</v>
      </c>
      <c r="AC3" s="246">
        <v>0.0</v>
      </c>
      <c r="AD3" s="246">
        <v>80.0</v>
      </c>
      <c r="AE3" s="246">
        <v>0.0</v>
      </c>
      <c r="AF3" s="246"/>
    </row>
    <row r="4">
      <c r="A4" s="245" t="s">
        <v>655</v>
      </c>
      <c r="B4" s="245" t="s">
        <v>656</v>
      </c>
      <c r="C4" s="245" t="s">
        <v>657</v>
      </c>
      <c r="D4" s="245" t="s">
        <v>576</v>
      </c>
      <c r="E4" s="245" t="s">
        <v>684</v>
      </c>
      <c r="F4" s="245" t="s">
        <v>685</v>
      </c>
      <c r="G4" s="245"/>
      <c r="H4" s="246"/>
      <c r="I4" s="248"/>
      <c r="J4" s="245" t="s">
        <v>686</v>
      </c>
      <c r="K4" s="248"/>
      <c r="L4" s="248"/>
      <c r="M4" s="245" t="s">
        <v>687</v>
      </c>
      <c r="N4" s="245"/>
      <c r="O4" s="249"/>
      <c r="P4" s="245"/>
      <c r="Q4" s="245" t="s">
        <v>688</v>
      </c>
      <c r="R4" s="246"/>
      <c r="S4" s="246"/>
      <c r="T4" s="246">
        <v>2.0</v>
      </c>
      <c r="U4" s="249" t="s">
        <v>679</v>
      </c>
      <c r="V4" s="246">
        <v>59.0</v>
      </c>
      <c r="W4" s="246">
        <v>5.0</v>
      </c>
      <c r="X4" s="246">
        <v>3.0</v>
      </c>
      <c r="Y4" s="246">
        <v>2.0</v>
      </c>
      <c r="Z4" s="246">
        <v>157.0</v>
      </c>
      <c r="AA4" s="246">
        <v>0.0</v>
      </c>
      <c r="AB4" s="246">
        <v>0.0</v>
      </c>
      <c r="AC4" s="246">
        <v>0.0</v>
      </c>
      <c r="AD4" s="246">
        <v>60.0</v>
      </c>
      <c r="AE4" s="246">
        <v>0.0</v>
      </c>
      <c r="AF4" s="246"/>
    </row>
    <row r="5">
      <c r="A5" s="245" t="s">
        <v>655</v>
      </c>
      <c r="B5" s="245" t="s">
        <v>656</v>
      </c>
      <c r="C5" s="245" t="s">
        <v>657</v>
      </c>
      <c r="D5" s="245" t="s">
        <v>578</v>
      </c>
      <c r="E5" s="245" t="s">
        <v>689</v>
      </c>
      <c r="F5" s="245" t="s">
        <v>690</v>
      </c>
      <c r="G5" s="245"/>
      <c r="H5" s="246"/>
      <c r="I5" s="248"/>
      <c r="J5" s="248"/>
      <c r="K5" s="248"/>
      <c r="L5" s="248"/>
      <c r="M5" s="245" t="s">
        <v>691</v>
      </c>
      <c r="N5" s="245" t="s">
        <v>692</v>
      </c>
      <c r="O5" s="249"/>
      <c r="P5" s="245"/>
      <c r="Q5" s="245" t="s">
        <v>693</v>
      </c>
      <c r="R5" s="246">
        <v>-5.0</v>
      </c>
      <c r="S5" s="246"/>
      <c r="T5" s="246">
        <v>3.0</v>
      </c>
      <c r="U5" s="249" t="s">
        <v>200</v>
      </c>
      <c r="V5" s="246">
        <v>21.0</v>
      </c>
      <c r="W5" s="246">
        <v>6.0</v>
      </c>
      <c r="X5" s="246">
        <v>2.0</v>
      </c>
      <c r="Y5" s="246">
        <v>3.0</v>
      </c>
      <c r="Z5" s="246">
        <v>180.0</v>
      </c>
      <c r="AA5" s="246">
        <v>1.0</v>
      </c>
      <c r="AB5" s="246">
        <v>0.0</v>
      </c>
      <c r="AC5" s="246">
        <v>0.0</v>
      </c>
      <c r="AD5" s="246">
        <v>33.0</v>
      </c>
      <c r="AE5" s="246">
        <v>0.0</v>
      </c>
      <c r="AF5" s="246"/>
    </row>
    <row r="6">
      <c r="A6" s="245" t="s">
        <v>655</v>
      </c>
      <c r="B6" s="245" t="s">
        <v>656</v>
      </c>
      <c r="C6" s="245" t="s">
        <v>657</v>
      </c>
      <c r="D6" s="245" t="s">
        <v>200</v>
      </c>
      <c r="E6" s="245" t="s">
        <v>694</v>
      </c>
      <c r="F6" s="245" t="s">
        <v>674</v>
      </c>
      <c r="G6" s="248"/>
      <c r="I6" s="248"/>
      <c r="J6" s="248"/>
      <c r="K6" s="248"/>
      <c r="L6" s="245"/>
      <c r="M6" s="245" t="s">
        <v>695</v>
      </c>
      <c r="N6" s="245"/>
      <c r="O6" s="249"/>
      <c r="P6" s="245"/>
      <c r="Q6" s="245" t="s">
        <v>668</v>
      </c>
      <c r="R6" s="246">
        <v>-15.0</v>
      </c>
      <c r="S6" s="246"/>
      <c r="T6" s="246">
        <v>4.0</v>
      </c>
      <c r="U6" s="249" t="s">
        <v>576</v>
      </c>
      <c r="V6" s="246">
        <v>12.0</v>
      </c>
      <c r="W6" s="246">
        <v>5.0</v>
      </c>
      <c r="X6" s="246">
        <v>2.0</v>
      </c>
      <c r="Y6" s="246">
        <v>2.0</v>
      </c>
      <c r="Z6" s="246">
        <v>44.0</v>
      </c>
      <c r="AA6" s="246">
        <v>1.0</v>
      </c>
      <c r="AB6" s="246">
        <v>0.0</v>
      </c>
      <c r="AC6" s="246">
        <v>0.0</v>
      </c>
      <c r="AD6" s="246">
        <v>40.0</v>
      </c>
      <c r="AE6" s="246">
        <v>0.0</v>
      </c>
      <c r="AF6" s="246"/>
    </row>
    <row r="7">
      <c r="A7" s="245" t="s">
        <v>655</v>
      </c>
      <c r="B7" s="245" t="s">
        <v>656</v>
      </c>
      <c r="C7" s="245" t="s">
        <v>657</v>
      </c>
      <c r="D7" s="245" t="s">
        <v>139</v>
      </c>
      <c r="E7" s="245" t="s">
        <v>696</v>
      </c>
      <c r="F7" s="245" t="s">
        <v>671</v>
      </c>
      <c r="G7" s="245" t="s">
        <v>697</v>
      </c>
      <c r="I7" s="248"/>
      <c r="J7" s="248"/>
      <c r="K7" s="248"/>
      <c r="L7" s="248"/>
      <c r="M7" s="245" t="s">
        <v>698</v>
      </c>
      <c r="N7" s="248"/>
      <c r="P7" s="248"/>
      <c r="Q7" s="245" t="s">
        <v>693</v>
      </c>
      <c r="R7" s="246">
        <v>8.0</v>
      </c>
      <c r="T7" s="246">
        <v>5.0</v>
      </c>
      <c r="U7" s="249" t="s">
        <v>139</v>
      </c>
      <c r="V7" s="246">
        <v>8.0</v>
      </c>
      <c r="W7" s="246">
        <v>1.0</v>
      </c>
      <c r="X7" s="246">
        <v>1.0</v>
      </c>
      <c r="Y7" s="246">
        <v>0.0</v>
      </c>
      <c r="Z7" s="246">
        <v>0.0</v>
      </c>
      <c r="AA7" s="246">
        <v>0.0</v>
      </c>
      <c r="AB7" s="246">
        <v>0.0</v>
      </c>
      <c r="AC7" s="246">
        <v>0.0</v>
      </c>
      <c r="AD7" s="246">
        <v>100.0</v>
      </c>
      <c r="AE7" s="246">
        <v>0.0</v>
      </c>
      <c r="AF7" s="246"/>
    </row>
    <row r="8">
      <c r="A8" s="245" t="s">
        <v>700</v>
      </c>
      <c r="B8" s="245" t="s">
        <v>701</v>
      </c>
      <c r="C8" s="245" t="s">
        <v>657</v>
      </c>
      <c r="D8" s="245" t="s">
        <v>658</v>
      </c>
      <c r="E8" s="245" t="s">
        <v>659</v>
      </c>
      <c r="F8" s="245" t="s">
        <v>671</v>
      </c>
      <c r="G8" s="245" t="s">
        <v>702</v>
      </c>
      <c r="I8" s="248"/>
      <c r="J8" s="248"/>
      <c r="K8" s="248"/>
      <c r="L8" s="245" t="s">
        <v>258</v>
      </c>
      <c r="M8" s="245" t="s">
        <v>665</v>
      </c>
      <c r="N8" s="245" t="s">
        <v>703</v>
      </c>
      <c r="P8" s="248"/>
      <c r="Q8" s="245" t="s">
        <v>668</v>
      </c>
      <c r="R8" s="246">
        <v>17.0</v>
      </c>
      <c r="T8" s="246">
        <v>6.0</v>
      </c>
      <c r="U8" s="249" t="s">
        <v>704</v>
      </c>
      <c r="V8" s="246">
        <v>5.0</v>
      </c>
      <c r="W8" s="246">
        <v>2.0</v>
      </c>
      <c r="X8" s="246">
        <v>1.0</v>
      </c>
      <c r="Y8" s="246">
        <v>0.0</v>
      </c>
      <c r="Z8" s="246">
        <v>0.0</v>
      </c>
      <c r="AA8" s="246">
        <v>0.0</v>
      </c>
      <c r="AB8" s="246">
        <v>0.0</v>
      </c>
      <c r="AC8" s="246">
        <v>0.0</v>
      </c>
      <c r="AD8" s="246">
        <v>50.0</v>
      </c>
      <c r="AE8" s="246">
        <v>0.0</v>
      </c>
    </row>
    <row r="9">
      <c r="A9" s="245" t="s">
        <v>700</v>
      </c>
      <c r="B9" s="245" t="s">
        <v>701</v>
      </c>
      <c r="C9" s="245" t="s">
        <v>657</v>
      </c>
      <c r="D9" s="245" t="s">
        <v>679</v>
      </c>
      <c r="E9" s="245" t="s">
        <v>680</v>
      </c>
      <c r="F9" s="245" t="s">
        <v>671</v>
      </c>
      <c r="G9" s="245" t="s">
        <v>705</v>
      </c>
      <c r="I9" s="248"/>
      <c r="J9" s="248"/>
      <c r="K9" s="248"/>
      <c r="L9" s="245" t="s">
        <v>258</v>
      </c>
      <c r="M9" s="245" t="s">
        <v>682</v>
      </c>
      <c r="N9" s="245" t="s">
        <v>706</v>
      </c>
      <c r="P9" s="248"/>
      <c r="Q9" s="245" t="s">
        <v>668</v>
      </c>
      <c r="R9" s="246">
        <v>19.0</v>
      </c>
      <c r="T9" s="246">
        <v>7.0</v>
      </c>
      <c r="U9" s="249" t="s">
        <v>578</v>
      </c>
      <c r="V9" s="246">
        <v>-9.0</v>
      </c>
      <c r="W9" s="246">
        <v>6.0</v>
      </c>
      <c r="X9" s="246">
        <v>2.0</v>
      </c>
      <c r="Y9" s="246">
        <v>2.0</v>
      </c>
      <c r="Z9" s="246">
        <v>78.0</v>
      </c>
      <c r="AA9" s="246">
        <v>1.0</v>
      </c>
      <c r="AB9" s="246">
        <v>0.0</v>
      </c>
      <c r="AC9" s="246">
        <v>3.0</v>
      </c>
      <c r="AD9" s="246">
        <v>33.0</v>
      </c>
      <c r="AE9" s="246">
        <v>0.0</v>
      </c>
    </row>
    <row r="10">
      <c r="A10" s="245" t="s">
        <v>700</v>
      </c>
      <c r="B10" s="245" t="s">
        <v>701</v>
      </c>
      <c r="C10" s="245" t="s">
        <v>657</v>
      </c>
      <c r="D10" s="245" t="s">
        <v>576</v>
      </c>
      <c r="E10" s="245" t="s">
        <v>684</v>
      </c>
      <c r="F10" s="245" t="s">
        <v>671</v>
      </c>
      <c r="G10" s="245" t="s">
        <v>707</v>
      </c>
      <c r="I10" s="248"/>
      <c r="J10" s="248"/>
      <c r="K10" s="248"/>
      <c r="L10" s="248"/>
      <c r="M10" s="245" t="s">
        <v>687</v>
      </c>
      <c r="N10" s="245" t="s">
        <v>708</v>
      </c>
      <c r="P10" s="248"/>
      <c r="Q10" s="245" t="s">
        <v>688</v>
      </c>
      <c r="R10" s="246">
        <v>15.0</v>
      </c>
    </row>
    <row r="11">
      <c r="A11" s="245" t="s">
        <v>700</v>
      </c>
      <c r="B11" s="245" t="s">
        <v>701</v>
      </c>
      <c r="C11" s="245" t="s">
        <v>657</v>
      </c>
      <c r="D11" s="245" t="s">
        <v>578</v>
      </c>
      <c r="E11" s="245" t="s">
        <v>689</v>
      </c>
      <c r="F11" s="245" t="s">
        <v>671</v>
      </c>
      <c r="G11" s="245" t="s">
        <v>709</v>
      </c>
      <c r="I11" s="248"/>
      <c r="J11" s="248"/>
      <c r="K11" s="248"/>
      <c r="L11" s="245" t="s">
        <v>258</v>
      </c>
      <c r="M11" s="245" t="s">
        <v>691</v>
      </c>
      <c r="N11" s="245" t="s">
        <v>710</v>
      </c>
      <c r="O11" s="246">
        <v>86.0</v>
      </c>
      <c r="P11" s="245" t="s">
        <v>711</v>
      </c>
      <c r="Q11" s="245" t="s">
        <v>693</v>
      </c>
      <c r="R11" s="246">
        <v>7.0</v>
      </c>
    </row>
    <row r="12">
      <c r="A12" s="245" t="s">
        <v>700</v>
      </c>
      <c r="B12" s="245" t="s">
        <v>701</v>
      </c>
      <c r="C12" s="245" t="s">
        <v>657</v>
      </c>
      <c r="D12" s="245" t="s">
        <v>200</v>
      </c>
      <c r="E12" s="245" t="s">
        <v>694</v>
      </c>
      <c r="F12" s="245" t="s">
        <v>660</v>
      </c>
      <c r="G12" s="245" t="s">
        <v>712</v>
      </c>
      <c r="H12" s="246">
        <v>39.0</v>
      </c>
      <c r="I12" s="245" t="s">
        <v>711</v>
      </c>
      <c r="J12" s="245" t="s">
        <v>713</v>
      </c>
      <c r="K12" s="248"/>
      <c r="L12" s="248"/>
      <c r="M12" s="245" t="s">
        <v>695</v>
      </c>
      <c r="N12" s="245" t="s">
        <v>714</v>
      </c>
      <c r="P12" s="248"/>
      <c r="Q12" s="245" t="s">
        <v>668</v>
      </c>
      <c r="R12" s="246">
        <v>0.0</v>
      </c>
    </row>
    <row r="13">
      <c r="A13" s="245" t="s">
        <v>715</v>
      </c>
      <c r="B13" s="245" t="s">
        <v>716</v>
      </c>
      <c r="C13" s="245" t="s">
        <v>657</v>
      </c>
      <c r="D13" s="245" t="s">
        <v>658</v>
      </c>
      <c r="E13" s="245" t="s">
        <v>659</v>
      </c>
      <c r="F13" s="245" t="s">
        <v>671</v>
      </c>
      <c r="G13" s="245" t="s">
        <v>717</v>
      </c>
      <c r="I13" s="248"/>
      <c r="J13" s="248"/>
      <c r="K13" s="248"/>
      <c r="L13" s="248"/>
      <c r="M13" s="245" t="s">
        <v>665</v>
      </c>
      <c r="N13" s="245" t="s">
        <v>718</v>
      </c>
      <c r="P13" s="248"/>
      <c r="Q13" s="245" t="s">
        <v>668</v>
      </c>
      <c r="R13" s="246">
        <v>15.0</v>
      </c>
    </row>
    <row r="14">
      <c r="A14" s="245" t="s">
        <v>715</v>
      </c>
      <c r="B14" s="245" t="s">
        <v>716</v>
      </c>
      <c r="C14" s="245" t="s">
        <v>657</v>
      </c>
      <c r="D14" s="245" t="s">
        <v>679</v>
      </c>
      <c r="E14" s="245" t="s">
        <v>680</v>
      </c>
      <c r="F14" s="245" t="s">
        <v>685</v>
      </c>
      <c r="G14" s="248"/>
      <c r="I14" s="248"/>
      <c r="J14" s="245" t="s">
        <v>686</v>
      </c>
      <c r="K14" s="248"/>
      <c r="L14" s="248"/>
      <c r="M14" s="245" t="s">
        <v>682</v>
      </c>
      <c r="N14" s="248"/>
      <c r="P14" s="248"/>
      <c r="Q14" s="245" t="s">
        <v>668</v>
      </c>
    </row>
    <row r="15">
      <c r="A15" s="245" t="s">
        <v>715</v>
      </c>
      <c r="B15" s="245" t="s">
        <v>716</v>
      </c>
      <c r="C15" s="245" t="s">
        <v>657</v>
      </c>
      <c r="D15" s="245" t="s">
        <v>576</v>
      </c>
      <c r="E15" s="245" t="s">
        <v>684</v>
      </c>
      <c r="F15" s="245" t="s">
        <v>674</v>
      </c>
      <c r="G15" s="248"/>
      <c r="I15" s="248"/>
      <c r="J15" s="248"/>
      <c r="K15" s="248"/>
      <c r="L15" s="248"/>
      <c r="M15" s="245" t="s">
        <v>687</v>
      </c>
      <c r="N15" s="248"/>
      <c r="P15" s="248"/>
      <c r="Q15" s="245" t="s">
        <v>688</v>
      </c>
      <c r="R15" s="246">
        <v>-15.0</v>
      </c>
    </row>
    <row r="16">
      <c r="A16" s="245" t="s">
        <v>715</v>
      </c>
      <c r="B16" s="245" t="s">
        <v>716</v>
      </c>
      <c r="C16" s="245" t="s">
        <v>657</v>
      </c>
      <c r="D16" s="245" t="s">
        <v>578</v>
      </c>
      <c r="E16" s="245" t="s">
        <v>689</v>
      </c>
      <c r="F16" s="245" t="s">
        <v>660</v>
      </c>
      <c r="G16" s="245" t="s">
        <v>722</v>
      </c>
      <c r="H16" s="246">
        <v>19.0</v>
      </c>
      <c r="I16" s="245" t="s">
        <v>662</v>
      </c>
      <c r="J16" s="245" t="s">
        <v>723</v>
      </c>
      <c r="K16" s="248"/>
      <c r="L16" s="245" t="s">
        <v>258</v>
      </c>
      <c r="M16" s="245" t="s">
        <v>691</v>
      </c>
      <c r="N16" s="245" t="s">
        <v>724</v>
      </c>
      <c r="O16" s="246">
        <v>72.0</v>
      </c>
      <c r="P16" s="245" t="s">
        <v>711</v>
      </c>
      <c r="Q16" s="245" t="s">
        <v>693</v>
      </c>
      <c r="R16" s="246">
        <v>-3.0</v>
      </c>
    </row>
    <row r="17">
      <c r="A17" s="245" t="s">
        <v>715</v>
      </c>
      <c r="B17" s="245" t="s">
        <v>716</v>
      </c>
      <c r="C17" s="245" t="s">
        <v>657</v>
      </c>
      <c r="D17" s="245" t="s">
        <v>200</v>
      </c>
      <c r="E17" s="245" t="s">
        <v>694</v>
      </c>
      <c r="F17" s="245" t="s">
        <v>671</v>
      </c>
      <c r="G17" s="245" t="s">
        <v>725</v>
      </c>
      <c r="I17" s="248"/>
      <c r="J17" s="248"/>
      <c r="K17" s="248"/>
      <c r="L17" s="245" t="s">
        <v>258</v>
      </c>
      <c r="M17" s="245" t="s">
        <v>695</v>
      </c>
      <c r="N17" s="245" t="s">
        <v>726</v>
      </c>
      <c r="P17" s="248"/>
      <c r="Q17" s="245" t="s">
        <v>668</v>
      </c>
      <c r="R17" s="246">
        <v>17.0</v>
      </c>
    </row>
    <row r="18">
      <c r="A18" s="245" t="s">
        <v>727</v>
      </c>
      <c r="B18" s="245" t="s">
        <v>728</v>
      </c>
      <c r="C18" s="245" t="s">
        <v>657</v>
      </c>
      <c r="D18" s="245" t="s">
        <v>658</v>
      </c>
      <c r="E18" s="245" t="s">
        <v>659</v>
      </c>
      <c r="F18" s="245" t="s">
        <v>685</v>
      </c>
      <c r="G18" s="248"/>
      <c r="I18" s="248"/>
      <c r="J18" s="245" t="s">
        <v>686</v>
      </c>
      <c r="K18" s="248"/>
      <c r="L18" s="248"/>
      <c r="M18" s="245" t="s">
        <v>665</v>
      </c>
      <c r="N18" s="248"/>
      <c r="P18" s="248"/>
      <c r="Q18" s="245" t="s">
        <v>668</v>
      </c>
      <c r="R18" s="246"/>
    </row>
    <row r="19">
      <c r="A19" s="245" t="s">
        <v>727</v>
      </c>
      <c r="B19" s="245" t="s">
        <v>728</v>
      </c>
      <c r="C19" s="245" t="s">
        <v>657</v>
      </c>
      <c r="D19" s="245" t="s">
        <v>679</v>
      </c>
      <c r="E19" s="245" t="s">
        <v>680</v>
      </c>
      <c r="F19" s="245" t="s">
        <v>660</v>
      </c>
      <c r="G19" s="245" t="s">
        <v>729</v>
      </c>
      <c r="H19" s="246">
        <v>69.0</v>
      </c>
      <c r="I19" s="245" t="s">
        <v>662</v>
      </c>
      <c r="J19" s="245" t="s">
        <v>730</v>
      </c>
      <c r="K19" s="248"/>
      <c r="L19" s="245" t="s">
        <v>258</v>
      </c>
      <c r="M19" s="245" t="s">
        <v>682</v>
      </c>
      <c r="N19" s="245" t="s">
        <v>731</v>
      </c>
      <c r="P19" s="248"/>
      <c r="Q19" s="245" t="s">
        <v>668</v>
      </c>
      <c r="R19" s="246">
        <v>7.0</v>
      </c>
    </row>
    <row r="20">
      <c r="A20" s="245" t="s">
        <v>727</v>
      </c>
      <c r="B20" s="245" t="s">
        <v>728</v>
      </c>
      <c r="C20" s="245" t="s">
        <v>657</v>
      </c>
      <c r="D20" s="245" t="s">
        <v>576</v>
      </c>
      <c r="E20" s="245" t="s">
        <v>684</v>
      </c>
      <c r="F20" s="245" t="s">
        <v>671</v>
      </c>
      <c r="G20" s="245" t="s">
        <v>732</v>
      </c>
      <c r="I20" s="248"/>
      <c r="J20" s="248"/>
      <c r="K20" s="248"/>
      <c r="L20" s="245" t="s">
        <v>258</v>
      </c>
      <c r="M20" s="245" t="s">
        <v>687</v>
      </c>
      <c r="N20" s="245" t="s">
        <v>733</v>
      </c>
      <c r="P20" s="248"/>
      <c r="Q20" s="245" t="s">
        <v>688</v>
      </c>
      <c r="R20" s="246">
        <v>17.0</v>
      </c>
    </row>
    <row r="21">
      <c r="A21" s="245" t="s">
        <v>727</v>
      </c>
      <c r="B21" s="245" t="s">
        <v>728</v>
      </c>
      <c r="C21" s="245" t="s">
        <v>657</v>
      </c>
      <c r="D21" s="245" t="s">
        <v>578</v>
      </c>
      <c r="E21" s="245" t="s">
        <v>689</v>
      </c>
      <c r="F21" s="245" t="s">
        <v>674</v>
      </c>
      <c r="G21" s="248"/>
      <c r="I21" s="248"/>
      <c r="J21" s="248"/>
      <c r="K21" s="248"/>
      <c r="L21" s="248"/>
      <c r="M21" s="245" t="s">
        <v>691</v>
      </c>
      <c r="N21" s="248"/>
      <c r="P21" s="248"/>
      <c r="Q21" s="245" t="s">
        <v>693</v>
      </c>
      <c r="R21" s="246">
        <v>-15.0</v>
      </c>
    </row>
    <row r="22">
      <c r="A22" s="245" t="s">
        <v>727</v>
      </c>
      <c r="B22" s="245" t="s">
        <v>728</v>
      </c>
      <c r="C22" s="245" t="s">
        <v>657</v>
      </c>
      <c r="D22" s="245" t="s">
        <v>200</v>
      </c>
      <c r="E22" s="245" t="s">
        <v>694</v>
      </c>
      <c r="F22" s="245" t="s">
        <v>660</v>
      </c>
      <c r="G22" s="245" t="s">
        <v>734</v>
      </c>
      <c r="H22" s="246">
        <v>122.0</v>
      </c>
      <c r="I22" s="248"/>
      <c r="J22" s="248"/>
      <c r="K22" s="248"/>
      <c r="L22" s="248"/>
      <c r="M22" s="245" t="s">
        <v>695</v>
      </c>
      <c r="N22" s="245" t="s">
        <v>735</v>
      </c>
      <c r="P22" s="248"/>
      <c r="Q22" s="245" t="s">
        <v>668</v>
      </c>
      <c r="R22" s="246">
        <v>0.0</v>
      </c>
    </row>
    <row r="23">
      <c r="A23" s="245" t="s">
        <v>736</v>
      </c>
      <c r="B23" s="245" t="s">
        <v>737</v>
      </c>
      <c r="C23" s="245" t="s">
        <v>657</v>
      </c>
      <c r="D23" s="245" t="s">
        <v>704</v>
      </c>
      <c r="E23" s="245" t="s">
        <v>738</v>
      </c>
      <c r="F23" s="245" t="s">
        <v>690</v>
      </c>
      <c r="G23" s="245"/>
      <c r="I23" s="248"/>
      <c r="J23" s="248"/>
      <c r="K23" s="248"/>
      <c r="L23" s="245"/>
      <c r="M23" s="245" t="s">
        <v>739</v>
      </c>
      <c r="N23" s="245" t="s">
        <v>740</v>
      </c>
      <c r="P23" s="248"/>
      <c r="Q23" s="245" t="s">
        <v>693</v>
      </c>
      <c r="R23" s="246">
        <v>-5.0</v>
      </c>
    </row>
    <row r="24">
      <c r="A24" s="245" t="s">
        <v>736</v>
      </c>
      <c r="B24" s="245" t="s">
        <v>737</v>
      </c>
      <c r="C24" s="245" t="s">
        <v>657</v>
      </c>
      <c r="D24" s="245" t="s">
        <v>658</v>
      </c>
      <c r="E24" s="245" t="s">
        <v>659</v>
      </c>
      <c r="F24" s="245" t="s">
        <v>671</v>
      </c>
      <c r="G24" s="245" t="s">
        <v>741</v>
      </c>
      <c r="H24" s="246"/>
      <c r="I24" s="245"/>
      <c r="J24" s="245"/>
      <c r="K24" s="248"/>
      <c r="L24" s="245" t="s">
        <v>258</v>
      </c>
      <c r="M24" s="245" t="s">
        <v>665</v>
      </c>
      <c r="N24" s="245" t="s">
        <v>740</v>
      </c>
      <c r="P24" s="248"/>
      <c r="Q24" s="245" t="s">
        <v>668</v>
      </c>
      <c r="R24" s="246">
        <v>17.0</v>
      </c>
    </row>
    <row r="25">
      <c r="A25" s="245" t="s">
        <v>736</v>
      </c>
      <c r="B25" s="245" t="s">
        <v>737</v>
      </c>
      <c r="C25" s="245" t="s">
        <v>657</v>
      </c>
      <c r="D25" s="245" t="s">
        <v>679</v>
      </c>
      <c r="E25" s="245" t="s">
        <v>680</v>
      </c>
      <c r="F25" s="245" t="s">
        <v>660</v>
      </c>
      <c r="G25" s="245" t="s">
        <v>742</v>
      </c>
      <c r="H25" s="246">
        <v>88.0</v>
      </c>
      <c r="I25" s="245" t="s">
        <v>711</v>
      </c>
      <c r="J25" s="245" t="s">
        <v>743</v>
      </c>
      <c r="K25" s="248"/>
      <c r="L25" s="245" t="s">
        <v>258</v>
      </c>
      <c r="M25" s="245" t="s">
        <v>682</v>
      </c>
      <c r="N25" s="245" t="s">
        <v>744</v>
      </c>
      <c r="P25" s="248"/>
      <c r="Q25" s="245" t="s">
        <v>668</v>
      </c>
      <c r="R25" s="246">
        <v>2.0</v>
      </c>
    </row>
    <row r="26">
      <c r="A26" s="245" t="s">
        <v>736</v>
      </c>
      <c r="B26" s="245" t="s">
        <v>737</v>
      </c>
      <c r="C26" s="245" t="s">
        <v>657</v>
      </c>
      <c r="D26" s="245" t="s">
        <v>576</v>
      </c>
      <c r="E26" s="245" t="s">
        <v>684</v>
      </c>
      <c r="F26" s="245" t="s">
        <v>660</v>
      </c>
      <c r="G26" s="245" t="s">
        <v>745</v>
      </c>
      <c r="H26" s="246">
        <v>21.0</v>
      </c>
      <c r="I26" s="245"/>
      <c r="J26" s="248"/>
      <c r="K26" s="245"/>
      <c r="L26" s="248"/>
      <c r="M26" s="245" t="s">
        <v>687</v>
      </c>
      <c r="N26" s="245" t="s">
        <v>746</v>
      </c>
      <c r="P26" s="248"/>
      <c r="Q26" s="245" t="s">
        <v>688</v>
      </c>
      <c r="R26" s="246">
        <v>0.0</v>
      </c>
    </row>
    <row r="27">
      <c r="A27" s="245" t="s">
        <v>736</v>
      </c>
      <c r="B27" s="245" t="s">
        <v>737</v>
      </c>
      <c r="C27" s="245" t="s">
        <v>657</v>
      </c>
      <c r="D27" s="245" t="s">
        <v>578</v>
      </c>
      <c r="E27" s="245" t="s">
        <v>689</v>
      </c>
      <c r="F27" s="245" t="s">
        <v>660</v>
      </c>
      <c r="G27" s="245" t="s">
        <v>748</v>
      </c>
      <c r="H27" s="246">
        <v>59.0</v>
      </c>
      <c r="I27" s="245" t="s">
        <v>662</v>
      </c>
      <c r="J27" s="248"/>
      <c r="K27" s="248"/>
      <c r="L27" s="245"/>
      <c r="M27" s="245" t="s">
        <v>691</v>
      </c>
      <c r="N27" s="245" t="s">
        <v>749</v>
      </c>
      <c r="O27" s="246">
        <v>81.0</v>
      </c>
      <c r="P27" s="245" t="s">
        <v>711</v>
      </c>
      <c r="Q27" s="245" t="s">
        <v>693</v>
      </c>
      <c r="R27" s="246">
        <v>-5.0</v>
      </c>
    </row>
    <row r="28">
      <c r="A28" s="245" t="s">
        <v>736</v>
      </c>
      <c r="B28" s="245" t="s">
        <v>737</v>
      </c>
      <c r="C28" s="245" t="s">
        <v>657</v>
      </c>
      <c r="D28" s="245" t="s">
        <v>200</v>
      </c>
      <c r="E28" s="245" t="s">
        <v>694</v>
      </c>
      <c r="F28" s="245" t="s">
        <v>671</v>
      </c>
      <c r="G28" s="245" t="s">
        <v>725</v>
      </c>
      <c r="I28" s="248"/>
      <c r="J28" s="248"/>
      <c r="K28" s="248"/>
      <c r="L28" s="245" t="s">
        <v>258</v>
      </c>
      <c r="M28" s="245" t="s">
        <v>695</v>
      </c>
      <c r="N28" s="245" t="s">
        <v>740</v>
      </c>
      <c r="P28" s="248"/>
      <c r="Q28" s="245" t="s">
        <v>668</v>
      </c>
      <c r="R28" s="246">
        <v>17.0</v>
      </c>
    </row>
    <row r="29">
      <c r="A29" s="245" t="s">
        <v>750</v>
      </c>
      <c r="B29" s="245" t="s">
        <v>751</v>
      </c>
      <c r="C29" s="245" t="s">
        <v>657</v>
      </c>
      <c r="D29" s="245" t="s">
        <v>704</v>
      </c>
      <c r="E29" s="245" t="s">
        <v>738</v>
      </c>
      <c r="F29" s="245" t="s">
        <v>671</v>
      </c>
      <c r="G29" s="245" t="s">
        <v>752</v>
      </c>
      <c r="I29" s="248"/>
      <c r="J29" s="248"/>
      <c r="K29" s="248"/>
      <c r="L29" s="248"/>
      <c r="M29" s="245" t="s">
        <v>739</v>
      </c>
      <c r="N29" s="248"/>
      <c r="P29" s="248"/>
      <c r="Q29" s="245" t="s">
        <v>693</v>
      </c>
      <c r="R29" s="246">
        <v>10.0</v>
      </c>
    </row>
    <row r="30">
      <c r="A30" s="245" t="s">
        <v>750</v>
      </c>
      <c r="B30" s="245" t="s">
        <v>751</v>
      </c>
      <c r="C30" s="245" t="s">
        <v>657</v>
      </c>
      <c r="D30" s="245" t="s">
        <v>658</v>
      </c>
      <c r="E30" s="245" t="s">
        <v>659</v>
      </c>
      <c r="F30" s="245" t="s">
        <v>671</v>
      </c>
      <c r="G30" s="245" t="s">
        <v>752</v>
      </c>
      <c r="I30" s="248"/>
      <c r="J30" s="248"/>
      <c r="K30" s="248"/>
      <c r="L30" s="245" t="s">
        <v>258</v>
      </c>
      <c r="M30" s="245" t="s">
        <v>665</v>
      </c>
      <c r="N30" s="248"/>
      <c r="P30" s="248"/>
      <c r="Q30" s="245" t="s">
        <v>668</v>
      </c>
      <c r="R30" s="246">
        <v>12.0</v>
      </c>
    </row>
    <row r="31">
      <c r="A31" s="245" t="s">
        <v>750</v>
      </c>
      <c r="B31" s="245" t="s">
        <v>751</v>
      </c>
      <c r="C31" s="245" t="s">
        <v>657</v>
      </c>
      <c r="D31" s="245" t="s">
        <v>679</v>
      </c>
      <c r="E31" s="245" t="s">
        <v>680</v>
      </c>
      <c r="F31" s="245" t="s">
        <v>671</v>
      </c>
      <c r="G31" s="245" t="s">
        <v>753</v>
      </c>
      <c r="I31" s="248"/>
      <c r="J31" s="248"/>
      <c r="K31" s="248"/>
      <c r="L31" s="245" t="s">
        <v>258</v>
      </c>
      <c r="M31" s="245" t="s">
        <v>682</v>
      </c>
      <c r="N31" s="248"/>
      <c r="P31" s="248"/>
      <c r="Q31" s="245" t="s">
        <v>668</v>
      </c>
      <c r="R31" s="246">
        <v>12.0</v>
      </c>
    </row>
    <row r="32">
      <c r="A32" s="245" t="s">
        <v>750</v>
      </c>
      <c r="B32" s="245" t="s">
        <v>751</v>
      </c>
      <c r="C32" s="245" t="s">
        <v>657</v>
      </c>
      <c r="D32" s="245" t="s">
        <v>576</v>
      </c>
      <c r="E32" s="245" t="s">
        <v>684</v>
      </c>
      <c r="F32" s="245" t="s">
        <v>660</v>
      </c>
      <c r="G32" s="245" t="s">
        <v>754</v>
      </c>
      <c r="H32" s="246">
        <v>23.0</v>
      </c>
      <c r="I32" s="248"/>
      <c r="J32" s="248"/>
      <c r="K32" s="248"/>
      <c r="L32" s="248"/>
      <c r="M32" s="245" t="s">
        <v>687</v>
      </c>
      <c r="N32" s="248"/>
      <c r="P32" s="248"/>
      <c r="Q32" s="245" t="s">
        <v>688</v>
      </c>
      <c r="R32" s="246">
        <v>-5.0</v>
      </c>
    </row>
    <row r="33">
      <c r="A33" s="245" t="s">
        <v>750</v>
      </c>
      <c r="B33" s="245" t="s">
        <v>751</v>
      </c>
      <c r="C33" s="245" t="s">
        <v>657</v>
      </c>
      <c r="D33" s="245" t="s">
        <v>578</v>
      </c>
      <c r="E33" s="245" t="s">
        <v>689</v>
      </c>
      <c r="F33" s="245" t="s">
        <v>671</v>
      </c>
      <c r="G33" s="245" t="s">
        <v>755</v>
      </c>
      <c r="I33" s="248"/>
      <c r="J33" s="248"/>
      <c r="K33" s="248"/>
      <c r="L33" s="245" t="s">
        <v>258</v>
      </c>
      <c r="M33" s="245" t="s">
        <v>691</v>
      </c>
      <c r="N33" s="248"/>
      <c r="P33" s="248"/>
      <c r="Q33" s="245" t="s">
        <v>693</v>
      </c>
      <c r="R33" s="246">
        <v>12.0</v>
      </c>
    </row>
    <row r="34">
      <c r="A34" s="245" t="s">
        <v>750</v>
      </c>
      <c r="B34" s="245" t="s">
        <v>751</v>
      </c>
      <c r="C34" s="245" t="s">
        <v>657</v>
      </c>
      <c r="D34" s="245" t="s">
        <v>200</v>
      </c>
      <c r="E34" s="245" t="s">
        <v>694</v>
      </c>
      <c r="F34" s="245" t="s">
        <v>660</v>
      </c>
      <c r="G34" s="245" t="s">
        <v>722</v>
      </c>
      <c r="H34" s="246">
        <v>19.0</v>
      </c>
      <c r="I34" s="245" t="s">
        <v>662</v>
      </c>
      <c r="J34" s="245" t="s">
        <v>756</v>
      </c>
      <c r="K34" s="248"/>
      <c r="L34" s="245" t="s">
        <v>258</v>
      </c>
      <c r="M34" s="245" t="s">
        <v>695</v>
      </c>
      <c r="N34" s="248"/>
      <c r="P34" s="248"/>
      <c r="Q34" s="245" t="s">
        <v>668</v>
      </c>
      <c r="R34" s="246">
        <v>2.0</v>
      </c>
    </row>
    <row r="35">
      <c r="A35" s="248"/>
      <c r="B35" s="248"/>
      <c r="C35" s="248"/>
      <c r="D35" s="248"/>
      <c r="E35" s="248"/>
      <c r="F35" s="248"/>
      <c r="G35" s="248"/>
      <c r="I35" s="248"/>
      <c r="J35" s="248"/>
      <c r="K35" s="248"/>
      <c r="L35" s="248"/>
      <c r="M35" s="248"/>
      <c r="N35" s="248"/>
      <c r="P35" s="248"/>
      <c r="Q35" s="248"/>
    </row>
    <row r="36">
      <c r="A36" s="248"/>
      <c r="B36" s="248"/>
      <c r="C36" s="248"/>
      <c r="D36" s="248"/>
      <c r="E36" s="248"/>
      <c r="F36" s="248"/>
      <c r="G36" s="248"/>
      <c r="I36" s="248"/>
      <c r="J36" s="248"/>
      <c r="K36" s="248"/>
      <c r="L36" s="248"/>
      <c r="M36" s="248"/>
      <c r="N36" s="248"/>
      <c r="P36" s="248"/>
      <c r="Q36" s="248"/>
    </row>
    <row r="37">
      <c r="A37" s="248"/>
      <c r="B37" s="248"/>
      <c r="C37" s="248"/>
      <c r="D37" s="248"/>
      <c r="E37" s="248"/>
      <c r="F37" s="248"/>
      <c r="G37" s="248"/>
      <c r="I37" s="248"/>
      <c r="J37" s="248"/>
      <c r="K37" s="248"/>
      <c r="L37" s="248"/>
      <c r="M37" s="248"/>
      <c r="N37" s="248"/>
      <c r="P37" s="248"/>
      <c r="Q37" s="248"/>
    </row>
    <row r="38">
      <c r="A38" s="248"/>
      <c r="B38" s="248"/>
      <c r="C38" s="248"/>
      <c r="D38" s="248"/>
      <c r="E38" s="248"/>
      <c r="F38" s="248"/>
      <c r="G38" s="248"/>
      <c r="I38" s="248"/>
      <c r="J38" s="248"/>
      <c r="K38" s="248"/>
      <c r="L38" s="248"/>
      <c r="M38" s="248"/>
      <c r="N38" s="248"/>
      <c r="P38" s="248"/>
      <c r="Q38" s="248"/>
    </row>
    <row r="39">
      <c r="A39" s="248"/>
      <c r="B39" s="248"/>
      <c r="C39" s="248"/>
      <c r="D39" s="248"/>
      <c r="E39" s="248"/>
      <c r="F39" s="248"/>
      <c r="G39" s="248"/>
      <c r="I39" s="248"/>
      <c r="J39" s="248"/>
      <c r="K39" s="248"/>
      <c r="L39" s="248"/>
      <c r="M39" s="248"/>
      <c r="N39" s="248"/>
      <c r="P39" s="248"/>
      <c r="Q39" s="248"/>
    </row>
    <row r="40">
      <c r="A40" s="248"/>
      <c r="B40" s="248"/>
      <c r="C40" s="248"/>
      <c r="D40" s="248"/>
      <c r="E40" s="248"/>
      <c r="F40" s="248"/>
      <c r="G40" s="248"/>
      <c r="I40" s="248"/>
      <c r="J40" s="248"/>
      <c r="K40" s="248"/>
      <c r="L40" s="248"/>
      <c r="M40" s="248"/>
      <c r="N40" s="248"/>
      <c r="P40" s="248"/>
      <c r="Q40" s="248"/>
    </row>
    <row r="41">
      <c r="A41" s="248"/>
      <c r="B41" s="248"/>
      <c r="C41" s="248"/>
      <c r="D41" s="248"/>
      <c r="E41" s="248"/>
      <c r="F41" s="248"/>
      <c r="G41" s="248"/>
      <c r="I41" s="248"/>
      <c r="J41" s="248"/>
      <c r="K41" s="248"/>
      <c r="L41" s="248"/>
      <c r="M41" s="248"/>
      <c r="N41" s="248"/>
      <c r="P41" s="248"/>
      <c r="Q41" s="248"/>
    </row>
    <row r="42">
      <c r="A42" s="248"/>
      <c r="B42" s="248"/>
      <c r="C42" s="248"/>
      <c r="D42" s="248"/>
      <c r="E42" s="248"/>
      <c r="F42" s="248"/>
      <c r="G42" s="248"/>
      <c r="I42" s="248"/>
      <c r="J42" s="248"/>
      <c r="K42" s="248"/>
      <c r="L42" s="248"/>
      <c r="M42" s="248"/>
      <c r="N42" s="248"/>
      <c r="P42" s="248"/>
      <c r="Q42" s="248"/>
    </row>
    <row r="43">
      <c r="A43" s="248"/>
      <c r="B43" s="248"/>
      <c r="C43" s="248"/>
      <c r="D43" s="248"/>
      <c r="E43" s="248"/>
      <c r="F43" s="248"/>
      <c r="G43" s="248"/>
      <c r="I43" s="248"/>
      <c r="J43" s="248"/>
      <c r="K43" s="248"/>
      <c r="L43" s="248"/>
      <c r="M43" s="248"/>
      <c r="N43" s="248"/>
      <c r="P43" s="248"/>
      <c r="Q43" s="248"/>
    </row>
    <row r="44">
      <c r="A44" s="248"/>
      <c r="B44" s="248"/>
      <c r="C44" s="248"/>
      <c r="D44" s="248"/>
      <c r="E44" s="248"/>
      <c r="F44" s="248"/>
      <c r="G44" s="248"/>
      <c r="I44" s="248"/>
      <c r="J44" s="248"/>
      <c r="K44" s="248"/>
      <c r="L44" s="248"/>
      <c r="M44" s="248"/>
      <c r="N44" s="248"/>
      <c r="P44" s="248"/>
      <c r="Q44" s="248"/>
    </row>
    <row r="45">
      <c r="A45" s="248"/>
      <c r="B45" s="248"/>
      <c r="C45" s="248"/>
      <c r="D45" s="248"/>
      <c r="E45" s="248"/>
      <c r="F45" s="248"/>
      <c r="G45" s="248"/>
      <c r="I45" s="248"/>
      <c r="J45" s="248"/>
      <c r="K45" s="248"/>
      <c r="L45" s="248"/>
      <c r="M45" s="248"/>
      <c r="N45" s="248"/>
      <c r="P45" s="248"/>
      <c r="Q45" s="248"/>
    </row>
    <row r="46">
      <c r="A46" s="248"/>
      <c r="B46" s="248"/>
      <c r="C46" s="248"/>
      <c r="D46" s="248"/>
      <c r="E46" s="248"/>
      <c r="F46" s="248"/>
      <c r="G46" s="248"/>
      <c r="I46" s="248"/>
      <c r="J46" s="248"/>
      <c r="K46" s="248"/>
      <c r="L46" s="248"/>
      <c r="M46" s="248"/>
      <c r="N46" s="248"/>
      <c r="P46" s="248"/>
      <c r="Q46" s="248"/>
    </row>
    <row r="47">
      <c r="A47" s="248"/>
      <c r="B47" s="248"/>
      <c r="C47" s="248"/>
      <c r="D47" s="248"/>
      <c r="E47" s="248"/>
      <c r="F47" s="248"/>
      <c r="G47" s="248"/>
      <c r="I47" s="248"/>
      <c r="J47" s="248"/>
      <c r="K47" s="248"/>
      <c r="L47" s="248"/>
      <c r="M47" s="248"/>
      <c r="N47" s="248"/>
      <c r="P47" s="248"/>
      <c r="Q47" s="248"/>
    </row>
    <row r="48">
      <c r="A48" s="248"/>
      <c r="B48" s="248"/>
      <c r="C48" s="248"/>
      <c r="D48" s="248"/>
      <c r="E48" s="248"/>
      <c r="F48" s="248"/>
      <c r="G48" s="248"/>
      <c r="I48" s="248"/>
      <c r="J48" s="248"/>
      <c r="K48" s="248"/>
      <c r="L48" s="248"/>
      <c r="M48" s="248"/>
      <c r="N48" s="248"/>
      <c r="P48" s="248"/>
      <c r="Q48" s="248"/>
    </row>
    <row r="49">
      <c r="A49" s="248"/>
      <c r="B49" s="248"/>
      <c r="C49" s="248"/>
      <c r="D49" s="248"/>
      <c r="E49" s="248"/>
      <c r="F49" s="248"/>
      <c r="G49" s="248"/>
      <c r="I49" s="248"/>
      <c r="J49" s="248"/>
      <c r="K49" s="248"/>
      <c r="L49" s="248"/>
      <c r="M49" s="248"/>
      <c r="N49" s="248"/>
      <c r="P49" s="248"/>
      <c r="Q49" s="248"/>
    </row>
    <row r="50">
      <c r="A50" s="248"/>
      <c r="B50" s="248"/>
      <c r="C50" s="248"/>
      <c r="D50" s="248"/>
      <c r="E50" s="248"/>
      <c r="F50" s="248"/>
      <c r="G50" s="248"/>
      <c r="I50" s="248"/>
      <c r="J50" s="248"/>
      <c r="K50" s="248"/>
      <c r="L50" s="248"/>
      <c r="M50" s="248"/>
      <c r="N50" s="248"/>
      <c r="P50" s="248"/>
      <c r="Q50" s="248"/>
    </row>
    <row r="51">
      <c r="A51" s="248"/>
      <c r="B51" s="248"/>
      <c r="C51" s="248"/>
      <c r="D51" s="248"/>
      <c r="E51" s="248"/>
      <c r="F51" s="248"/>
      <c r="G51" s="248"/>
      <c r="I51" s="248"/>
      <c r="J51" s="248"/>
      <c r="K51" s="248"/>
      <c r="L51" s="248"/>
      <c r="M51" s="248"/>
      <c r="N51" s="248"/>
      <c r="P51" s="248"/>
      <c r="Q51" s="248"/>
    </row>
    <row r="52">
      <c r="A52" s="248"/>
      <c r="B52" s="248"/>
      <c r="C52" s="248"/>
      <c r="D52" s="248"/>
      <c r="E52" s="248"/>
      <c r="F52" s="248"/>
      <c r="G52" s="248"/>
      <c r="I52" s="248"/>
      <c r="J52" s="248"/>
      <c r="K52" s="248"/>
      <c r="L52" s="248"/>
      <c r="M52" s="248"/>
      <c r="N52" s="248"/>
      <c r="P52" s="248"/>
      <c r="Q52" s="248"/>
    </row>
    <row r="53">
      <c r="A53" s="248"/>
      <c r="B53" s="248"/>
      <c r="C53" s="248"/>
      <c r="D53" s="248"/>
      <c r="E53" s="248"/>
      <c r="F53" s="248"/>
      <c r="G53" s="248"/>
      <c r="I53" s="248"/>
      <c r="J53" s="248"/>
      <c r="K53" s="248"/>
      <c r="L53" s="248"/>
      <c r="M53" s="248"/>
      <c r="N53" s="248"/>
      <c r="P53" s="248"/>
      <c r="Q53" s="248"/>
    </row>
    <row r="54">
      <c r="A54" s="248"/>
      <c r="B54" s="248"/>
      <c r="C54" s="248"/>
      <c r="D54" s="248"/>
      <c r="E54" s="248"/>
      <c r="F54" s="248"/>
      <c r="G54" s="248"/>
      <c r="I54" s="248"/>
      <c r="J54" s="248"/>
      <c r="K54" s="248"/>
      <c r="L54" s="248"/>
      <c r="M54" s="248"/>
      <c r="N54" s="248"/>
      <c r="P54" s="248"/>
      <c r="Q54" s="248"/>
    </row>
    <row r="55">
      <c r="A55" s="248"/>
      <c r="B55" s="248"/>
      <c r="C55" s="248"/>
      <c r="D55" s="248"/>
      <c r="E55" s="248"/>
      <c r="F55" s="248"/>
      <c r="G55" s="248"/>
      <c r="I55" s="248"/>
      <c r="J55" s="248"/>
      <c r="K55" s="248"/>
      <c r="L55" s="248"/>
      <c r="M55" s="248"/>
      <c r="N55" s="248"/>
      <c r="P55" s="248"/>
      <c r="Q55" s="248"/>
    </row>
    <row r="56">
      <c r="A56" s="248"/>
      <c r="B56" s="248"/>
      <c r="C56" s="248"/>
      <c r="D56" s="248"/>
      <c r="E56" s="248"/>
      <c r="F56" s="248"/>
      <c r="G56" s="248"/>
      <c r="I56" s="248"/>
      <c r="J56" s="248"/>
      <c r="K56" s="248"/>
      <c r="L56" s="248"/>
      <c r="M56" s="248"/>
      <c r="N56" s="248"/>
      <c r="P56" s="248"/>
      <c r="Q56" s="248"/>
    </row>
    <row r="57">
      <c r="A57" s="248"/>
      <c r="B57" s="248"/>
      <c r="C57" s="248"/>
      <c r="D57" s="248"/>
      <c r="E57" s="248"/>
      <c r="F57" s="248"/>
      <c r="G57" s="248"/>
      <c r="I57" s="248"/>
      <c r="J57" s="248"/>
      <c r="K57" s="248"/>
      <c r="L57" s="248"/>
      <c r="M57" s="248"/>
      <c r="N57" s="248"/>
      <c r="P57" s="248"/>
      <c r="Q57" s="248"/>
    </row>
    <row r="58">
      <c r="A58" s="248"/>
      <c r="B58" s="248"/>
      <c r="C58" s="248"/>
      <c r="D58" s="248"/>
      <c r="E58" s="248"/>
      <c r="F58" s="248"/>
      <c r="G58" s="248"/>
      <c r="I58" s="248"/>
      <c r="J58" s="248"/>
      <c r="K58" s="248"/>
      <c r="L58" s="248"/>
      <c r="M58" s="248"/>
      <c r="N58" s="248"/>
      <c r="P58" s="248"/>
      <c r="Q58" s="248"/>
    </row>
    <row r="59">
      <c r="A59" s="248"/>
      <c r="B59" s="248"/>
      <c r="C59" s="248"/>
      <c r="D59" s="248"/>
      <c r="E59" s="248"/>
      <c r="F59" s="248"/>
      <c r="G59" s="248"/>
      <c r="I59" s="248"/>
      <c r="J59" s="248"/>
      <c r="K59" s="248"/>
      <c r="L59" s="248"/>
      <c r="M59" s="248"/>
      <c r="N59" s="248"/>
      <c r="P59" s="248"/>
      <c r="Q59" s="248"/>
    </row>
    <row r="60">
      <c r="A60" s="248"/>
      <c r="B60" s="248"/>
      <c r="C60" s="248"/>
      <c r="D60" s="248"/>
      <c r="E60" s="248"/>
      <c r="F60" s="248"/>
      <c r="G60" s="248"/>
      <c r="I60" s="248"/>
      <c r="J60" s="248"/>
      <c r="K60" s="248"/>
      <c r="L60" s="248"/>
      <c r="M60" s="248"/>
      <c r="N60" s="248"/>
      <c r="P60" s="248"/>
      <c r="Q60" s="248"/>
    </row>
    <row r="61">
      <c r="A61" s="248"/>
      <c r="B61" s="248"/>
      <c r="C61" s="248"/>
      <c r="D61" s="248"/>
      <c r="E61" s="248"/>
      <c r="F61" s="248"/>
      <c r="G61" s="248"/>
      <c r="I61" s="248"/>
      <c r="J61" s="248"/>
      <c r="K61" s="248"/>
      <c r="L61" s="248"/>
      <c r="M61" s="248"/>
      <c r="N61" s="248"/>
      <c r="P61" s="248"/>
      <c r="Q61" s="248"/>
    </row>
    <row r="62">
      <c r="A62" s="248"/>
      <c r="B62" s="248"/>
      <c r="C62" s="248"/>
      <c r="D62" s="248"/>
      <c r="E62" s="248"/>
      <c r="F62" s="248"/>
      <c r="G62" s="248"/>
      <c r="I62" s="248"/>
      <c r="J62" s="248"/>
      <c r="K62" s="248"/>
      <c r="L62" s="248"/>
      <c r="M62" s="248"/>
      <c r="N62" s="248"/>
      <c r="P62" s="248"/>
      <c r="Q62" s="248"/>
    </row>
    <row r="63">
      <c r="A63" s="248"/>
      <c r="B63" s="248"/>
      <c r="C63" s="248"/>
      <c r="D63" s="248"/>
      <c r="E63" s="248"/>
      <c r="F63" s="248"/>
      <c r="G63" s="248"/>
      <c r="I63" s="248"/>
      <c r="J63" s="248"/>
      <c r="K63" s="248"/>
      <c r="L63" s="248"/>
      <c r="M63" s="248"/>
      <c r="N63" s="248"/>
      <c r="P63" s="248"/>
      <c r="Q63" s="248"/>
    </row>
    <row r="64">
      <c r="A64" s="248"/>
      <c r="B64" s="248"/>
      <c r="C64" s="248"/>
      <c r="D64" s="248"/>
      <c r="E64" s="248"/>
      <c r="F64" s="248"/>
      <c r="G64" s="248"/>
      <c r="I64" s="248"/>
      <c r="J64" s="248"/>
      <c r="K64" s="248"/>
      <c r="L64" s="248"/>
      <c r="M64" s="248"/>
      <c r="N64" s="248"/>
      <c r="P64" s="248"/>
      <c r="Q64" s="248"/>
    </row>
    <row r="65">
      <c r="A65" s="248"/>
      <c r="B65" s="248"/>
      <c r="C65" s="248"/>
      <c r="D65" s="248"/>
      <c r="E65" s="248"/>
      <c r="F65" s="248"/>
      <c r="G65" s="248"/>
      <c r="I65" s="248"/>
      <c r="J65" s="248"/>
      <c r="K65" s="248"/>
      <c r="L65" s="248"/>
      <c r="M65" s="248"/>
      <c r="N65" s="248"/>
      <c r="P65" s="248"/>
      <c r="Q65" s="248"/>
    </row>
    <row r="66">
      <c r="A66" s="248"/>
      <c r="B66" s="248"/>
      <c r="C66" s="248"/>
      <c r="D66" s="248"/>
      <c r="E66" s="248"/>
      <c r="F66" s="248"/>
      <c r="G66" s="248"/>
      <c r="I66" s="248"/>
      <c r="J66" s="248"/>
      <c r="K66" s="248"/>
      <c r="L66" s="248"/>
      <c r="M66" s="248"/>
      <c r="N66" s="248"/>
      <c r="P66" s="248"/>
      <c r="Q66" s="248"/>
    </row>
    <row r="67">
      <c r="A67" s="248"/>
      <c r="B67" s="248"/>
      <c r="C67" s="248"/>
      <c r="D67" s="248"/>
      <c r="E67" s="248"/>
      <c r="F67" s="248"/>
      <c r="G67" s="248"/>
      <c r="I67" s="248"/>
      <c r="J67" s="248"/>
      <c r="K67" s="248"/>
      <c r="L67" s="248"/>
      <c r="M67" s="248"/>
      <c r="N67" s="248"/>
      <c r="P67" s="248"/>
      <c r="Q67" s="248"/>
    </row>
    <row r="68">
      <c r="A68" s="248"/>
      <c r="B68" s="248"/>
      <c r="C68" s="248"/>
      <c r="D68" s="248"/>
      <c r="E68" s="248"/>
      <c r="F68" s="248"/>
      <c r="G68" s="248"/>
      <c r="I68" s="248"/>
      <c r="J68" s="248"/>
      <c r="K68" s="248"/>
      <c r="L68" s="248"/>
      <c r="M68" s="248"/>
      <c r="N68" s="248"/>
      <c r="P68" s="248"/>
      <c r="Q68" s="248"/>
    </row>
    <row r="69">
      <c r="A69" s="248"/>
      <c r="B69" s="248"/>
      <c r="C69" s="248"/>
      <c r="D69" s="248"/>
      <c r="E69" s="248"/>
      <c r="F69" s="248"/>
      <c r="G69" s="248"/>
      <c r="I69" s="248"/>
      <c r="J69" s="248"/>
      <c r="K69" s="248"/>
      <c r="L69" s="248"/>
      <c r="M69" s="248"/>
      <c r="N69" s="248"/>
      <c r="P69" s="248"/>
      <c r="Q69" s="248"/>
    </row>
    <row r="70">
      <c r="A70" s="248"/>
      <c r="B70" s="248"/>
      <c r="C70" s="248"/>
      <c r="D70" s="248"/>
      <c r="E70" s="248"/>
      <c r="F70" s="248"/>
      <c r="G70" s="248"/>
      <c r="I70" s="248"/>
      <c r="J70" s="248"/>
      <c r="K70" s="248"/>
      <c r="L70" s="248"/>
      <c r="M70" s="248"/>
      <c r="N70" s="248"/>
      <c r="P70" s="248"/>
      <c r="Q70" s="248"/>
    </row>
    <row r="71">
      <c r="A71" s="248"/>
      <c r="B71" s="248"/>
      <c r="C71" s="248"/>
      <c r="D71" s="248"/>
      <c r="E71" s="248"/>
      <c r="F71" s="248"/>
      <c r="G71" s="248"/>
      <c r="I71" s="248"/>
      <c r="J71" s="248"/>
      <c r="K71" s="248"/>
      <c r="L71" s="248"/>
      <c r="M71" s="248"/>
      <c r="N71" s="248"/>
      <c r="P71" s="248"/>
      <c r="Q71" s="248"/>
    </row>
    <row r="72">
      <c r="A72" s="248"/>
      <c r="B72" s="248"/>
      <c r="C72" s="248"/>
      <c r="D72" s="248"/>
      <c r="E72" s="248"/>
      <c r="F72" s="248"/>
      <c r="G72" s="248"/>
      <c r="I72" s="248"/>
      <c r="J72" s="248"/>
      <c r="K72" s="248"/>
      <c r="L72" s="248"/>
      <c r="M72" s="248"/>
      <c r="N72" s="248"/>
      <c r="P72" s="248"/>
      <c r="Q72" s="248"/>
    </row>
    <row r="73">
      <c r="A73" s="248"/>
      <c r="B73" s="248"/>
      <c r="C73" s="248"/>
      <c r="D73" s="248"/>
      <c r="E73" s="248"/>
      <c r="F73" s="248"/>
      <c r="G73" s="248"/>
      <c r="I73" s="248"/>
      <c r="J73" s="248"/>
      <c r="K73" s="248"/>
      <c r="L73" s="248"/>
      <c r="M73" s="248"/>
      <c r="N73" s="248"/>
      <c r="P73" s="248"/>
      <c r="Q73" s="248"/>
    </row>
    <row r="74">
      <c r="A74" s="248"/>
      <c r="B74" s="248"/>
      <c r="C74" s="248"/>
      <c r="D74" s="248"/>
      <c r="E74" s="248"/>
      <c r="F74" s="248"/>
      <c r="G74" s="248"/>
      <c r="I74" s="248"/>
      <c r="J74" s="248"/>
      <c r="K74" s="248"/>
      <c r="L74" s="248"/>
      <c r="M74" s="248"/>
      <c r="N74" s="248"/>
      <c r="P74" s="248"/>
      <c r="Q74" s="248"/>
    </row>
    <row r="75">
      <c r="A75" s="248"/>
      <c r="B75" s="248"/>
      <c r="C75" s="248"/>
      <c r="D75" s="248"/>
      <c r="E75" s="248"/>
      <c r="F75" s="248"/>
      <c r="G75" s="248"/>
      <c r="I75" s="248"/>
      <c r="J75" s="248"/>
      <c r="K75" s="248"/>
      <c r="L75" s="248"/>
      <c r="M75" s="248"/>
      <c r="N75" s="248"/>
      <c r="P75" s="248"/>
      <c r="Q75" s="248"/>
    </row>
    <row r="76">
      <c r="A76" s="248"/>
      <c r="B76" s="248"/>
      <c r="C76" s="248"/>
      <c r="D76" s="248"/>
      <c r="E76" s="248"/>
      <c r="F76" s="248"/>
      <c r="G76" s="248"/>
      <c r="I76" s="248"/>
      <c r="J76" s="248"/>
      <c r="K76" s="248"/>
      <c r="L76" s="248"/>
      <c r="M76" s="248"/>
      <c r="N76" s="248"/>
      <c r="P76" s="248"/>
      <c r="Q76" s="248"/>
    </row>
    <row r="77">
      <c r="A77" s="248"/>
      <c r="B77" s="248"/>
      <c r="C77" s="248"/>
      <c r="D77" s="248"/>
      <c r="E77" s="248"/>
      <c r="F77" s="248"/>
      <c r="G77" s="248"/>
      <c r="I77" s="248"/>
      <c r="J77" s="248"/>
      <c r="K77" s="248"/>
      <c r="L77" s="248"/>
      <c r="M77" s="248"/>
      <c r="N77" s="248"/>
      <c r="P77" s="248"/>
      <c r="Q77" s="248"/>
    </row>
    <row r="78">
      <c r="A78" s="248"/>
      <c r="B78" s="248"/>
      <c r="C78" s="248"/>
      <c r="D78" s="248"/>
      <c r="E78" s="248"/>
      <c r="F78" s="248"/>
      <c r="G78" s="248"/>
      <c r="I78" s="248"/>
      <c r="J78" s="248"/>
      <c r="K78" s="248"/>
      <c r="L78" s="248"/>
      <c r="M78" s="248"/>
      <c r="N78" s="248"/>
      <c r="P78" s="248"/>
      <c r="Q78" s="248"/>
    </row>
    <row r="79">
      <c r="A79" s="248"/>
      <c r="B79" s="248"/>
      <c r="C79" s="248"/>
      <c r="D79" s="248"/>
      <c r="E79" s="248"/>
      <c r="F79" s="248"/>
      <c r="G79" s="248"/>
      <c r="I79" s="248"/>
      <c r="J79" s="248"/>
      <c r="K79" s="248"/>
      <c r="L79" s="248"/>
      <c r="M79" s="248"/>
      <c r="N79" s="248"/>
      <c r="P79" s="248"/>
      <c r="Q79" s="248"/>
    </row>
    <row r="80">
      <c r="A80" s="248"/>
      <c r="B80" s="248"/>
      <c r="C80" s="248"/>
      <c r="D80" s="248"/>
      <c r="E80" s="248"/>
      <c r="F80" s="248"/>
      <c r="G80" s="248"/>
      <c r="I80" s="248"/>
      <c r="J80" s="248"/>
      <c r="K80" s="248"/>
      <c r="L80" s="248"/>
      <c r="M80" s="248"/>
      <c r="N80" s="248"/>
      <c r="P80" s="248"/>
      <c r="Q80" s="248"/>
    </row>
    <row r="81">
      <c r="A81" s="248"/>
      <c r="B81" s="248"/>
      <c r="C81" s="248"/>
      <c r="D81" s="248"/>
      <c r="E81" s="248"/>
      <c r="F81" s="248"/>
      <c r="G81" s="248"/>
      <c r="I81" s="248"/>
      <c r="J81" s="248"/>
      <c r="K81" s="248"/>
      <c r="L81" s="248"/>
      <c r="M81" s="248"/>
      <c r="N81" s="248"/>
      <c r="P81" s="248"/>
      <c r="Q81" s="248"/>
    </row>
    <row r="82">
      <c r="A82" s="248"/>
      <c r="B82" s="248"/>
      <c r="C82" s="248"/>
      <c r="D82" s="248"/>
      <c r="E82" s="248"/>
      <c r="F82" s="248"/>
      <c r="G82" s="248"/>
      <c r="I82" s="248"/>
      <c r="J82" s="248"/>
      <c r="K82" s="248"/>
      <c r="L82" s="248"/>
      <c r="M82" s="248"/>
      <c r="N82" s="248"/>
      <c r="P82" s="248"/>
      <c r="Q82" s="248"/>
    </row>
    <row r="83">
      <c r="A83" s="248"/>
      <c r="B83" s="248"/>
      <c r="C83" s="248"/>
      <c r="D83" s="248"/>
      <c r="E83" s="248"/>
      <c r="F83" s="248"/>
      <c r="G83" s="248"/>
      <c r="I83" s="248"/>
      <c r="J83" s="248"/>
      <c r="K83" s="248"/>
      <c r="L83" s="248"/>
      <c r="M83" s="248"/>
      <c r="N83" s="248"/>
      <c r="P83" s="248"/>
      <c r="Q83" s="248"/>
    </row>
    <row r="84">
      <c r="A84" s="248"/>
      <c r="B84" s="248"/>
      <c r="C84" s="248"/>
      <c r="D84" s="248"/>
      <c r="E84" s="248"/>
      <c r="F84" s="248"/>
      <c r="G84" s="248"/>
      <c r="I84" s="248"/>
      <c r="J84" s="248"/>
      <c r="K84" s="248"/>
      <c r="L84" s="248"/>
      <c r="M84" s="248"/>
      <c r="N84" s="248"/>
      <c r="P84" s="248"/>
      <c r="Q84" s="248"/>
    </row>
    <row r="85">
      <c r="A85" s="248"/>
      <c r="B85" s="248"/>
      <c r="C85" s="248"/>
      <c r="D85" s="248"/>
      <c r="E85" s="248"/>
      <c r="F85" s="248"/>
      <c r="G85" s="248"/>
      <c r="I85" s="248"/>
      <c r="J85" s="248"/>
      <c r="K85" s="248"/>
      <c r="L85" s="248"/>
      <c r="M85" s="248"/>
      <c r="N85" s="248"/>
      <c r="P85" s="248"/>
      <c r="Q85" s="248"/>
    </row>
    <row r="86">
      <c r="A86" s="248"/>
      <c r="B86" s="248"/>
      <c r="C86" s="248"/>
      <c r="D86" s="248"/>
      <c r="E86" s="248"/>
      <c r="F86" s="248"/>
      <c r="G86" s="248"/>
      <c r="I86" s="248"/>
      <c r="J86" s="248"/>
      <c r="K86" s="248"/>
      <c r="L86" s="248"/>
      <c r="M86" s="248"/>
      <c r="N86" s="248"/>
      <c r="P86" s="248"/>
      <c r="Q86" s="248"/>
    </row>
    <row r="87">
      <c r="A87" s="248"/>
      <c r="B87" s="248"/>
      <c r="C87" s="248"/>
      <c r="D87" s="248"/>
      <c r="E87" s="248"/>
      <c r="F87" s="248"/>
      <c r="G87" s="248"/>
      <c r="I87" s="248"/>
      <c r="J87" s="248"/>
      <c r="K87" s="248"/>
      <c r="L87" s="248"/>
      <c r="M87" s="248"/>
      <c r="N87" s="248"/>
      <c r="P87" s="248"/>
      <c r="Q87" s="248"/>
    </row>
    <row r="88">
      <c r="A88" s="248"/>
      <c r="B88" s="248"/>
      <c r="C88" s="248"/>
      <c r="D88" s="248"/>
      <c r="E88" s="248"/>
      <c r="F88" s="248"/>
      <c r="G88" s="248"/>
      <c r="I88" s="248"/>
      <c r="J88" s="248"/>
      <c r="K88" s="248"/>
      <c r="L88" s="248"/>
      <c r="M88" s="248"/>
      <c r="N88" s="248"/>
      <c r="P88" s="248"/>
      <c r="Q88" s="248"/>
    </row>
    <row r="89">
      <c r="A89" s="248"/>
      <c r="B89" s="248"/>
      <c r="C89" s="248"/>
      <c r="D89" s="248"/>
      <c r="E89" s="248"/>
      <c r="F89" s="248"/>
      <c r="G89" s="248"/>
      <c r="I89" s="248"/>
      <c r="J89" s="248"/>
      <c r="K89" s="248"/>
      <c r="L89" s="248"/>
      <c r="M89" s="248"/>
      <c r="N89" s="248"/>
      <c r="P89" s="248"/>
      <c r="Q89" s="248"/>
    </row>
    <row r="90">
      <c r="A90" s="248"/>
      <c r="B90" s="248"/>
      <c r="C90" s="248"/>
      <c r="D90" s="248"/>
      <c r="E90" s="248"/>
      <c r="F90" s="248"/>
      <c r="G90" s="248"/>
      <c r="I90" s="248"/>
      <c r="J90" s="248"/>
      <c r="K90" s="248"/>
      <c r="L90" s="248"/>
      <c r="M90" s="248"/>
      <c r="N90" s="248"/>
      <c r="P90" s="248"/>
      <c r="Q90" s="248"/>
    </row>
    <row r="91">
      <c r="A91" s="248"/>
      <c r="B91" s="248"/>
      <c r="C91" s="248"/>
      <c r="D91" s="248"/>
      <c r="E91" s="248"/>
      <c r="F91" s="248"/>
      <c r="G91" s="248"/>
      <c r="I91" s="248"/>
      <c r="J91" s="248"/>
      <c r="K91" s="248"/>
      <c r="L91" s="248"/>
      <c r="M91" s="248"/>
      <c r="N91" s="248"/>
      <c r="P91" s="248"/>
      <c r="Q91" s="248"/>
    </row>
    <row r="92">
      <c r="A92" s="248"/>
      <c r="B92" s="248"/>
      <c r="C92" s="248"/>
      <c r="D92" s="248"/>
      <c r="E92" s="248"/>
      <c r="F92" s="248"/>
      <c r="G92" s="248"/>
      <c r="I92" s="248"/>
      <c r="J92" s="248"/>
      <c r="K92" s="248"/>
      <c r="L92" s="248"/>
      <c r="M92" s="248"/>
      <c r="N92" s="248"/>
      <c r="P92" s="248"/>
      <c r="Q92" s="248"/>
    </row>
    <row r="93">
      <c r="A93" s="248"/>
      <c r="B93" s="248"/>
      <c r="C93" s="248"/>
      <c r="D93" s="248"/>
      <c r="E93" s="248"/>
      <c r="F93" s="248"/>
      <c r="G93" s="248"/>
      <c r="I93" s="248"/>
      <c r="J93" s="248"/>
      <c r="K93" s="248"/>
      <c r="L93" s="248"/>
      <c r="M93" s="248"/>
      <c r="N93" s="248"/>
      <c r="P93" s="248"/>
      <c r="Q93" s="248"/>
    </row>
    <row r="94">
      <c r="A94" s="248"/>
      <c r="B94" s="248"/>
      <c r="C94" s="248"/>
      <c r="D94" s="248"/>
      <c r="E94" s="248"/>
      <c r="F94" s="248"/>
      <c r="G94" s="248"/>
      <c r="I94" s="248"/>
      <c r="J94" s="248"/>
      <c r="K94" s="248"/>
      <c r="L94" s="248"/>
      <c r="M94" s="248"/>
      <c r="N94" s="248"/>
      <c r="P94" s="248"/>
      <c r="Q94" s="248"/>
    </row>
    <row r="95">
      <c r="A95" s="248"/>
      <c r="B95" s="248"/>
      <c r="C95" s="248"/>
      <c r="D95" s="248"/>
      <c r="E95" s="248"/>
      <c r="F95" s="248"/>
      <c r="G95" s="248"/>
      <c r="I95" s="248"/>
      <c r="J95" s="248"/>
      <c r="K95" s="248"/>
      <c r="L95" s="248"/>
      <c r="M95" s="248"/>
      <c r="N95" s="248"/>
      <c r="P95" s="248"/>
      <c r="Q95" s="248"/>
    </row>
    <row r="96">
      <c r="A96" s="248"/>
      <c r="B96" s="248"/>
      <c r="C96" s="248"/>
      <c r="D96" s="248"/>
      <c r="E96" s="248"/>
      <c r="F96" s="248"/>
      <c r="G96" s="248"/>
      <c r="I96" s="248"/>
      <c r="J96" s="248"/>
      <c r="K96" s="248"/>
      <c r="L96" s="248"/>
      <c r="M96" s="248"/>
      <c r="N96" s="248"/>
      <c r="P96" s="248"/>
      <c r="Q96" s="248"/>
    </row>
    <row r="97">
      <c r="A97" s="248"/>
      <c r="B97" s="248"/>
      <c r="C97" s="248"/>
      <c r="D97" s="248"/>
      <c r="E97" s="248"/>
      <c r="F97" s="248"/>
      <c r="G97" s="248"/>
      <c r="I97" s="248"/>
      <c r="J97" s="248"/>
      <c r="K97" s="248"/>
      <c r="L97" s="248"/>
      <c r="M97" s="248"/>
      <c r="N97" s="248"/>
      <c r="P97" s="248"/>
      <c r="Q97" s="248"/>
    </row>
    <row r="98">
      <c r="A98" s="248"/>
      <c r="B98" s="248"/>
      <c r="C98" s="248"/>
      <c r="D98" s="248"/>
      <c r="E98" s="248"/>
      <c r="F98" s="248"/>
      <c r="G98" s="248"/>
      <c r="I98" s="248"/>
      <c r="J98" s="248"/>
      <c r="K98" s="248"/>
      <c r="L98" s="248"/>
      <c r="M98" s="248"/>
      <c r="N98" s="248"/>
      <c r="P98" s="248"/>
      <c r="Q98" s="248"/>
    </row>
    <row r="99">
      <c r="A99" s="248"/>
      <c r="B99" s="248"/>
      <c r="C99" s="248"/>
      <c r="D99" s="248"/>
      <c r="E99" s="248"/>
      <c r="F99" s="248"/>
      <c r="G99" s="248"/>
      <c r="I99" s="248"/>
      <c r="J99" s="248"/>
      <c r="K99" s="248"/>
      <c r="L99" s="248"/>
      <c r="M99" s="248"/>
      <c r="N99" s="248"/>
      <c r="P99" s="248"/>
      <c r="Q99" s="248"/>
    </row>
    <row r="100">
      <c r="A100" s="248"/>
      <c r="B100" s="248"/>
      <c r="C100" s="248"/>
      <c r="D100" s="248"/>
      <c r="E100" s="248"/>
      <c r="F100" s="248"/>
      <c r="G100" s="248"/>
      <c r="I100" s="248"/>
      <c r="J100" s="248"/>
      <c r="K100" s="248"/>
      <c r="L100" s="248"/>
      <c r="M100" s="248"/>
      <c r="N100" s="248"/>
      <c r="P100" s="248"/>
      <c r="Q100" s="248"/>
    </row>
    <row r="101">
      <c r="A101" s="248"/>
      <c r="B101" s="248"/>
      <c r="C101" s="248"/>
      <c r="D101" s="248"/>
      <c r="E101" s="248"/>
      <c r="F101" s="248"/>
      <c r="G101" s="248"/>
      <c r="I101" s="248"/>
      <c r="J101" s="248"/>
      <c r="K101" s="248"/>
      <c r="L101" s="248"/>
      <c r="M101" s="248"/>
      <c r="N101" s="248"/>
      <c r="P101" s="248"/>
      <c r="Q101" s="248"/>
    </row>
    <row r="102">
      <c r="A102" s="248"/>
      <c r="B102" s="248"/>
      <c r="C102" s="248"/>
      <c r="D102" s="248"/>
      <c r="E102" s="248"/>
      <c r="F102" s="248"/>
      <c r="G102" s="248"/>
      <c r="I102" s="248"/>
      <c r="J102" s="248"/>
      <c r="K102" s="248"/>
      <c r="L102" s="248"/>
      <c r="M102" s="248"/>
      <c r="N102" s="248"/>
      <c r="P102" s="248"/>
      <c r="Q102" s="248"/>
    </row>
    <row r="103">
      <c r="A103" s="248"/>
      <c r="B103" s="248"/>
      <c r="C103" s="248"/>
      <c r="D103" s="248"/>
      <c r="E103" s="248"/>
      <c r="F103" s="248"/>
      <c r="G103" s="248"/>
      <c r="I103" s="248"/>
      <c r="J103" s="248"/>
      <c r="K103" s="248"/>
      <c r="L103" s="248"/>
      <c r="M103" s="248"/>
      <c r="N103" s="248"/>
      <c r="P103" s="248"/>
      <c r="Q103" s="248"/>
    </row>
    <row r="104">
      <c r="A104" s="248"/>
      <c r="B104" s="248"/>
      <c r="C104" s="248"/>
      <c r="D104" s="248"/>
      <c r="E104" s="248"/>
      <c r="F104" s="248"/>
      <c r="G104" s="248"/>
      <c r="I104" s="248"/>
      <c r="J104" s="248"/>
      <c r="K104" s="248"/>
      <c r="L104" s="248"/>
      <c r="M104" s="248"/>
      <c r="N104" s="248"/>
      <c r="P104" s="248"/>
      <c r="Q104" s="248"/>
    </row>
    <row r="105">
      <c r="A105" s="248"/>
      <c r="B105" s="248"/>
      <c r="C105" s="248"/>
      <c r="D105" s="248"/>
      <c r="E105" s="248"/>
      <c r="F105" s="248"/>
      <c r="G105" s="248"/>
      <c r="I105" s="248"/>
      <c r="J105" s="248"/>
      <c r="K105" s="248"/>
      <c r="L105" s="248"/>
      <c r="M105" s="248"/>
      <c r="N105" s="248"/>
      <c r="P105" s="248"/>
      <c r="Q105" s="248"/>
    </row>
    <row r="106">
      <c r="A106" s="248"/>
      <c r="B106" s="248"/>
      <c r="C106" s="248"/>
      <c r="D106" s="248"/>
      <c r="E106" s="248"/>
      <c r="F106" s="248"/>
      <c r="G106" s="248"/>
      <c r="I106" s="248"/>
      <c r="J106" s="248"/>
      <c r="K106" s="248"/>
      <c r="L106" s="248"/>
      <c r="M106" s="248"/>
      <c r="N106" s="248"/>
      <c r="P106" s="248"/>
      <c r="Q106" s="248"/>
    </row>
    <row r="107">
      <c r="A107" s="248"/>
      <c r="B107" s="248"/>
      <c r="C107" s="248"/>
      <c r="D107" s="248"/>
      <c r="E107" s="248"/>
      <c r="F107" s="248"/>
      <c r="G107" s="248"/>
      <c r="I107" s="248"/>
      <c r="J107" s="248"/>
      <c r="K107" s="248"/>
      <c r="L107" s="248"/>
      <c r="M107" s="248"/>
      <c r="N107" s="248"/>
      <c r="P107" s="248"/>
      <c r="Q107" s="248"/>
    </row>
    <row r="108">
      <c r="A108" s="248"/>
      <c r="B108" s="248"/>
      <c r="C108" s="248"/>
      <c r="D108" s="248"/>
      <c r="E108" s="248"/>
      <c r="F108" s="248"/>
      <c r="G108" s="248"/>
      <c r="I108" s="248"/>
      <c r="J108" s="248"/>
      <c r="K108" s="248"/>
      <c r="L108" s="248"/>
      <c r="M108" s="248"/>
      <c r="N108" s="248"/>
      <c r="P108" s="248"/>
      <c r="Q108" s="248"/>
    </row>
    <row r="109">
      <c r="A109" s="248"/>
      <c r="B109" s="248"/>
      <c r="C109" s="248"/>
      <c r="D109" s="248"/>
      <c r="E109" s="248"/>
      <c r="F109" s="248"/>
      <c r="G109" s="248"/>
      <c r="I109" s="248"/>
      <c r="J109" s="248"/>
      <c r="K109" s="248"/>
      <c r="L109" s="248"/>
      <c r="M109" s="248"/>
      <c r="N109" s="248"/>
      <c r="P109" s="248"/>
      <c r="Q109" s="248"/>
    </row>
    <row r="110">
      <c r="A110" s="248"/>
      <c r="B110" s="248"/>
      <c r="C110" s="248"/>
      <c r="D110" s="248"/>
      <c r="E110" s="248"/>
      <c r="F110" s="248"/>
      <c r="G110" s="248"/>
      <c r="I110" s="248"/>
      <c r="J110" s="248"/>
      <c r="K110" s="248"/>
      <c r="L110" s="248"/>
      <c r="M110" s="248"/>
      <c r="N110" s="248"/>
      <c r="P110" s="248"/>
      <c r="Q110" s="248"/>
    </row>
    <row r="111">
      <c r="A111" s="248"/>
      <c r="B111" s="248"/>
      <c r="C111" s="248"/>
      <c r="D111" s="248"/>
      <c r="E111" s="248"/>
      <c r="F111" s="248"/>
      <c r="G111" s="248"/>
      <c r="I111" s="248"/>
      <c r="J111" s="248"/>
      <c r="K111" s="248"/>
      <c r="L111" s="248"/>
      <c r="M111" s="248"/>
      <c r="N111" s="248"/>
      <c r="P111" s="248"/>
      <c r="Q111" s="248"/>
    </row>
    <row r="112">
      <c r="A112" s="248"/>
      <c r="B112" s="248"/>
      <c r="C112" s="248"/>
      <c r="D112" s="248"/>
      <c r="E112" s="248"/>
      <c r="F112" s="248"/>
      <c r="G112" s="248"/>
      <c r="I112" s="248"/>
      <c r="J112" s="248"/>
      <c r="K112" s="248"/>
      <c r="L112" s="248"/>
      <c r="M112" s="248"/>
      <c r="N112" s="248"/>
      <c r="P112" s="248"/>
      <c r="Q112" s="248"/>
    </row>
    <row r="113">
      <c r="A113" s="248"/>
      <c r="B113" s="248"/>
      <c r="C113" s="248"/>
      <c r="D113" s="248"/>
      <c r="E113" s="248"/>
      <c r="F113" s="248"/>
      <c r="G113" s="248"/>
      <c r="I113" s="248"/>
      <c r="J113" s="248"/>
      <c r="K113" s="248"/>
      <c r="L113" s="248"/>
      <c r="M113" s="248"/>
      <c r="N113" s="248"/>
      <c r="P113" s="248"/>
      <c r="Q113" s="248"/>
    </row>
    <row r="114">
      <c r="A114" s="248"/>
      <c r="B114" s="248"/>
      <c r="C114" s="248"/>
      <c r="D114" s="248"/>
      <c r="E114" s="248"/>
      <c r="F114" s="248"/>
      <c r="G114" s="248"/>
      <c r="I114" s="248"/>
      <c r="J114" s="248"/>
      <c r="K114" s="248"/>
      <c r="L114" s="248"/>
      <c r="M114" s="248"/>
      <c r="N114" s="248"/>
      <c r="P114" s="248"/>
      <c r="Q114" s="248"/>
    </row>
    <row r="115">
      <c r="A115" s="248"/>
      <c r="B115" s="248"/>
      <c r="C115" s="248"/>
      <c r="D115" s="248"/>
      <c r="E115" s="248"/>
      <c r="F115" s="248"/>
      <c r="G115" s="248"/>
      <c r="I115" s="248"/>
      <c r="J115" s="248"/>
      <c r="K115" s="248"/>
      <c r="L115" s="248"/>
      <c r="M115" s="248"/>
      <c r="N115" s="248"/>
      <c r="P115" s="248"/>
      <c r="Q115" s="248"/>
    </row>
    <row r="116">
      <c r="A116" s="248"/>
      <c r="B116" s="248"/>
      <c r="C116" s="248"/>
      <c r="D116" s="248"/>
      <c r="E116" s="248"/>
      <c r="F116" s="248"/>
      <c r="G116" s="248"/>
      <c r="I116" s="248"/>
      <c r="J116" s="248"/>
      <c r="K116" s="248"/>
      <c r="L116" s="248"/>
      <c r="M116" s="248"/>
      <c r="N116" s="248"/>
      <c r="P116" s="248"/>
      <c r="Q116" s="248"/>
    </row>
    <row r="117">
      <c r="A117" s="248"/>
      <c r="B117" s="248"/>
      <c r="C117" s="248"/>
      <c r="D117" s="248"/>
      <c r="E117" s="248"/>
      <c r="F117" s="248"/>
      <c r="G117" s="248"/>
      <c r="I117" s="248"/>
      <c r="J117" s="248"/>
      <c r="K117" s="248"/>
      <c r="L117" s="248"/>
      <c r="M117" s="248"/>
      <c r="N117" s="248"/>
      <c r="P117" s="248"/>
      <c r="Q117" s="248"/>
    </row>
    <row r="118">
      <c r="A118" s="248"/>
      <c r="B118" s="248"/>
      <c r="C118" s="248"/>
      <c r="D118" s="248"/>
      <c r="E118" s="248"/>
      <c r="F118" s="248"/>
      <c r="G118" s="248"/>
      <c r="I118" s="248"/>
      <c r="J118" s="248"/>
      <c r="K118" s="248"/>
      <c r="L118" s="248"/>
      <c r="M118" s="248"/>
      <c r="N118" s="248"/>
      <c r="P118" s="248"/>
      <c r="Q118" s="248"/>
    </row>
    <row r="119">
      <c r="A119" s="248"/>
      <c r="B119" s="248"/>
      <c r="C119" s="248"/>
      <c r="D119" s="248"/>
      <c r="E119" s="248"/>
      <c r="F119" s="248"/>
      <c r="G119" s="248"/>
      <c r="I119" s="248"/>
      <c r="J119" s="248"/>
      <c r="K119" s="248"/>
      <c r="L119" s="248"/>
      <c r="M119" s="248"/>
      <c r="N119" s="248"/>
      <c r="P119" s="248"/>
      <c r="Q119" s="248"/>
    </row>
    <row r="120">
      <c r="A120" s="248"/>
      <c r="B120" s="248"/>
      <c r="C120" s="248"/>
      <c r="D120" s="248"/>
      <c r="E120" s="248"/>
      <c r="F120" s="248"/>
      <c r="G120" s="248"/>
      <c r="I120" s="248"/>
      <c r="J120" s="248"/>
      <c r="K120" s="248"/>
      <c r="L120" s="248"/>
      <c r="M120" s="248"/>
      <c r="N120" s="248"/>
      <c r="P120" s="248"/>
      <c r="Q120" s="248"/>
    </row>
    <row r="121">
      <c r="A121" s="248"/>
      <c r="B121" s="248"/>
      <c r="C121" s="248"/>
      <c r="D121" s="248"/>
      <c r="E121" s="248"/>
      <c r="F121" s="248"/>
      <c r="G121" s="248"/>
      <c r="I121" s="248"/>
      <c r="J121" s="248"/>
      <c r="K121" s="248"/>
      <c r="L121" s="248"/>
      <c r="M121" s="248"/>
      <c r="N121" s="248"/>
      <c r="P121" s="248"/>
      <c r="Q121" s="248"/>
    </row>
    <row r="122">
      <c r="A122" s="248"/>
      <c r="B122" s="248"/>
      <c r="C122" s="248"/>
      <c r="D122" s="248"/>
      <c r="E122" s="248"/>
      <c r="F122" s="248"/>
      <c r="G122" s="248"/>
      <c r="I122" s="248"/>
      <c r="J122" s="248"/>
      <c r="K122" s="248"/>
      <c r="L122" s="248"/>
      <c r="M122" s="248"/>
      <c r="N122" s="248"/>
      <c r="P122" s="248"/>
      <c r="Q122" s="248"/>
    </row>
    <row r="123">
      <c r="A123" s="248"/>
      <c r="B123" s="248"/>
      <c r="C123" s="248"/>
      <c r="D123" s="248"/>
      <c r="E123" s="248"/>
      <c r="F123" s="248"/>
      <c r="G123" s="248"/>
      <c r="I123" s="248"/>
      <c r="J123" s="248"/>
      <c r="K123" s="248"/>
      <c r="L123" s="248"/>
      <c r="M123" s="248"/>
      <c r="N123" s="248"/>
      <c r="P123" s="248"/>
      <c r="Q123" s="248"/>
    </row>
    <row r="124">
      <c r="A124" s="248"/>
      <c r="B124" s="248"/>
      <c r="C124" s="248"/>
      <c r="D124" s="248"/>
      <c r="E124" s="248"/>
      <c r="F124" s="248"/>
      <c r="G124" s="248"/>
      <c r="I124" s="248"/>
      <c r="J124" s="248"/>
      <c r="K124" s="248"/>
      <c r="L124" s="248"/>
      <c r="M124" s="248"/>
      <c r="N124" s="248"/>
      <c r="P124" s="248"/>
      <c r="Q124" s="248"/>
    </row>
    <row r="125">
      <c r="A125" s="248"/>
      <c r="B125" s="248"/>
      <c r="C125" s="248"/>
      <c r="D125" s="248"/>
      <c r="E125" s="248"/>
      <c r="F125" s="248"/>
      <c r="G125" s="248"/>
      <c r="I125" s="248"/>
      <c r="J125" s="248"/>
      <c r="K125" s="248"/>
      <c r="L125" s="248"/>
      <c r="M125" s="248"/>
      <c r="N125" s="248"/>
      <c r="P125" s="248"/>
      <c r="Q125" s="248"/>
    </row>
    <row r="126">
      <c r="A126" s="248"/>
      <c r="B126" s="248"/>
      <c r="C126" s="248"/>
      <c r="D126" s="248"/>
      <c r="E126" s="248"/>
      <c r="F126" s="248"/>
      <c r="G126" s="248"/>
      <c r="I126" s="248"/>
      <c r="J126" s="248"/>
      <c r="K126" s="248"/>
      <c r="L126" s="248"/>
      <c r="M126" s="248"/>
      <c r="N126" s="248"/>
      <c r="P126" s="248"/>
      <c r="Q126" s="248"/>
    </row>
    <row r="127">
      <c r="A127" s="248"/>
      <c r="B127" s="248"/>
      <c r="C127" s="248"/>
      <c r="D127" s="248"/>
      <c r="E127" s="248"/>
      <c r="F127" s="248"/>
      <c r="G127" s="248"/>
      <c r="I127" s="248"/>
      <c r="J127" s="248"/>
      <c r="K127" s="248"/>
      <c r="L127" s="248"/>
      <c r="M127" s="248"/>
      <c r="N127" s="248"/>
      <c r="P127" s="248"/>
      <c r="Q127" s="248"/>
    </row>
    <row r="128">
      <c r="A128" s="248"/>
      <c r="B128" s="248"/>
      <c r="C128" s="248"/>
      <c r="D128" s="248"/>
      <c r="E128" s="248"/>
      <c r="F128" s="248"/>
      <c r="G128" s="248"/>
      <c r="I128" s="248"/>
      <c r="J128" s="248"/>
      <c r="K128" s="248"/>
      <c r="L128" s="248"/>
      <c r="M128" s="248"/>
      <c r="N128" s="248"/>
      <c r="P128" s="248"/>
      <c r="Q128" s="248"/>
    </row>
    <row r="129">
      <c r="A129" s="248"/>
      <c r="B129" s="248"/>
      <c r="C129" s="248"/>
      <c r="D129" s="248"/>
      <c r="E129" s="248"/>
      <c r="F129" s="248"/>
      <c r="G129" s="248"/>
      <c r="I129" s="248"/>
      <c r="J129" s="248"/>
      <c r="K129" s="248"/>
      <c r="L129" s="248"/>
      <c r="M129" s="248"/>
      <c r="N129" s="248"/>
      <c r="P129" s="248"/>
      <c r="Q129" s="248"/>
    </row>
    <row r="130">
      <c r="A130" s="248"/>
      <c r="B130" s="248"/>
      <c r="C130" s="248"/>
      <c r="D130" s="248"/>
      <c r="E130" s="248"/>
      <c r="F130" s="248"/>
      <c r="G130" s="248"/>
      <c r="I130" s="248"/>
      <c r="J130" s="248"/>
      <c r="K130" s="248"/>
      <c r="L130" s="248"/>
      <c r="M130" s="248"/>
      <c r="N130" s="248"/>
      <c r="P130" s="248"/>
      <c r="Q130" s="248"/>
    </row>
    <row r="131">
      <c r="A131" s="248"/>
      <c r="B131" s="248"/>
      <c r="C131" s="248"/>
      <c r="D131" s="248"/>
      <c r="E131" s="248"/>
      <c r="F131" s="248"/>
      <c r="G131" s="248"/>
      <c r="I131" s="248"/>
      <c r="J131" s="248"/>
      <c r="K131" s="248"/>
      <c r="L131" s="248"/>
      <c r="M131" s="248"/>
      <c r="N131" s="248"/>
      <c r="P131" s="248"/>
      <c r="Q131" s="248"/>
    </row>
    <row r="132">
      <c r="A132" s="248"/>
      <c r="B132" s="248"/>
      <c r="C132" s="248"/>
      <c r="D132" s="248"/>
      <c r="E132" s="248"/>
      <c r="F132" s="248"/>
      <c r="G132" s="248"/>
      <c r="I132" s="248"/>
      <c r="J132" s="248"/>
      <c r="K132" s="248"/>
      <c r="L132" s="248"/>
      <c r="M132" s="248"/>
      <c r="N132" s="248"/>
      <c r="P132" s="248"/>
      <c r="Q132" s="248"/>
    </row>
    <row r="133">
      <c r="A133" s="248"/>
      <c r="B133" s="248"/>
      <c r="C133" s="248"/>
      <c r="D133" s="248"/>
      <c r="E133" s="248"/>
      <c r="F133" s="248"/>
      <c r="G133" s="248"/>
      <c r="I133" s="248"/>
      <c r="J133" s="248"/>
      <c r="K133" s="248"/>
      <c r="L133" s="248"/>
      <c r="M133" s="248"/>
      <c r="N133" s="248"/>
      <c r="P133" s="248"/>
      <c r="Q133" s="248"/>
    </row>
    <row r="134">
      <c r="A134" s="248"/>
      <c r="B134" s="248"/>
      <c r="C134" s="248"/>
      <c r="D134" s="248"/>
      <c r="E134" s="248"/>
      <c r="F134" s="248"/>
      <c r="G134" s="248"/>
      <c r="I134" s="248"/>
      <c r="J134" s="248"/>
      <c r="K134" s="248"/>
      <c r="L134" s="248"/>
      <c r="M134" s="248"/>
      <c r="N134" s="248"/>
      <c r="P134" s="248"/>
      <c r="Q134" s="248"/>
    </row>
    <row r="135">
      <c r="A135" s="248"/>
      <c r="B135" s="248"/>
      <c r="C135" s="248"/>
      <c r="D135" s="248"/>
      <c r="E135" s="248"/>
      <c r="F135" s="248"/>
      <c r="G135" s="248"/>
      <c r="I135" s="248"/>
      <c r="J135" s="248"/>
      <c r="K135" s="248"/>
      <c r="L135" s="248"/>
      <c r="M135" s="248"/>
      <c r="N135" s="248"/>
      <c r="P135" s="248"/>
      <c r="Q135" s="248"/>
    </row>
    <row r="136">
      <c r="A136" s="248"/>
      <c r="B136" s="248"/>
      <c r="C136" s="248"/>
      <c r="D136" s="248"/>
      <c r="E136" s="248"/>
      <c r="F136" s="248"/>
      <c r="G136" s="248"/>
      <c r="I136" s="248"/>
      <c r="J136" s="248"/>
      <c r="K136" s="248"/>
      <c r="L136" s="248"/>
      <c r="M136" s="248"/>
      <c r="N136" s="248"/>
      <c r="P136" s="248"/>
      <c r="Q136" s="248"/>
    </row>
    <row r="137">
      <c r="A137" s="248"/>
      <c r="B137" s="248"/>
      <c r="C137" s="248"/>
      <c r="D137" s="248"/>
      <c r="E137" s="248"/>
      <c r="F137" s="248"/>
      <c r="G137" s="248"/>
      <c r="I137" s="248"/>
      <c r="J137" s="248"/>
      <c r="K137" s="248"/>
      <c r="L137" s="248"/>
      <c r="M137" s="248"/>
      <c r="N137" s="248"/>
      <c r="P137" s="248"/>
      <c r="Q137" s="248"/>
    </row>
    <row r="138">
      <c r="A138" s="248"/>
      <c r="B138" s="248"/>
      <c r="C138" s="248"/>
      <c r="D138" s="248"/>
      <c r="E138" s="248"/>
      <c r="F138" s="248"/>
      <c r="G138" s="248"/>
      <c r="I138" s="248"/>
      <c r="J138" s="248"/>
      <c r="K138" s="248"/>
      <c r="L138" s="248"/>
      <c r="M138" s="248"/>
      <c r="N138" s="248"/>
      <c r="P138" s="248"/>
      <c r="Q138" s="248"/>
    </row>
    <row r="139">
      <c r="A139" s="248"/>
      <c r="B139" s="248"/>
      <c r="C139" s="248"/>
      <c r="D139" s="248"/>
      <c r="E139" s="248"/>
      <c r="F139" s="248"/>
      <c r="G139" s="248"/>
      <c r="I139" s="248"/>
      <c r="J139" s="248"/>
      <c r="K139" s="248"/>
      <c r="L139" s="248"/>
      <c r="M139" s="248"/>
      <c r="N139" s="248"/>
      <c r="P139" s="248"/>
      <c r="Q139" s="248"/>
    </row>
    <row r="140">
      <c r="A140" s="248"/>
      <c r="B140" s="248"/>
      <c r="C140" s="248"/>
      <c r="D140" s="248"/>
      <c r="E140" s="248"/>
      <c r="F140" s="248"/>
      <c r="G140" s="248"/>
      <c r="I140" s="248"/>
      <c r="J140" s="248"/>
      <c r="K140" s="248"/>
      <c r="L140" s="248"/>
      <c r="M140" s="248"/>
      <c r="N140" s="248"/>
      <c r="P140" s="248"/>
      <c r="Q140" s="248"/>
    </row>
    <row r="141">
      <c r="A141" s="248"/>
      <c r="B141" s="248"/>
      <c r="C141" s="248"/>
      <c r="D141" s="248"/>
      <c r="E141" s="248"/>
      <c r="F141" s="248"/>
      <c r="G141" s="248"/>
      <c r="I141" s="248"/>
      <c r="J141" s="248"/>
      <c r="K141" s="248"/>
      <c r="L141" s="248"/>
      <c r="M141" s="248"/>
      <c r="N141" s="248"/>
      <c r="P141" s="248"/>
      <c r="Q141" s="248"/>
    </row>
    <row r="142">
      <c r="A142" s="248"/>
      <c r="B142" s="248"/>
      <c r="C142" s="248"/>
      <c r="D142" s="248"/>
      <c r="E142" s="248"/>
      <c r="F142" s="248"/>
      <c r="G142" s="248"/>
      <c r="I142" s="248"/>
      <c r="J142" s="248"/>
      <c r="K142" s="248"/>
      <c r="L142" s="248"/>
      <c r="M142" s="248"/>
      <c r="N142" s="248"/>
      <c r="P142" s="248"/>
      <c r="Q142" s="248"/>
    </row>
    <row r="143">
      <c r="A143" s="248"/>
      <c r="B143" s="248"/>
      <c r="C143" s="248"/>
      <c r="D143" s="248"/>
      <c r="E143" s="248"/>
      <c r="F143" s="248"/>
      <c r="G143" s="248"/>
      <c r="I143" s="248"/>
      <c r="J143" s="248"/>
      <c r="K143" s="248"/>
      <c r="L143" s="248"/>
      <c r="M143" s="248"/>
      <c r="N143" s="248"/>
      <c r="P143" s="248"/>
      <c r="Q143" s="248"/>
    </row>
    <row r="144">
      <c r="A144" s="248"/>
      <c r="B144" s="248"/>
      <c r="C144" s="248"/>
      <c r="D144" s="248"/>
      <c r="E144" s="248"/>
      <c r="F144" s="248"/>
      <c r="G144" s="248"/>
      <c r="I144" s="248"/>
      <c r="J144" s="248"/>
      <c r="K144" s="248"/>
      <c r="L144" s="248"/>
      <c r="M144" s="248"/>
      <c r="N144" s="248"/>
      <c r="P144" s="248"/>
      <c r="Q144" s="248"/>
    </row>
    <row r="145">
      <c r="A145" s="248"/>
      <c r="B145" s="248"/>
      <c r="C145" s="248"/>
      <c r="D145" s="248"/>
      <c r="E145" s="248"/>
      <c r="F145" s="248"/>
      <c r="G145" s="248"/>
      <c r="I145" s="248"/>
      <c r="J145" s="248"/>
      <c r="K145" s="248"/>
      <c r="L145" s="248"/>
      <c r="M145" s="248"/>
      <c r="N145" s="248"/>
      <c r="P145" s="248"/>
      <c r="Q145" s="248"/>
    </row>
    <row r="146">
      <c r="A146" s="248"/>
      <c r="B146" s="248"/>
      <c r="C146" s="248"/>
      <c r="D146" s="248"/>
      <c r="E146" s="248"/>
      <c r="F146" s="248"/>
      <c r="G146" s="248"/>
      <c r="I146" s="248"/>
      <c r="J146" s="248"/>
      <c r="K146" s="248"/>
      <c r="L146" s="248"/>
      <c r="M146" s="248"/>
      <c r="N146" s="248"/>
      <c r="P146" s="248"/>
      <c r="Q146" s="248"/>
    </row>
    <row r="147">
      <c r="A147" s="248"/>
      <c r="B147" s="248"/>
      <c r="C147" s="248"/>
      <c r="D147" s="248"/>
      <c r="E147" s="248"/>
      <c r="F147" s="248"/>
      <c r="G147" s="248"/>
      <c r="I147" s="248"/>
      <c r="J147" s="248"/>
      <c r="K147" s="248"/>
      <c r="L147" s="248"/>
      <c r="M147" s="248"/>
      <c r="N147" s="248"/>
      <c r="P147" s="248"/>
      <c r="Q147" s="248"/>
    </row>
    <row r="148">
      <c r="A148" s="248"/>
      <c r="B148" s="248"/>
      <c r="C148" s="248"/>
      <c r="D148" s="248"/>
      <c r="E148" s="248"/>
      <c r="F148" s="248"/>
      <c r="G148" s="248"/>
      <c r="I148" s="248"/>
      <c r="J148" s="248"/>
      <c r="K148" s="248"/>
      <c r="L148" s="248"/>
      <c r="M148" s="248"/>
      <c r="N148" s="248"/>
      <c r="P148" s="248"/>
      <c r="Q148" s="248"/>
    </row>
    <row r="149">
      <c r="A149" s="248"/>
      <c r="B149" s="248"/>
      <c r="C149" s="248"/>
      <c r="D149" s="248"/>
      <c r="E149" s="248"/>
      <c r="F149" s="248"/>
      <c r="G149" s="248"/>
      <c r="I149" s="248"/>
      <c r="J149" s="248"/>
      <c r="K149" s="248"/>
      <c r="L149" s="248"/>
      <c r="M149" s="248"/>
      <c r="N149" s="248"/>
      <c r="P149" s="248"/>
      <c r="Q149" s="248"/>
    </row>
    <row r="150">
      <c r="A150" s="248"/>
      <c r="B150" s="248"/>
      <c r="C150" s="248"/>
      <c r="D150" s="248"/>
      <c r="E150" s="248"/>
      <c r="F150" s="248"/>
      <c r="G150" s="248"/>
      <c r="I150" s="248"/>
      <c r="J150" s="248"/>
      <c r="K150" s="248"/>
      <c r="L150" s="248"/>
      <c r="M150" s="248"/>
      <c r="N150" s="248"/>
      <c r="P150" s="248"/>
      <c r="Q150" s="248"/>
    </row>
    <row r="151">
      <c r="A151" s="248"/>
      <c r="B151" s="248"/>
      <c r="C151" s="248"/>
      <c r="D151" s="248"/>
      <c r="E151" s="248"/>
      <c r="F151" s="248"/>
      <c r="G151" s="248"/>
      <c r="I151" s="248"/>
      <c r="J151" s="248"/>
      <c r="K151" s="248"/>
      <c r="L151" s="248"/>
      <c r="M151" s="248"/>
      <c r="N151" s="248"/>
      <c r="P151" s="248"/>
      <c r="Q151" s="248"/>
    </row>
    <row r="152">
      <c r="A152" s="248"/>
      <c r="B152" s="248"/>
      <c r="C152" s="248"/>
      <c r="D152" s="248"/>
      <c r="E152" s="248"/>
      <c r="F152" s="248"/>
      <c r="G152" s="248"/>
      <c r="I152" s="248"/>
      <c r="J152" s="248"/>
      <c r="K152" s="248"/>
      <c r="L152" s="248"/>
      <c r="M152" s="248"/>
      <c r="N152" s="248"/>
      <c r="P152" s="248"/>
      <c r="Q152" s="248"/>
    </row>
    <row r="153">
      <c r="A153" s="248"/>
      <c r="B153" s="248"/>
      <c r="C153" s="248"/>
      <c r="D153" s="248"/>
      <c r="E153" s="248"/>
      <c r="F153" s="248"/>
      <c r="G153" s="248"/>
      <c r="I153" s="248"/>
      <c r="J153" s="248"/>
      <c r="K153" s="248"/>
      <c r="L153" s="248"/>
      <c r="M153" s="248"/>
      <c r="N153" s="248"/>
      <c r="P153" s="248"/>
      <c r="Q153" s="248"/>
    </row>
    <row r="154">
      <c r="A154" s="248"/>
      <c r="B154" s="248"/>
      <c r="C154" s="248"/>
      <c r="D154" s="248"/>
      <c r="E154" s="248"/>
      <c r="F154" s="248"/>
      <c r="G154" s="248"/>
      <c r="I154" s="248"/>
      <c r="J154" s="248"/>
      <c r="K154" s="248"/>
      <c r="L154" s="248"/>
      <c r="M154" s="248"/>
      <c r="N154" s="248"/>
      <c r="P154" s="248"/>
      <c r="Q154" s="248"/>
    </row>
    <row r="155">
      <c r="A155" s="248"/>
      <c r="B155" s="248"/>
      <c r="C155" s="248"/>
      <c r="D155" s="248"/>
      <c r="E155" s="248"/>
      <c r="F155" s="248"/>
      <c r="G155" s="248"/>
      <c r="I155" s="248"/>
      <c r="J155" s="248"/>
      <c r="K155" s="248"/>
      <c r="L155" s="248"/>
      <c r="M155" s="248"/>
      <c r="N155" s="248"/>
      <c r="P155" s="248"/>
      <c r="Q155" s="248"/>
    </row>
    <row r="156">
      <c r="A156" s="248"/>
      <c r="B156" s="248"/>
      <c r="C156" s="248"/>
      <c r="D156" s="248"/>
      <c r="E156" s="248"/>
      <c r="F156" s="248"/>
      <c r="G156" s="248"/>
      <c r="I156" s="248"/>
      <c r="J156" s="248"/>
      <c r="K156" s="248"/>
      <c r="L156" s="248"/>
      <c r="M156" s="248"/>
      <c r="N156" s="248"/>
      <c r="P156" s="248"/>
      <c r="Q156" s="248"/>
    </row>
    <row r="157">
      <c r="A157" s="248"/>
      <c r="B157" s="248"/>
      <c r="C157" s="248"/>
      <c r="D157" s="248"/>
      <c r="E157" s="248"/>
      <c r="F157" s="248"/>
      <c r="G157" s="248"/>
      <c r="I157" s="248"/>
      <c r="J157" s="248"/>
      <c r="K157" s="248"/>
      <c r="L157" s="248"/>
      <c r="M157" s="248"/>
      <c r="N157" s="248"/>
      <c r="P157" s="248"/>
      <c r="Q157" s="248"/>
    </row>
    <row r="158">
      <c r="A158" s="248"/>
      <c r="B158" s="248"/>
      <c r="C158" s="248"/>
      <c r="D158" s="248"/>
      <c r="E158" s="248"/>
      <c r="F158" s="248"/>
      <c r="G158" s="248"/>
      <c r="I158" s="248"/>
      <c r="J158" s="248"/>
      <c r="K158" s="248"/>
      <c r="L158" s="248"/>
      <c r="M158" s="248"/>
      <c r="N158" s="248"/>
      <c r="P158" s="248"/>
      <c r="Q158" s="248"/>
    </row>
    <row r="159">
      <c r="A159" s="248"/>
      <c r="B159" s="248"/>
      <c r="C159" s="248"/>
      <c r="D159" s="248"/>
      <c r="E159" s="248"/>
      <c r="F159" s="248"/>
      <c r="G159" s="248"/>
      <c r="I159" s="248"/>
      <c r="J159" s="248"/>
      <c r="K159" s="248"/>
      <c r="L159" s="248"/>
      <c r="M159" s="248"/>
      <c r="N159" s="248"/>
      <c r="P159" s="248"/>
      <c r="Q159" s="248"/>
    </row>
    <row r="160">
      <c r="A160" s="248"/>
      <c r="B160" s="248"/>
      <c r="C160" s="248"/>
      <c r="D160" s="248"/>
      <c r="E160" s="248"/>
      <c r="F160" s="248"/>
      <c r="G160" s="248"/>
      <c r="I160" s="248"/>
      <c r="J160" s="248"/>
      <c r="K160" s="248"/>
      <c r="L160" s="248"/>
      <c r="M160" s="248"/>
      <c r="N160" s="248"/>
      <c r="P160" s="248"/>
      <c r="Q160" s="248"/>
    </row>
    <row r="161">
      <c r="A161" s="248"/>
      <c r="B161" s="248"/>
      <c r="C161" s="248"/>
      <c r="D161" s="248"/>
      <c r="E161" s="248"/>
      <c r="F161" s="248"/>
      <c r="G161" s="248"/>
      <c r="I161" s="248"/>
      <c r="J161" s="248"/>
      <c r="K161" s="248"/>
      <c r="L161" s="248"/>
      <c r="M161" s="248"/>
      <c r="N161" s="248"/>
      <c r="P161" s="248"/>
      <c r="Q161" s="248"/>
    </row>
    <row r="162">
      <c r="A162" s="248"/>
      <c r="B162" s="248"/>
      <c r="C162" s="248"/>
      <c r="D162" s="248"/>
      <c r="E162" s="248"/>
      <c r="F162" s="248"/>
      <c r="G162" s="248"/>
      <c r="I162" s="248"/>
      <c r="J162" s="248"/>
      <c r="K162" s="248"/>
      <c r="L162" s="248"/>
      <c r="M162" s="248"/>
      <c r="N162" s="248"/>
      <c r="P162" s="248"/>
      <c r="Q162" s="248"/>
    </row>
    <row r="163">
      <c r="A163" s="248"/>
      <c r="B163" s="248"/>
      <c r="C163" s="248"/>
      <c r="D163" s="248"/>
      <c r="E163" s="248"/>
      <c r="F163" s="248"/>
      <c r="G163" s="248"/>
      <c r="I163" s="248"/>
      <c r="J163" s="248"/>
      <c r="K163" s="248"/>
      <c r="L163" s="248"/>
      <c r="M163" s="248"/>
      <c r="N163" s="248"/>
      <c r="P163" s="248"/>
      <c r="Q163" s="248"/>
    </row>
    <row r="164">
      <c r="A164" s="248"/>
      <c r="B164" s="248"/>
      <c r="C164" s="248"/>
      <c r="D164" s="248"/>
      <c r="E164" s="248"/>
      <c r="F164" s="248"/>
      <c r="G164" s="248"/>
      <c r="I164" s="248"/>
      <c r="J164" s="248"/>
      <c r="K164" s="248"/>
      <c r="L164" s="248"/>
      <c r="M164" s="248"/>
      <c r="N164" s="248"/>
      <c r="P164" s="248"/>
      <c r="Q164" s="248"/>
    </row>
    <row r="165">
      <c r="A165" s="248"/>
      <c r="B165" s="248"/>
      <c r="C165" s="248"/>
      <c r="D165" s="248"/>
      <c r="E165" s="248"/>
      <c r="F165" s="248"/>
      <c r="G165" s="248"/>
      <c r="I165" s="248"/>
      <c r="J165" s="248"/>
      <c r="K165" s="248"/>
      <c r="L165" s="248"/>
      <c r="M165" s="248"/>
      <c r="N165" s="248"/>
      <c r="P165" s="248"/>
      <c r="Q165" s="248"/>
    </row>
    <row r="166">
      <c r="A166" s="248"/>
      <c r="B166" s="248"/>
      <c r="C166" s="248"/>
      <c r="D166" s="248"/>
      <c r="E166" s="248"/>
      <c r="F166" s="248"/>
      <c r="G166" s="248"/>
      <c r="I166" s="248"/>
      <c r="J166" s="248"/>
      <c r="K166" s="248"/>
      <c r="L166" s="248"/>
      <c r="M166" s="248"/>
      <c r="N166" s="248"/>
      <c r="P166" s="248"/>
      <c r="Q166" s="248"/>
    </row>
    <row r="167">
      <c r="A167" s="248"/>
      <c r="B167" s="248"/>
      <c r="C167" s="248"/>
      <c r="D167" s="248"/>
      <c r="E167" s="248"/>
      <c r="F167" s="248"/>
      <c r="G167" s="248"/>
      <c r="I167" s="248"/>
      <c r="J167" s="248"/>
      <c r="K167" s="248"/>
      <c r="L167" s="248"/>
      <c r="M167" s="248"/>
      <c r="N167" s="248"/>
      <c r="P167" s="248"/>
      <c r="Q167" s="248"/>
    </row>
    <row r="168">
      <c r="A168" s="248"/>
      <c r="B168" s="248"/>
      <c r="C168" s="248"/>
      <c r="D168" s="248"/>
      <c r="E168" s="248"/>
      <c r="F168" s="248"/>
      <c r="G168" s="248"/>
      <c r="I168" s="248"/>
      <c r="J168" s="248"/>
      <c r="K168" s="248"/>
      <c r="L168" s="248"/>
      <c r="M168" s="248"/>
      <c r="N168" s="248"/>
      <c r="P168" s="248"/>
      <c r="Q168" s="248"/>
    </row>
    <row r="169">
      <c r="A169" s="248"/>
      <c r="B169" s="248"/>
      <c r="C169" s="248"/>
      <c r="D169" s="248"/>
      <c r="E169" s="248"/>
      <c r="F169" s="248"/>
      <c r="G169" s="248"/>
      <c r="I169" s="248"/>
      <c r="J169" s="248"/>
      <c r="K169" s="248"/>
      <c r="L169" s="248"/>
      <c r="M169" s="248"/>
      <c r="N169" s="248"/>
      <c r="P169" s="248"/>
      <c r="Q169" s="248"/>
    </row>
    <row r="170">
      <c r="A170" s="248"/>
      <c r="B170" s="248"/>
      <c r="C170" s="248"/>
      <c r="D170" s="248"/>
      <c r="E170" s="248"/>
      <c r="F170" s="248"/>
      <c r="G170" s="248"/>
      <c r="I170" s="248"/>
      <c r="J170" s="248"/>
      <c r="K170" s="248"/>
      <c r="L170" s="248"/>
      <c r="M170" s="248"/>
      <c r="N170" s="248"/>
      <c r="P170" s="248"/>
      <c r="Q170" s="248"/>
    </row>
    <row r="171">
      <c r="A171" s="248"/>
      <c r="B171" s="248"/>
      <c r="C171" s="248"/>
      <c r="D171" s="248"/>
      <c r="E171" s="248"/>
      <c r="F171" s="248"/>
      <c r="G171" s="248"/>
      <c r="I171" s="248"/>
      <c r="J171" s="248"/>
      <c r="K171" s="248"/>
      <c r="L171" s="248"/>
      <c r="M171" s="248"/>
      <c r="N171" s="248"/>
      <c r="P171" s="248"/>
      <c r="Q171" s="248"/>
    </row>
    <row r="172">
      <c r="A172" s="248"/>
      <c r="B172" s="248"/>
      <c r="C172" s="248"/>
      <c r="D172" s="248"/>
      <c r="E172" s="248"/>
      <c r="F172" s="248"/>
      <c r="G172" s="248"/>
      <c r="I172" s="248"/>
      <c r="J172" s="248"/>
      <c r="K172" s="248"/>
      <c r="L172" s="248"/>
      <c r="M172" s="248"/>
      <c r="N172" s="248"/>
      <c r="P172" s="248"/>
      <c r="Q172" s="248"/>
    </row>
    <row r="173">
      <c r="A173" s="248"/>
      <c r="B173" s="248"/>
      <c r="C173" s="248"/>
      <c r="D173" s="248"/>
      <c r="E173" s="248"/>
      <c r="F173" s="248"/>
      <c r="G173" s="248"/>
      <c r="I173" s="248"/>
      <c r="J173" s="248"/>
      <c r="K173" s="248"/>
      <c r="L173" s="248"/>
      <c r="M173" s="248"/>
      <c r="N173" s="248"/>
      <c r="P173" s="248"/>
      <c r="Q173" s="248"/>
    </row>
    <row r="174">
      <c r="A174" s="248"/>
      <c r="B174" s="248"/>
      <c r="C174" s="248"/>
      <c r="D174" s="248"/>
      <c r="E174" s="248"/>
      <c r="F174" s="248"/>
      <c r="G174" s="248"/>
      <c r="I174" s="248"/>
      <c r="J174" s="248"/>
      <c r="K174" s="248"/>
      <c r="L174" s="248"/>
      <c r="M174" s="248"/>
      <c r="N174" s="248"/>
      <c r="P174" s="248"/>
      <c r="Q174" s="248"/>
    </row>
    <row r="175">
      <c r="A175" s="248"/>
      <c r="B175" s="248"/>
      <c r="C175" s="248"/>
      <c r="D175" s="248"/>
      <c r="E175" s="248"/>
      <c r="F175" s="248"/>
      <c r="G175" s="248"/>
      <c r="I175" s="248"/>
      <c r="J175" s="248"/>
      <c r="K175" s="248"/>
      <c r="L175" s="248"/>
      <c r="M175" s="248"/>
      <c r="N175" s="248"/>
      <c r="P175" s="248"/>
      <c r="Q175" s="248"/>
    </row>
    <row r="176">
      <c r="A176" s="248"/>
      <c r="B176" s="248"/>
      <c r="C176" s="248"/>
      <c r="D176" s="248"/>
      <c r="E176" s="248"/>
      <c r="F176" s="248"/>
      <c r="G176" s="248"/>
      <c r="I176" s="248"/>
      <c r="J176" s="248"/>
      <c r="K176" s="248"/>
      <c r="L176" s="248"/>
      <c r="M176" s="248"/>
      <c r="N176" s="248"/>
      <c r="P176" s="248"/>
      <c r="Q176" s="248"/>
    </row>
    <row r="177">
      <c r="A177" s="248"/>
      <c r="B177" s="248"/>
      <c r="C177" s="248"/>
      <c r="D177" s="248"/>
      <c r="E177" s="248"/>
      <c r="F177" s="248"/>
      <c r="G177" s="248"/>
      <c r="I177" s="248"/>
      <c r="J177" s="248"/>
      <c r="K177" s="248"/>
      <c r="L177" s="248"/>
      <c r="M177" s="248"/>
      <c r="N177" s="248"/>
      <c r="P177" s="248"/>
      <c r="Q177" s="248"/>
    </row>
    <row r="178">
      <c r="A178" s="248"/>
      <c r="B178" s="248"/>
      <c r="C178" s="248"/>
      <c r="D178" s="248"/>
      <c r="E178" s="248"/>
      <c r="F178" s="248"/>
      <c r="G178" s="248"/>
      <c r="I178" s="248"/>
      <c r="J178" s="248"/>
      <c r="K178" s="248"/>
      <c r="L178" s="248"/>
      <c r="M178" s="248"/>
      <c r="N178" s="248"/>
      <c r="P178" s="248"/>
      <c r="Q178" s="248"/>
    </row>
    <row r="179">
      <c r="A179" s="248"/>
      <c r="B179" s="248"/>
      <c r="C179" s="248"/>
      <c r="D179" s="248"/>
      <c r="E179" s="248"/>
      <c r="F179" s="248"/>
      <c r="G179" s="248"/>
      <c r="I179" s="248"/>
      <c r="J179" s="248"/>
      <c r="K179" s="248"/>
      <c r="L179" s="248"/>
      <c r="M179" s="248"/>
      <c r="N179" s="248"/>
      <c r="P179" s="248"/>
      <c r="Q179" s="248"/>
    </row>
    <row r="180">
      <c r="A180" s="248"/>
      <c r="B180" s="248"/>
      <c r="C180" s="248"/>
      <c r="D180" s="248"/>
      <c r="E180" s="248"/>
      <c r="F180" s="248"/>
      <c r="G180" s="248"/>
      <c r="I180" s="248"/>
      <c r="J180" s="248"/>
      <c r="K180" s="248"/>
      <c r="L180" s="248"/>
      <c r="M180" s="248"/>
      <c r="N180" s="248"/>
      <c r="P180" s="248"/>
      <c r="Q180" s="248"/>
    </row>
    <row r="181">
      <c r="A181" s="248"/>
      <c r="B181" s="248"/>
      <c r="C181" s="248"/>
      <c r="D181" s="248"/>
      <c r="E181" s="248"/>
      <c r="F181" s="248"/>
      <c r="G181" s="248"/>
      <c r="I181" s="248"/>
      <c r="J181" s="248"/>
      <c r="K181" s="248"/>
      <c r="L181" s="248"/>
      <c r="M181" s="248"/>
      <c r="N181" s="248"/>
      <c r="P181" s="248"/>
      <c r="Q181" s="248"/>
    </row>
    <row r="182">
      <c r="A182" s="248"/>
      <c r="B182" s="248"/>
      <c r="C182" s="248"/>
      <c r="D182" s="248"/>
      <c r="E182" s="248"/>
      <c r="F182" s="248"/>
      <c r="G182" s="248"/>
      <c r="I182" s="248"/>
      <c r="J182" s="248"/>
      <c r="K182" s="248"/>
      <c r="L182" s="248"/>
      <c r="M182" s="248"/>
      <c r="N182" s="248"/>
      <c r="P182" s="248"/>
      <c r="Q182" s="248"/>
    </row>
    <row r="183">
      <c r="A183" s="248"/>
      <c r="B183" s="248"/>
      <c r="C183" s="248"/>
      <c r="D183" s="248"/>
      <c r="E183" s="248"/>
      <c r="F183" s="248"/>
      <c r="G183" s="248"/>
      <c r="I183" s="248"/>
      <c r="J183" s="248"/>
      <c r="K183" s="248"/>
      <c r="L183" s="248"/>
      <c r="M183" s="248"/>
      <c r="N183" s="248"/>
      <c r="P183" s="248"/>
      <c r="Q183" s="248"/>
    </row>
    <row r="184">
      <c r="A184" s="248"/>
      <c r="B184" s="248"/>
      <c r="C184" s="248"/>
      <c r="D184" s="248"/>
      <c r="E184" s="248"/>
      <c r="F184" s="248"/>
      <c r="G184" s="248"/>
      <c r="I184" s="248"/>
      <c r="J184" s="248"/>
      <c r="K184" s="248"/>
      <c r="L184" s="248"/>
      <c r="M184" s="248"/>
      <c r="N184" s="248"/>
      <c r="P184" s="248"/>
      <c r="Q184" s="248"/>
    </row>
    <row r="185">
      <c r="A185" s="248"/>
      <c r="B185" s="248"/>
      <c r="C185" s="248"/>
      <c r="D185" s="248"/>
      <c r="E185" s="248"/>
      <c r="F185" s="248"/>
      <c r="G185" s="248"/>
      <c r="I185" s="248"/>
      <c r="J185" s="248"/>
      <c r="K185" s="248"/>
      <c r="L185" s="248"/>
      <c r="M185" s="248"/>
      <c r="N185" s="248"/>
      <c r="P185" s="248"/>
      <c r="Q185" s="248"/>
    </row>
    <row r="186">
      <c r="A186" s="248"/>
      <c r="B186" s="248"/>
      <c r="C186" s="248"/>
      <c r="D186" s="248"/>
      <c r="E186" s="248"/>
      <c r="F186" s="248"/>
      <c r="G186" s="248"/>
      <c r="I186" s="248"/>
      <c r="J186" s="248"/>
      <c r="K186" s="248"/>
      <c r="L186" s="248"/>
      <c r="M186" s="248"/>
      <c r="N186" s="248"/>
      <c r="P186" s="248"/>
      <c r="Q186" s="248"/>
    </row>
    <row r="187">
      <c r="A187" s="248"/>
      <c r="B187" s="248"/>
      <c r="C187" s="248"/>
      <c r="D187" s="248"/>
      <c r="E187" s="248"/>
      <c r="F187" s="248"/>
      <c r="G187" s="248"/>
      <c r="I187" s="248"/>
      <c r="J187" s="248"/>
      <c r="K187" s="248"/>
      <c r="L187" s="248"/>
      <c r="M187" s="248"/>
      <c r="N187" s="248"/>
      <c r="P187" s="248"/>
      <c r="Q187" s="248"/>
    </row>
    <row r="188">
      <c r="A188" s="248"/>
      <c r="B188" s="248"/>
      <c r="C188" s="248"/>
      <c r="D188" s="248"/>
      <c r="E188" s="248"/>
      <c r="F188" s="248"/>
      <c r="G188" s="248"/>
      <c r="I188" s="248"/>
      <c r="J188" s="248"/>
      <c r="K188" s="248"/>
      <c r="L188" s="248"/>
      <c r="M188" s="248"/>
      <c r="N188" s="248"/>
      <c r="P188" s="248"/>
      <c r="Q188" s="248"/>
    </row>
    <row r="189">
      <c r="A189" s="248"/>
      <c r="B189" s="248"/>
      <c r="C189" s="248"/>
      <c r="D189" s="248"/>
      <c r="E189" s="248"/>
      <c r="F189" s="248"/>
      <c r="G189" s="248"/>
      <c r="I189" s="248"/>
      <c r="J189" s="248"/>
      <c r="K189" s="248"/>
      <c r="L189" s="248"/>
      <c r="M189" s="248"/>
      <c r="N189" s="248"/>
      <c r="P189" s="248"/>
      <c r="Q189" s="248"/>
    </row>
    <row r="190">
      <c r="A190" s="248"/>
      <c r="B190" s="248"/>
      <c r="C190" s="248"/>
      <c r="D190" s="248"/>
      <c r="E190" s="248"/>
      <c r="F190" s="248"/>
      <c r="G190" s="248"/>
      <c r="I190" s="248"/>
      <c r="J190" s="248"/>
      <c r="K190" s="248"/>
      <c r="L190" s="248"/>
      <c r="M190" s="248"/>
      <c r="N190" s="248"/>
      <c r="P190" s="248"/>
      <c r="Q190" s="248"/>
    </row>
    <row r="191">
      <c r="A191" s="248"/>
      <c r="B191" s="248"/>
      <c r="C191" s="248"/>
      <c r="D191" s="248"/>
      <c r="E191" s="248"/>
      <c r="F191" s="248"/>
      <c r="G191" s="248"/>
      <c r="I191" s="248"/>
      <c r="J191" s="248"/>
      <c r="K191" s="248"/>
      <c r="L191" s="248"/>
      <c r="M191" s="248"/>
      <c r="N191" s="248"/>
      <c r="P191" s="248"/>
      <c r="Q191" s="248"/>
    </row>
    <row r="192">
      <c r="A192" s="248"/>
      <c r="B192" s="248"/>
      <c r="C192" s="248"/>
      <c r="D192" s="248"/>
      <c r="E192" s="248"/>
      <c r="F192" s="248"/>
      <c r="G192" s="248"/>
      <c r="I192" s="248"/>
      <c r="J192" s="248"/>
      <c r="K192" s="248"/>
      <c r="L192" s="248"/>
      <c r="M192" s="248"/>
      <c r="N192" s="248"/>
      <c r="P192" s="248"/>
      <c r="Q192" s="248"/>
    </row>
    <row r="193">
      <c r="A193" s="248"/>
      <c r="B193" s="248"/>
      <c r="C193" s="248"/>
      <c r="D193" s="248"/>
      <c r="E193" s="248"/>
      <c r="F193" s="248"/>
      <c r="G193" s="248"/>
      <c r="I193" s="248"/>
      <c r="J193" s="248"/>
      <c r="K193" s="248"/>
      <c r="L193" s="248"/>
      <c r="M193" s="248"/>
      <c r="N193" s="248"/>
      <c r="P193" s="248"/>
      <c r="Q193" s="248"/>
    </row>
    <row r="194">
      <c r="A194" s="248"/>
      <c r="B194" s="248"/>
      <c r="C194" s="248"/>
      <c r="D194" s="248"/>
      <c r="E194" s="248"/>
      <c r="F194" s="248"/>
      <c r="G194" s="248"/>
      <c r="I194" s="248"/>
      <c r="J194" s="248"/>
      <c r="K194" s="248"/>
      <c r="L194" s="248"/>
      <c r="M194" s="248"/>
      <c r="N194" s="248"/>
      <c r="P194" s="248"/>
      <c r="Q194" s="248"/>
    </row>
    <row r="195">
      <c r="A195" s="248"/>
      <c r="B195" s="248"/>
      <c r="C195" s="248"/>
      <c r="D195" s="248"/>
      <c r="E195" s="248"/>
      <c r="F195" s="248"/>
      <c r="G195" s="248"/>
      <c r="I195" s="248"/>
      <c r="J195" s="248"/>
      <c r="K195" s="248"/>
      <c r="L195" s="248"/>
      <c r="M195" s="248"/>
      <c r="N195" s="248"/>
      <c r="P195" s="248"/>
      <c r="Q195" s="248"/>
    </row>
    <row r="196">
      <c r="A196" s="248"/>
      <c r="B196" s="248"/>
      <c r="C196" s="248"/>
      <c r="D196" s="248"/>
      <c r="E196" s="248"/>
      <c r="F196" s="248"/>
      <c r="G196" s="248"/>
      <c r="I196" s="248"/>
      <c r="J196" s="248"/>
      <c r="K196" s="248"/>
      <c r="L196" s="248"/>
      <c r="M196" s="248"/>
      <c r="N196" s="248"/>
      <c r="P196" s="248"/>
      <c r="Q196" s="248"/>
    </row>
    <row r="197">
      <c r="A197" s="248"/>
      <c r="B197" s="248"/>
      <c r="C197" s="248"/>
      <c r="D197" s="248"/>
      <c r="E197" s="248"/>
      <c r="F197" s="248"/>
      <c r="G197" s="248"/>
      <c r="I197" s="248"/>
      <c r="J197" s="248"/>
      <c r="K197" s="248"/>
      <c r="L197" s="248"/>
      <c r="M197" s="248"/>
      <c r="N197" s="248"/>
      <c r="P197" s="248"/>
      <c r="Q197" s="248"/>
    </row>
    <row r="198">
      <c r="A198" s="248"/>
      <c r="B198" s="248"/>
      <c r="C198" s="248"/>
      <c r="D198" s="248"/>
      <c r="E198" s="248"/>
      <c r="F198" s="248"/>
      <c r="G198" s="248"/>
      <c r="I198" s="248"/>
      <c r="J198" s="248"/>
      <c r="K198" s="248"/>
      <c r="L198" s="248"/>
      <c r="M198" s="248"/>
      <c r="N198" s="248"/>
      <c r="P198" s="248"/>
      <c r="Q198" s="248"/>
    </row>
    <row r="199">
      <c r="A199" s="248"/>
      <c r="B199" s="248"/>
      <c r="C199" s="248"/>
      <c r="D199" s="248"/>
      <c r="E199" s="248"/>
      <c r="F199" s="248"/>
      <c r="G199" s="248"/>
      <c r="I199" s="248"/>
      <c r="J199" s="248"/>
      <c r="K199" s="248"/>
      <c r="L199" s="248"/>
      <c r="M199" s="248"/>
      <c r="N199" s="248"/>
      <c r="P199" s="248"/>
      <c r="Q199" s="248"/>
    </row>
    <row r="200">
      <c r="A200" s="248"/>
      <c r="B200" s="248"/>
      <c r="C200" s="248"/>
      <c r="D200" s="248"/>
      <c r="E200" s="248"/>
      <c r="F200" s="248"/>
      <c r="G200" s="248"/>
      <c r="I200" s="248"/>
      <c r="J200" s="248"/>
      <c r="K200" s="248"/>
      <c r="L200" s="248"/>
      <c r="M200" s="248"/>
      <c r="N200" s="248"/>
      <c r="P200" s="248"/>
      <c r="Q200" s="248"/>
    </row>
    <row r="201">
      <c r="A201" s="248"/>
      <c r="B201" s="248"/>
      <c r="C201" s="248"/>
      <c r="D201" s="248"/>
      <c r="E201" s="248"/>
      <c r="F201" s="248"/>
      <c r="G201" s="248"/>
      <c r="I201" s="248"/>
      <c r="J201" s="248"/>
      <c r="K201" s="248"/>
      <c r="L201" s="248"/>
      <c r="M201" s="248"/>
      <c r="N201" s="248"/>
      <c r="P201" s="248"/>
      <c r="Q201" s="248"/>
    </row>
    <row r="202">
      <c r="A202" s="248"/>
      <c r="B202" s="248"/>
      <c r="C202" s="248"/>
      <c r="D202" s="248"/>
      <c r="E202" s="248"/>
      <c r="F202" s="248"/>
      <c r="G202" s="248"/>
      <c r="I202" s="248"/>
      <c r="J202" s="248"/>
      <c r="K202" s="248"/>
      <c r="L202" s="248"/>
      <c r="M202" s="248"/>
      <c r="N202" s="248"/>
      <c r="P202" s="248"/>
      <c r="Q202" s="248"/>
    </row>
    <row r="203">
      <c r="A203" s="248"/>
      <c r="B203" s="248"/>
      <c r="C203" s="248"/>
      <c r="D203" s="248"/>
      <c r="E203" s="248"/>
      <c r="F203" s="248"/>
      <c r="G203" s="248"/>
      <c r="I203" s="248"/>
      <c r="J203" s="248"/>
      <c r="K203" s="248"/>
      <c r="L203" s="248"/>
      <c r="M203" s="248"/>
      <c r="N203" s="248"/>
      <c r="P203" s="248"/>
      <c r="Q203" s="248"/>
    </row>
    <row r="204">
      <c r="A204" s="248"/>
      <c r="B204" s="248"/>
      <c r="C204" s="248"/>
      <c r="D204" s="248"/>
      <c r="E204" s="248"/>
      <c r="F204" s="248"/>
      <c r="G204" s="248"/>
      <c r="I204" s="248"/>
      <c r="J204" s="248"/>
      <c r="K204" s="248"/>
      <c r="L204" s="248"/>
      <c r="M204" s="248"/>
      <c r="N204" s="248"/>
      <c r="P204" s="248"/>
      <c r="Q204" s="248"/>
    </row>
    <row r="205">
      <c r="A205" s="248"/>
      <c r="B205" s="248"/>
      <c r="C205" s="248"/>
      <c r="D205" s="248"/>
      <c r="E205" s="248"/>
      <c r="F205" s="248"/>
      <c r="G205" s="248"/>
      <c r="I205" s="248"/>
      <c r="J205" s="248"/>
      <c r="K205" s="248"/>
      <c r="L205" s="248"/>
      <c r="M205" s="248"/>
      <c r="N205" s="248"/>
      <c r="P205" s="248"/>
      <c r="Q205" s="248"/>
    </row>
    <row r="206">
      <c r="A206" s="248"/>
      <c r="B206" s="248"/>
      <c r="C206" s="248"/>
      <c r="D206" s="248"/>
      <c r="E206" s="248"/>
      <c r="F206" s="248"/>
      <c r="G206" s="248"/>
      <c r="I206" s="248"/>
      <c r="J206" s="248"/>
      <c r="K206" s="248"/>
      <c r="L206" s="248"/>
      <c r="M206" s="248"/>
      <c r="N206" s="248"/>
      <c r="P206" s="248"/>
      <c r="Q206" s="248"/>
    </row>
    <row r="207">
      <c r="A207" s="248"/>
      <c r="B207" s="248"/>
      <c r="C207" s="248"/>
      <c r="D207" s="248"/>
      <c r="E207" s="248"/>
      <c r="F207" s="248"/>
      <c r="G207" s="248"/>
      <c r="I207" s="248"/>
      <c r="J207" s="248"/>
      <c r="K207" s="248"/>
      <c r="L207" s="248"/>
      <c r="M207" s="248"/>
      <c r="N207" s="248"/>
      <c r="P207" s="248"/>
      <c r="Q207" s="248"/>
    </row>
    <row r="208">
      <c r="A208" s="248"/>
      <c r="B208" s="248"/>
      <c r="C208" s="248"/>
      <c r="D208" s="248"/>
      <c r="E208" s="248"/>
      <c r="F208" s="248"/>
      <c r="G208" s="248"/>
      <c r="I208" s="248"/>
      <c r="J208" s="248"/>
      <c r="K208" s="248"/>
      <c r="L208" s="248"/>
      <c r="M208" s="248"/>
      <c r="N208" s="248"/>
      <c r="P208" s="248"/>
      <c r="Q208" s="248"/>
    </row>
    <row r="209">
      <c r="A209" s="248"/>
      <c r="B209" s="248"/>
      <c r="C209" s="248"/>
      <c r="D209" s="248"/>
      <c r="E209" s="248"/>
      <c r="F209" s="248"/>
      <c r="G209" s="248"/>
      <c r="I209" s="248"/>
      <c r="J209" s="248"/>
      <c r="K209" s="248"/>
      <c r="L209" s="248"/>
      <c r="M209" s="248"/>
      <c r="N209" s="248"/>
      <c r="P209" s="248"/>
      <c r="Q209" s="248"/>
    </row>
    <row r="210">
      <c r="A210" s="248"/>
      <c r="B210" s="248"/>
      <c r="C210" s="248"/>
      <c r="D210" s="248"/>
      <c r="E210" s="248"/>
      <c r="F210" s="248"/>
      <c r="G210" s="248"/>
      <c r="I210" s="248"/>
      <c r="J210" s="248"/>
      <c r="K210" s="248"/>
      <c r="L210" s="248"/>
      <c r="M210" s="248"/>
      <c r="N210" s="248"/>
      <c r="P210" s="248"/>
      <c r="Q210" s="248"/>
    </row>
    <row r="211">
      <c r="A211" s="248"/>
      <c r="B211" s="248"/>
      <c r="C211" s="248"/>
      <c r="D211" s="248"/>
      <c r="E211" s="248"/>
      <c r="F211" s="248"/>
      <c r="G211" s="248"/>
      <c r="I211" s="248"/>
      <c r="J211" s="248"/>
      <c r="K211" s="248"/>
      <c r="L211" s="248"/>
      <c r="M211" s="248"/>
      <c r="N211" s="248"/>
      <c r="P211" s="248"/>
      <c r="Q211" s="248"/>
    </row>
    <row r="212">
      <c r="A212" s="248"/>
      <c r="B212" s="248"/>
      <c r="C212" s="248"/>
      <c r="D212" s="248"/>
      <c r="E212" s="248"/>
      <c r="F212" s="248"/>
      <c r="G212" s="248"/>
      <c r="I212" s="248"/>
      <c r="J212" s="248"/>
      <c r="K212" s="248"/>
      <c r="L212" s="248"/>
      <c r="M212" s="248"/>
      <c r="N212" s="248"/>
      <c r="P212" s="248"/>
      <c r="Q212" s="248"/>
    </row>
    <row r="213">
      <c r="A213" s="248"/>
      <c r="B213" s="248"/>
      <c r="C213" s="248"/>
      <c r="D213" s="248"/>
      <c r="E213" s="248"/>
      <c r="F213" s="248"/>
      <c r="G213" s="248"/>
      <c r="I213" s="248"/>
      <c r="J213" s="248"/>
      <c r="K213" s="248"/>
      <c r="L213" s="248"/>
      <c r="M213" s="248"/>
      <c r="N213" s="248"/>
      <c r="P213" s="248"/>
      <c r="Q213" s="248"/>
    </row>
    <row r="214">
      <c r="A214" s="248"/>
      <c r="B214" s="248"/>
      <c r="C214" s="248"/>
      <c r="D214" s="248"/>
      <c r="E214" s="248"/>
      <c r="F214" s="248"/>
      <c r="G214" s="248"/>
      <c r="I214" s="248"/>
      <c r="J214" s="248"/>
      <c r="K214" s="248"/>
      <c r="L214" s="248"/>
      <c r="M214" s="248"/>
      <c r="N214" s="248"/>
      <c r="P214" s="248"/>
      <c r="Q214" s="248"/>
    </row>
    <row r="215">
      <c r="A215" s="248"/>
      <c r="B215" s="248"/>
      <c r="C215" s="248"/>
      <c r="D215" s="248"/>
      <c r="E215" s="248"/>
      <c r="F215" s="248"/>
      <c r="G215" s="248"/>
      <c r="I215" s="248"/>
      <c r="J215" s="248"/>
      <c r="K215" s="248"/>
      <c r="L215" s="248"/>
      <c r="M215" s="248"/>
      <c r="N215" s="248"/>
      <c r="P215" s="248"/>
      <c r="Q215" s="248"/>
    </row>
    <row r="216">
      <c r="A216" s="248"/>
      <c r="B216" s="248"/>
      <c r="C216" s="248"/>
      <c r="D216" s="248"/>
      <c r="E216" s="248"/>
      <c r="F216" s="248"/>
      <c r="G216" s="248"/>
      <c r="I216" s="248"/>
      <c r="J216" s="248"/>
      <c r="K216" s="248"/>
      <c r="L216" s="248"/>
      <c r="M216" s="248"/>
      <c r="N216" s="248"/>
      <c r="P216" s="248"/>
      <c r="Q216" s="248"/>
    </row>
    <row r="217">
      <c r="A217" s="248"/>
      <c r="B217" s="248"/>
      <c r="C217" s="248"/>
      <c r="D217" s="248"/>
      <c r="E217" s="248"/>
      <c r="F217" s="248"/>
      <c r="G217" s="248"/>
      <c r="I217" s="248"/>
      <c r="J217" s="248"/>
      <c r="K217" s="248"/>
      <c r="L217" s="248"/>
      <c r="M217" s="248"/>
      <c r="N217" s="248"/>
      <c r="P217" s="248"/>
      <c r="Q217" s="248"/>
    </row>
    <row r="218">
      <c r="A218" s="248"/>
      <c r="B218" s="248"/>
      <c r="C218" s="248"/>
      <c r="D218" s="248"/>
      <c r="E218" s="248"/>
      <c r="F218" s="248"/>
      <c r="G218" s="248"/>
      <c r="I218" s="248"/>
      <c r="J218" s="248"/>
      <c r="K218" s="248"/>
      <c r="L218" s="248"/>
      <c r="M218" s="248"/>
      <c r="N218" s="248"/>
      <c r="P218" s="248"/>
      <c r="Q218" s="248"/>
    </row>
    <row r="219">
      <c r="A219" s="248"/>
      <c r="B219" s="248"/>
      <c r="C219" s="248"/>
      <c r="D219" s="248"/>
      <c r="E219" s="248"/>
      <c r="F219" s="248"/>
      <c r="G219" s="248"/>
      <c r="I219" s="248"/>
      <c r="J219" s="248"/>
      <c r="K219" s="248"/>
      <c r="L219" s="248"/>
      <c r="M219" s="248"/>
      <c r="N219" s="248"/>
      <c r="P219" s="248"/>
      <c r="Q219" s="248"/>
    </row>
    <row r="220">
      <c r="A220" s="248"/>
      <c r="B220" s="248"/>
      <c r="C220" s="248"/>
      <c r="D220" s="248"/>
      <c r="E220" s="248"/>
      <c r="F220" s="248"/>
      <c r="G220" s="248"/>
      <c r="I220" s="248"/>
      <c r="J220" s="248"/>
      <c r="K220" s="248"/>
      <c r="L220" s="248"/>
      <c r="M220" s="248"/>
      <c r="N220" s="248"/>
      <c r="P220" s="248"/>
      <c r="Q220" s="248"/>
    </row>
    <row r="221">
      <c r="A221" s="248"/>
      <c r="B221" s="248"/>
      <c r="C221" s="248"/>
      <c r="D221" s="248"/>
      <c r="E221" s="248"/>
      <c r="F221" s="248"/>
      <c r="G221" s="248"/>
      <c r="I221" s="248"/>
      <c r="J221" s="248"/>
      <c r="K221" s="248"/>
      <c r="L221" s="248"/>
      <c r="M221" s="248"/>
      <c r="N221" s="248"/>
      <c r="P221" s="248"/>
      <c r="Q221" s="248"/>
    </row>
    <row r="222">
      <c r="A222" s="248"/>
      <c r="B222" s="248"/>
      <c r="C222" s="248"/>
      <c r="D222" s="248"/>
      <c r="E222" s="248"/>
      <c r="F222" s="248"/>
      <c r="G222" s="248"/>
      <c r="I222" s="248"/>
      <c r="J222" s="248"/>
      <c r="K222" s="248"/>
      <c r="L222" s="248"/>
      <c r="M222" s="248"/>
      <c r="N222" s="248"/>
      <c r="P222" s="248"/>
      <c r="Q222" s="248"/>
    </row>
    <row r="223">
      <c r="A223" s="248"/>
      <c r="B223" s="248"/>
      <c r="C223" s="248"/>
      <c r="D223" s="248"/>
      <c r="E223" s="248"/>
      <c r="F223" s="248"/>
      <c r="G223" s="248"/>
      <c r="I223" s="248"/>
      <c r="J223" s="248"/>
      <c r="K223" s="248"/>
      <c r="L223" s="248"/>
      <c r="M223" s="248"/>
      <c r="N223" s="248"/>
      <c r="P223" s="248"/>
      <c r="Q223" s="248"/>
    </row>
    <row r="224">
      <c r="A224" s="248"/>
      <c r="B224" s="248"/>
      <c r="C224" s="248"/>
      <c r="D224" s="248"/>
      <c r="E224" s="248"/>
      <c r="F224" s="248"/>
      <c r="G224" s="248"/>
      <c r="I224" s="248"/>
      <c r="J224" s="248"/>
      <c r="K224" s="248"/>
      <c r="L224" s="248"/>
      <c r="M224" s="248"/>
      <c r="N224" s="248"/>
      <c r="P224" s="248"/>
      <c r="Q224" s="248"/>
    </row>
    <row r="225">
      <c r="A225" s="248"/>
      <c r="B225" s="248"/>
      <c r="C225" s="248"/>
      <c r="D225" s="248"/>
      <c r="E225" s="248"/>
      <c r="F225" s="248"/>
      <c r="G225" s="248"/>
      <c r="I225" s="248"/>
      <c r="J225" s="248"/>
      <c r="K225" s="248"/>
      <c r="L225" s="248"/>
      <c r="M225" s="248"/>
      <c r="N225" s="248"/>
      <c r="P225" s="248"/>
      <c r="Q225" s="248"/>
    </row>
    <row r="226">
      <c r="A226" s="248"/>
      <c r="B226" s="248"/>
      <c r="C226" s="248"/>
      <c r="D226" s="248"/>
      <c r="E226" s="248"/>
      <c r="F226" s="248"/>
      <c r="G226" s="248"/>
      <c r="I226" s="248"/>
      <c r="J226" s="248"/>
      <c r="K226" s="248"/>
      <c r="L226" s="248"/>
      <c r="M226" s="248"/>
      <c r="N226" s="248"/>
      <c r="P226" s="248"/>
      <c r="Q226" s="248"/>
    </row>
    <row r="227">
      <c r="A227" s="248"/>
      <c r="B227" s="248"/>
      <c r="C227" s="248"/>
      <c r="D227" s="248"/>
      <c r="E227" s="248"/>
      <c r="F227" s="248"/>
      <c r="G227" s="248"/>
      <c r="I227" s="248"/>
      <c r="J227" s="248"/>
      <c r="K227" s="248"/>
      <c r="L227" s="248"/>
      <c r="M227" s="248"/>
      <c r="N227" s="248"/>
      <c r="P227" s="248"/>
      <c r="Q227" s="248"/>
    </row>
    <row r="228">
      <c r="A228" s="248"/>
      <c r="B228" s="248"/>
      <c r="C228" s="248"/>
      <c r="D228" s="248"/>
      <c r="E228" s="248"/>
      <c r="F228" s="248"/>
      <c r="G228" s="248"/>
      <c r="I228" s="248"/>
      <c r="J228" s="248"/>
      <c r="K228" s="248"/>
      <c r="L228" s="248"/>
      <c r="M228" s="248"/>
      <c r="N228" s="248"/>
      <c r="P228" s="248"/>
      <c r="Q228" s="248"/>
    </row>
    <row r="229">
      <c r="A229" s="248"/>
      <c r="B229" s="248"/>
      <c r="C229" s="248"/>
      <c r="D229" s="248"/>
      <c r="E229" s="248"/>
      <c r="F229" s="248"/>
      <c r="G229" s="248"/>
      <c r="I229" s="248"/>
      <c r="J229" s="248"/>
      <c r="K229" s="248"/>
      <c r="L229" s="248"/>
      <c r="M229" s="248"/>
      <c r="N229" s="248"/>
      <c r="P229" s="248"/>
      <c r="Q229" s="248"/>
    </row>
    <row r="230">
      <c r="A230" s="248"/>
      <c r="B230" s="248"/>
      <c r="C230" s="248"/>
      <c r="D230" s="248"/>
      <c r="E230" s="248"/>
      <c r="F230" s="248"/>
      <c r="G230" s="248"/>
      <c r="I230" s="248"/>
      <c r="J230" s="248"/>
      <c r="K230" s="248"/>
      <c r="L230" s="248"/>
      <c r="M230" s="248"/>
      <c r="N230" s="248"/>
      <c r="P230" s="248"/>
      <c r="Q230" s="248"/>
    </row>
    <row r="231">
      <c r="A231" s="248"/>
      <c r="B231" s="248"/>
      <c r="C231" s="248"/>
      <c r="D231" s="248"/>
      <c r="E231" s="248"/>
      <c r="F231" s="248"/>
      <c r="G231" s="248"/>
      <c r="I231" s="248"/>
      <c r="J231" s="248"/>
      <c r="K231" s="248"/>
      <c r="L231" s="248"/>
      <c r="M231" s="248"/>
      <c r="N231" s="248"/>
      <c r="P231" s="248"/>
      <c r="Q231" s="248"/>
    </row>
    <row r="232">
      <c r="A232" s="248"/>
      <c r="B232" s="248"/>
      <c r="C232" s="248"/>
      <c r="D232" s="248"/>
      <c r="E232" s="248"/>
      <c r="F232" s="248"/>
      <c r="G232" s="248"/>
      <c r="I232" s="248"/>
      <c r="J232" s="248"/>
      <c r="K232" s="248"/>
      <c r="L232" s="248"/>
      <c r="M232" s="248"/>
      <c r="N232" s="248"/>
      <c r="P232" s="248"/>
      <c r="Q232" s="248"/>
    </row>
    <row r="233">
      <c r="A233" s="248"/>
      <c r="B233" s="248"/>
      <c r="C233" s="248"/>
      <c r="D233" s="248"/>
      <c r="E233" s="248"/>
      <c r="F233" s="248"/>
      <c r="G233" s="248"/>
      <c r="I233" s="248"/>
      <c r="J233" s="248"/>
      <c r="K233" s="248"/>
      <c r="L233" s="248"/>
      <c r="M233" s="248"/>
      <c r="N233" s="248"/>
      <c r="P233" s="248"/>
      <c r="Q233" s="248"/>
    </row>
    <row r="234">
      <c r="A234" s="248"/>
      <c r="B234" s="248"/>
      <c r="C234" s="248"/>
      <c r="D234" s="248"/>
      <c r="E234" s="248"/>
      <c r="F234" s="248"/>
      <c r="G234" s="248"/>
      <c r="I234" s="248"/>
      <c r="J234" s="248"/>
      <c r="K234" s="248"/>
      <c r="L234" s="248"/>
      <c r="M234" s="248"/>
      <c r="N234" s="248"/>
      <c r="P234" s="248"/>
      <c r="Q234" s="248"/>
    </row>
    <row r="235">
      <c r="A235" s="248"/>
      <c r="B235" s="248"/>
      <c r="C235" s="248"/>
      <c r="D235" s="248"/>
      <c r="E235" s="248"/>
      <c r="F235" s="248"/>
      <c r="G235" s="248"/>
      <c r="I235" s="248"/>
      <c r="J235" s="248"/>
      <c r="K235" s="248"/>
      <c r="L235" s="248"/>
      <c r="M235" s="248"/>
      <c r="N235" s="248"/>
      <c r="P235" s="248"/>
      <c r="Q235" s="248"/>
    </row>
    <row r="236">
      <c r="A236" s="248"/>
      <c r="B236" s="248"/>
      <c r="C236" s="248"/>
      <c r="D236" s="248"/>
      <c r="E236" s="248"/>
      <c r="F236" s="248"/>
      <c r="G236" s="248"/>
      <c r="I236" s="248"/>
      <c r="J236" s="248"/>
      <c r="K236" s="248"/>
      <c r="L236" s="248"/>
      <c r="M236" s="248"/>
      <c r="N236" s="248"/>
      <c r="P236" s="248"/>
      <c r="Q236" s="248"/>
    </row>
    <row r="237">
      <c r="A237" s="248"/>
      <c r="B237" s="248"/>
      <c r="C237" s="248"/>
      <c r="D237" s="248"/>
      <c r="E237" s="248"/>
      <c r="F237" s="248"/>
      <c r="G237" s="248"/>
      <c r="I237" s="248"/>
      <c r="J237" s="248"/>
      <c r="K237" s="248"/>
      <c r="L237" s="248"/>
      <c r="M237" s="248"/>
      <c r="N237" s="248"/>
      <c r="P237" s="248"/>
      <c r="Q237" s="248"/>
    </row>
    <row r="238">
      <c r="A238" s="248"/>
      <c r="B238" s="248"/>
      <c r="C238" s="248"/>
      <c r="D238" s="248"/>
      <c r="E238" s="248"/>
      <c r="F238" s="248"/>
      <c r="G238" s="248"/>
      <c r="I238" s="248"/>
      <c r="J238" s="248"/>
      <c r="K238" s="248"/>
      <c r="L238" s="248"/>
      <c r="M238" s="248"/>
      <c r="N238" s="248"/>
      <c r="P238" s="248"/>
      <c r="Q238" s="248"/>
    </row>
    <row r="239">
      <c r="A239" s="248"/>
      <c r="B239" s="248"/>
      <c r="C239" s="248"/>
      <c r="D239" s="248"/>
      <c r="E239" s="248"/>
      <c r="F239" s="248"/>
      <c r="G239" s="248"/>
      <c r="I239" s="248"/>
      <c r="J239" s="248"/>
      <c r="K239" s="248"/>
      <c r="L239" s="248"/>
      <c r="M239" s="248"/>
      <c r="N239" s="248"/>
      <c r="P239" s="248"/>
      <c r="Q239" s="248"/>
    </row>
    <row r="240">
      <c r="A240" s="248"/>
      <c r="B240" s="248"/>
      <c r="C240" s="248"/>
      <c r="D240" s="248"/>
      <c r="E240" s="248"/>
      <c r="F240" s="248"/>
      <c r="G240" s="248"/>
      <c r="I240" s="248"/>
      <c r="J240" s="248"/>
      <c r="K240" s="248"/>
      <c r="L240" s="248"/>
      <c r="M240" s="248"/>
      <c r="N240" s="248"/>
      <c r="P240" s="248"/>
      <c r="Q240" s="248"/>
    </row>
    <row r="241">
      <c r="A241" s="248"/>
      <c r="B241" s="248"/>
      <c r="C241" s="248"/>
      <c r="D241" s="248"/>
      <c r="E241" s="248"/>
      <c r="F241" s="248"/>
      <c r="G241" s="248"/>
      <c r="I241" s="248"/>
      <c r="J241" s="248"/>
      <c r="K241" s="248"/>
      <c r="L241" s="248"/>
      <c r="M241" s="248"/>
      <c r="N241" s="248"/>
      <c r="P241" s="248"/>
      <c r="Q241" s="248"/>
    </row>
    <row r="242">
      <c r="A242" s="248"/>
      <c r="B242" s="248"/>
      <c r="C242" s="248"/>
      <c r="D242" s="248"/>
      <c r="E242" s="248"/>
      <c r="F242" s="248"/>
      <c r="G242" s="248"/>
      <c r="I242" s="248"/>
      <c r="J242" s="248"/>
      <c r="K242" s="248"/>
      <c r="L242" s="248"/>
      <c r="M242" s="248"/>
      <c r="N242" s="248"/>
      <c r="P242" s="248"/>
      <c r="Q242" s="248"/>
    </row>
    <row r="243">
      <c r="A243" s="248"/>
      <c r="B243" s="248"/>
      <c r="C243" s="248"/>
      <c r="D243" s="248"/>
      <c r="E243" s="248"/>
      <c r="F243" s="248"/>
      <c r="G243" s="248"/>
      <c r="I243" s="248"/>
      <c r="J243" s="248"/>
      <c r="K243" s="248"/>
      <c r="L243" s="248"/>
      <c r="M243" s="248"/>
      <c r="N243" s="248"/>
      <c r="P243" s="248"/>
      <c r="Q243" s="248"/>
    </row>
    <row r="244">
      <c r="A244" s="248"/>
      <c r="B244" s="248"/>
      <c r="C244" s="248"/>
      <c r="D244" s="248"/>
      <c r="E244" s="248"/>
      <c r="F244" s="248"/>
      <c r="G244" s="248"/>
      <c r="I244" s="248"/>
      <c r="J244" s="248"/>
      <c r="K244" s="248"/>
      <c r="L244" s="248"/>
      <c r="M244" s="248"/>
      <c r="N244" s="248"/>
      <c r="P244" s="248"/>
      <c r="Q244" s="248"/>
    </row>
    <row r="245">
      <c r="A245" s="248"/>
      <c r="B245" s="248"/>
      <c r="C245" s="248"/>
      <c r="D245" s="248"/>
      <c r="E245" s="248"/>
      <c r="F245" s="248"/>
      <c r="G245" s="248"/>
      <c r="I245" s="248"/>
      <c r="J245" s="248"/>
      <c r="K245" s="248"/>
      <c r="L245" s="248"/>
      <c r="M245" s="248"/>
      <c r="N245" s="248"/>
      <c r="P245" s="248"/>
      <c r="Q245" s="248"/>
    </row>
    <row r="246">
      <c r="A246" s="248"/>
      <c r="B246" s="248"/>
      <c r="C246" s="248"/>
      <c r="D246" s="248"/>
      <c r="E246" s="248"/>
      <c r="F246" s="248"/>
      <c r="G246" s="248"/>
      <c r="I246" s="248"/>
      <c r="J246" s="248"/>
      <c r="K246" s="248"/>
      <c r="L246" s="248"/>
      <c r="M246" s="248"/>
      <c r="N246" s="248"/>
      <c r="P246" s="248"/>
      <c r="Q246" s="248"/>
    </row>
    <row r="247">
      <c r="A247" s="248"/>
      <c r="B247" s="248"/>
      <c r="C247" s="248"/>
      <c r="D247" s="248"/>
      <c r="E247" s="248"/>
      <c r="F247" s="248"/>
      <c r="G247" s="248"/>
      <c r="I247" s="248"/>
      <c r="J247" s="248"/>
      <c r="K247" s="248"/>
      <c r="L247" s="248"/>
      <c r="M247" s="248"/>
      <c r="N247" s="248"/>
      <c r="P247" s="248"/>
      <c r="Q247" s="248"/>
    </row>
    <row r="248">
      <c r="A248" s="248"/>
      <c r="B248" s="248"/>
      <c r="C248" s="248"/>
      <c r="D248" s="248"/>
      <c r="E248" s="248"/>
      <c r="F248" s="248"/>
      <c r="G248" s="248"/>
      <c r="I248" s="248"/>
      <c r="J248" s="248"/>
      <c r="K248" s="248"/>
      <c r="L248" s="248"/>
      <c r="M248" s="248"/>
      <c r="N248" s="248"/>
      <c r="P248" s="248"/>
      <c r="Q248" s="248"/>
    </row>
    <row r="249">
      <c r="A249" s="248"/>
      <c r="B249" s="248"/>
      <c r="C249" s="248"/>
      <c r="D249" s="248"/>
      <c r="E249" s="248"/>
      <c r="F249" s="248"/>
      <c r="G249" s="248"/>
      <c r="I249" s="248"/>
      <c r="J249" s="248"/>
      <c r="K249" s="248"/>
      <c r="L249" s="248"/>
      <c r="M249" s="248"/>
      <c r="N249" s="248"/>
      <c r="P249" s="248"/>
      <c r="Q249" s="248"/>
    </row>
    <row r="250">
      <c r="A250" s="248"/>
      <c r="B250" s="248"/>
      <c r="C250" s="248"/>
      <c r="D250" s="248"/>
      <c r="E250" s="248"/>
      <c r="F250" s="248"/>
      <c r="G250" s="248"/>
      <c r="I250" s="248"/>
      <c r="J250" s="248"/>
      <c r="K250" s="248"/>
      <c r="L250" s="248"/>
      <c r="M250" s="248"/>
      <c r="N250" s="248"/>
      <c r="P250" s="248"/>
      <c r="Q250" s="248"/>
    </row>
    <row r="251">
      <c r="A251" s="248"/>
      <c r="B251" s="248"/>
      <c r="C251" s="248"/>
      <c r="D251" s="248"/>
      <c r="E251" s="248"/>
      <c r="F251" s="248"/>
      <c r="G251" s="248"/>
      <c r="I251" s="248"/>
      <c r="J251" s="248"/>
      <c r="K251" s="248"/>
      <c r="L251" s="248"/>
      <c r="M251" s="248"/>
      <c r="N251" s="248"/>
      <c r="P251" s="248"/>
      <c r="Q251" s="248"/>
    </row>
    <row r="252">
      <c r="A252" s="248"/>
      <c r="B252" s="248"/>
      <c r="C252" s="248"/>
      <c r="D252" s="248"/>
      <c r="E252" s="248"/>
      <c r="F252" s="248"/>
      <c r="G252" s="248"/>
      <c r="I252" s="248"/>
      <c r="J252" s="248"/>
      <c r="K252" s="248"/>
      <c r="L252" s="248"/>
      <c r="M252" s="248"/>
      <c r="N252" s="248"/>
      <c r="P252" s="248"/>
      <c r="Q252" s="248"/>
    </row>
    <row r="253">
      <c r="A253" s="248"/>
      <c r="B253" s="248"/>
      <c r="C253" s="248"/>
      <c r="D253" s="248"/>
      <c r="E253" s="248"/>
      <c r="F253" s="248"/>
      <c r="G253" s="248"/>
      <c r="I253" s="248"/>
      <c r="J253" s="248"/>
      <c r="K253" s="248"/>
      <c r="L253" s="248"/>
      <c r="M253" s="248"/>
      <c r="N253" s="248"/>
      <c r="P253" s="248"/>
      <c r="Q253" s="248"/>
    </row>
    <row r="254">
      <c r="A254" s="248"/>
      <c r="B254" s="248"/>
      <c r="C254" s="248"/>
      <c r="D254" s="248"/>
      <c r="E254" s="248"/>
      <c r="F254" s="248"/>
      <c r="G254" s="248"/>
      <c r="I254" s="248"/>
      <c r="J254" s="248"/>
      <c r="K254" s="248"/>
      <c r="L254" s="248"/>
      <c r="M254" s="248"/>
      <c r="N254" s="248"/>
      <c r="P254" s="248"/>
      <c r="Q254" s="248"/>
    </row>
    <row r="255">
      <c r="A255" s="248"/>
      <c r="B255" s="248"/>
      <c r="C255" s="248"/>
      <c r="D255" s="248"/>
      <c r="E255" s="248"/>
      <c r="F255" s="248"/>
      <c r="G255" s="248"/>
      <c r="I255" s="248"/>
      <c r="J255" s="248"/>
      <c r="K255" s="248"/>
      <c r="L255" s="248"/>
      <c r="M255" s="248"/>
      <c r="N255" s="248"/>
      <c r="P255" s="248"/>
      <c r="Q255" s="248"/>
    </row>
    <row r="256">
      <c r="A256" s="248"/>
      <c r="B256" s="248"/>
      <c r="C256" s="248"/>
      <c r="D256" s="248"/>
      <c r="E256" s="248"/>
      <c r="F256" s="248"/>
      <c r="G256" s="248"/>
      <c r="I256" s="248"/>
      <c r="J256" s="248"/>
      <c r="K256" s="248"/>
      <c r="L256" s="248"/>
      <c r="M256" s="248"/>
      <c r="N256" s="248"/>
      <c r="P256" s="248"/>
      <c r="Q256" s="248"/>
    </row>
    <row r="257">
      <c r="A257" s="248"/>
      <c r="B257" s="248"/>
      <c r="C257" s="248"/>
      <c r="D257" s="248"/>
      <c r="E257" s="248"/>
      <c r="F257" s="248"/>
      <c r="G257" s="248"/>
      <c r="I257" s="248"/>
      <c r="J257" s="248"/>
      <c r="K257" s="248"/>
      <c r="L257" s="248"/>
      <c r="M257" s="248"/>
      <c r="N257" s="248"/>
      <c r="P257" s="248"/>
      <c r="Q257" s="248"/>
    </row>
    <row r="258">
      <c r="A258" s="248"/>
      <c r="B258" s="248"/>
      <c r="C258" s="248"/>
      <c r="D258" s="248"/>
      <c r="E258" s="248"/>
      <c r="F258" s="248"/>
      <c r="G258" s="248"/>
      <c r="I258" s="248"/>
      <c r="J258" s="248"/>
      <c r="K258" s="248"/>
      <c r="L258" s="248"/>
      <c r="M258" s="248"/>
      <c r="N258" s="248"/>
      <c r="P258" s="248"/>
      <c r="Q258" s="248"/>
    </row>
    <row r="259">
      <c r="A259" s="248"/>
      <c r="B259" s="248"/>
      <c r="C259" s="248"/>
      <c r="D259" s="248"/>
      <c r="E259" s="248"/>
      <c r="F259" s="248"/>
      <c r="G259" s="248"/>
      <c r="I259" s="248"/>
      <c r="J259" s="248"/>
      <c r="K259" s="248"/>
      <c r="L259" s="248"/>
      <c r="M259" s="248"/>
      <c r="N259" s="248"/>
      <c r="P259" s="248"/>
      <c r="Q259" s="248"/>
    </row>
    <row r="260">
      <c r="A260" s="248"/>
      <c r="B260" s="248"/>
      <c r="C260" s="248"/>
      <c r="D260" s="248"/>
      <c r="E260" s="248"/>
      <c r="F260" s="248"/>
      <c r="G260" s="248"/>
      <c r="I260" s="248"/>
      <c r="J260" s="248"/>
      <c r="K260" s="248"/>
      <c r="L260" s="248"/>
      <c r="M260" s="248"/>
      <c r="N260" s="248"/>
      <c r="P260" s="248"/>
      <c r="Q260" s="248"/>
    </row>
    <row r="261">
      <c r="A261" s="248"/>
      <c r="B261" s="248"/>
      <c r="C261" s="248"/>
      <c r="D261" s="248"/>
      <c r="E261" s="248"/>
      <c r="F261" s="248"/>
      <c r="G261" s="248"/>
      <c r="I261" s="248"/>
      <c r="J261" s="248"/>
      <c r="K261" s="248"/>
      <c r="L261" s="248"/>
      <c r="M261" s="248"/>
      <c r="N261" s="248"/>
      <c r="P261" s="248"/>
      <c r="Q261" s="248"/>
    </row>
    <row r="262">
      <c r="A262" s="248"/>
      <c r="B262" s="248"/>
      <c r="C262" s="248"/>
      <c r="D262" s="248"/>
      <c r="E262" s="248"/>
      <c r="F262" s="248"/>
      <c r="G262" s="248"/>
      <c r="I262" s="248"/>
      <c r="J262" s="248"/>
      <c r="K262" s="248"/>
      <c r="L262" s="248"/>
      <c r="M262" s="248"/>
      <c r="N262" s="248"/>
      <c r="P262" s="248"/>
      <c r="Q262" s="248"/>
    </row>
    <row r="263">
      <c r="A263" s="248"/>
      <c r="B263" s="248"/>
      <c r="C263" s="248"/>
      <c r="D263" s="248"/>
      <c r="E263" s="248"/>
      <c r="F263" s="248"/>
      <c r="G263" s="248"/>
      <c r="I263" s="248"/>
      <c r="J263" s="248"/>
      <c r="K263" s="248"/>
      <c r="L263" s="248"/>
      <c r="M263" s="248"/>
      <c r="N263" s="248"/>
      <c r="P263" s="248"/>
      <c r="Q263" s="248"/>
    </row>
    <row r="264">
      <c r="A264" s="248"/>
      <c r="B264" s="248"/>
      <c r="C264" s="248"/>
      <c r="D264" s="248"/>
      <c r="E264" s="248"/>
      <c r="F264" s="248"/>
      <c r="G264" s="248"/>
      <c r="I264" s="248"/>
      <c r="J264" s="248"/>
      <c r="K264" s="248"/>
      <c r="L264" s="248"/>
      <c r="M264" s="248"/>
      <c r="N264" s="248"/>
      <c r="P264" s="248"/>
      <c r="Q264" s="248"/>
    </row>
    <row r="265">
      <c r="A265" s="248"/>
      <c r="B265" s="248"/>
      <c r="C265" s="248"/>
      <c r="D265" s="248"/>
      <c r="E265" s="248"/>
      <c r="F265" s="248"/>
      <c r="G265" s="248"/>
      <c r="I265" s="248"/>
      <c r="J265" s="248"/>
      <c r="K265" s="248"/>
      <c r="L265" s="248"/>
      <c r="M265" s="248"/>
      <c r="N265" s="248"/>
      <c r="P265" s="248"/>
      <c r="Q265" s="248"/>
    </row>
    <row r="266">
      <c r="A266" s="248"/>
      <c r="B266" s="248"/>
      <c r="C266" s="248"/>
      <c r="D266" s="248"/>
      <c r="E266" s="248"/>
      <c r="F266" s="248"/>
      <c r="G266" s="248"/>
      <c r="I266" s="248"/>
      <c r="J266" s="248"/>
      <c r="K266" s="248"/>
      <c r="L266" s="248"/>
      <c r="M266" s="248"/>
      <c r="N266" s="248"/>
      <c r="P266" s="248"/>
      <c r="Q266" s="248"/>
    </row>
    <row r="267">
      <c r="A267" s="248"/>
      <c r="B267" s="248"/>
      <c r="C267" s="248"/>
      <c r="D267" s="248"/>
      <c r="E267" s="248"/>
      <c r="F267" s="248"/>
      <c r="G267" s="248"/>
      <c r="I267" s="248"/>
      <c r="J267" s="248"/>
      <c r="K267" s="248"/>
      <c r="L267" s="248"/>
      <c r="M267" s="248"/>
      <c r="N267" s="248"/>
      <c r="P267" s="248"/>
      <c r="Q267" s="248"/>
    </row>
    <row r="268">
      <c r="A268" s="248"/>
      <c r="B268" s="248"/>
      <c r="C268" s="248"/>
      <c r="D268" s="248"/>
      <c r="E268" s="248"/>
      <c r="F268" s="248"/>
      <c r="G268" s="248"/>
      <c r="I268" s="248"/>
      <c r="J268" s="248"/>
      <c r="K268" s="248"/>
      <c r="L268" s="248"/>
      <c r="M268" s="248"/>
      <c r="N268" s="248"/>
      <c r="P268" s="248"/>
      <c r="Q268" s="248"/>
    </row>
    <row r="269">
      <c r="A269" s="248"/>
      <c r="B269" s="248"/>
      <c r="C269" s="248"/>
      <c r="D269" s="248"/>
      <c r="E269" s="248"/>
      <c r="F269" s="248"/>
      <c r="G269" s="248"/>
      <c r="I269" s="248"/>
      <c r="J269" s="248"/>
      <c r="K269" s="248"/>
      <c r="L269" s="248"/>
      <c r="M269" s="248"/>
      <c r="N269" s="248"/>
      <c r="P269" s="248"/>
      <c r="Q269" s="248"/>
    </row>
    <row r="270">
      <c r="A270" s="248"/>
      <c r="B270" s="248"/>
      <c r="C270" s="248"/>
      <c r="D270" s="248"/>
      <c r="E270" s="248"/>
      <c r="F270" s="248"/>
      <c r="G270" s="248"/>
      <c r="I270" s="248"/>
      <c r="J270" s="248"/>
      <c r="K270" s="248"/>
      <c r="L270" s="248"/>
      <c r="M270" s="248"/>
      <c r="N270" s="248"/>
      <c r="P270" s="248"/>
      <c r="Q270" s="248"/>
    </row>
    <row r="271">
      <c r="A271" s="248"/>
      <c r="B271" s="248"/>
      <c r="C271" s="248"/>
      <c r="D271" s="248"/>
      <c r="E271" s="248"/>
      <c r="F271" s="248"/>
      <c r="G271" s="248"/>
      <c r="I271" s="248"/>
      <c r="J271" s="248"/>
      <c r="K271" s="248"/>
      <c r="L271" s="248"/>
      <c r="M271" s="248"/>
      <c r="N271" s="248"/>
      <c r="P271" s="248"/>
      <c r="Q271" s="248"/>
    </row>
    <row r="272">
      <c r="A272" s="248"/>
      <c r="B272" s="248"/>
      <c r="C272" s="248"/>
      <c r="D272" s="248"/>
      <c r="E272" s="248"/>
      <c r="F272" s="248"/>
      <c r="G272" s="248"/>
      <c r="I272" s="248"/>
      <c r="J272" s="248"/>
      <c r="K272" s="248"/>
      <c r="L272" s="248"/>
      <c r="M272" s="248"/>
      <c r="N272" s="248"/>
      <c r="P272" s="248"/>
      <c r="Q272" s="248"/>
    </row>
    <row r="273">
      <c r="A273" s="248"/>
      <c r="B273" s="248"/>
      <c r="C273" s="248"/>
      <c r="D273" s="248"/>
      <c r="E273" s="248"/>
      <c r="F273" s="248"/>
      <c r="G273" s="248"/>
      <c r="I273" s="248"/>
      <c r="J273" s="248"/>
      <c r="K273" s="248"/>
      <c r="L273" s="248"/>
      <c r="M273" s="248"/>
      <c r="N273" s="248"/>
      <c r="P273" s="248"/>
      <c r="Q273" s="248"/>
    </row>
    <row r="274">
      <c r="A274" s="248"/>
      <c r="B274" s="248"/>
      <c r="C274" s="248"/>
      <c r="D274" s="248"/>
      <c r="E274" s="248"/>
      <c r="F274" s="248"/>
      <c r="G274" s="248"/>
      <c r="I274" s="248"/>
      <c r="J274" s="248"/>
      <c r="K274" s="248"/>
      <c r="L274" s="248"/>
      <c r="M274" s="248"/>
      <c r="N274" s="248"/>
      <c r="P274" s="248"/>
      <c r="Q274" s="248"/>
    </row>
    <row r="275">
      <c r="A275" s="248"/>
      <c r="B275" s="248"/>
      <c r="C275" s="248"/>
      <c r="D275" s="248"/>
      <c r="E275" s="248"/>
      <c r="F275" s="248"/>
      <c r="G275" s="248"/>
      <c r="I275" s="248"/>
      <c r="J275" s="248"/>
      <c r="K275" s="248"/>
      <c r="L275" s="248"/>
      <c r="M275" s="248"/>
      <c r="N275" s="248"/>
      <c r="P275" s="248"/>
      <c r="Q275" s="248"/>
    </row>
    <row r="276">
      <c r="A276" s="248"/>
      <c r="B276" s="248"/>
      <c r="C276" s="248"/>
      <c r="D276" s="248"/>
      <c r="E276" s="248"/>
      <c r="F276" s="248"/>
      <c r="G276" s="248"/>
      <c r="I276" s="248"/>
      <c r="J276" s="248"/>
      <c r="K276" s="248"/>
      <c r="L276" s="248"/>
      <c r="M276" s="248"/>
      <c r="N276" s="248"/>
      <c r="P276" s="248"/>
      <c r="Q276" s="248"/>
    </row>
    <row r="277">
      <c r="A277" s="248"/>
      <c r="B277" s="248"/>
      <c r="C277" s="248"/>
      <c r="D277" s="248"/>
      <c r="E277" s="248"/>
      <c r="F277" s="248"/>
      <c r="G277" s="248"/>
      <c r="I277" s="248"/>
      <c r="J277" s="248"/>
      <c r="K277" s="248"/>
      <c r="L277" s="248"/>
      <c r="M277" s="248"/>
      <c r="N277" s="248"/>
      <c r="P277" s="248"/>
      <c r="Q277" s="248"/>
    </row>
    <row r="278">
      <c r="A278" s="248"/>
      <c r="B278" s="248"/>
      <c r="C278" s="248"/>
      <c r="D278" s="248"/>
      <c r="E278" s="248"/>
      <c r="F278" s="248"/>
      <c r="G278" s="248"/>
      <c r="I278" s="248"/>
      <c r="J278" s="248"/>
      <c r="K278" s="248"/>
      <c r="L278" s="248"/>
      <c r="M278" s="248"/>
      <c r="N278" s="248"/>
      <c r="P278" s="248"/>
      <c r="Q278" s="248"/>
    </row>
    <row r="279">
      <c r="A279" s="248"/>
      <c r="B279" s="248"/>
      <c r="C279" s="248"/>
      <c r="D279" s="248"/>
      <c r="E279" s="248"/>
      <c r="F279" s="248"/>
      <c r="G279" s="248"/>
      <c r="I279" s="248"/>
      <c r="J279" s="248"/>
      <c r="K279" s="248"/>
      <c r="L279" s="248"/>
      <c r="M279" s="248"/>
      <c r="N279" s="248"/>
      <c r="P279" s="248"/>
      <c r="Q279" s="248"/>
    </row>
    <row r="280">
      <c r="A280" s="248"/>
      <c r="B280" s="248"/>
      <c r="C280" s="248"/>
      <c r="D280" s="248"/>
      <c r="E280" s="248"/>
      <c r="F280" s="248"/>
      <c r="G280" s="248"/>
      <c r="I280" s="248"/>
      <c r="J280" s="248"/>
      <c r="K280" s="248"/>
      <c r="L280" s="248"/>
      <c r="M280" s="248"/>
      <c r="N280" s="248"/>
      <c r="P280" s="248"/>
      <c r="Q280" s="248"/>
    </row>
    <row r="281">
      <c r="A281" s="248"/>
      <c r="B281" s="248"/>
      <c r="C281" s="248"/>
      <c r="D281" s="248"/>
      <c r="E281" s="248"/>
      <c r="F281" s="248"/>
      <c r="G281" s="248"/>
      <c r="I281" s="248"/>
      <c r="J281" s="248"/>
      <c r="K281" s="248"/>
      <c r="L281" s="248"/>
      <c r="M281" s="248"/>
      <c r="N281" s="248"/>
      <c r="P281" s="248"/>
      <c r="Q281" s="248"/>
    </row>
    <row r="282">
      <c r="A282" s="248"/>
      <c r="B282" s="248"/>
      <c r="C282" s="248"/>
      <c r="D282" s="248"/>
      <c r="E282" s="248"/>
      <c r="F282" s="248"/>
      <c r="G282" s="248"/>
      <c r="I282" s="248"/>
      <c r="J282" s="248"/>
      <c r="K282" s="248"/>
      <c r="L282" s="248"/>
      <c r="M282" s="248"/>
      <c r="N282" s="248"/>
      <c r="P282" s="248"/>
      <c r="Q282" s="248"/>
    </row>
    <row r="283">
      <c r="A283" s="248"/>
      <c r="B283" s="248"/>
      <c r="C283" s="248"/>
      <c r="D283" s="248"/>
      <c r="E283" s="248"/>
      <c r="F283" s="248"/>
      <c r="G283" s="248"/>
      <c r="I283" s="248"/>
      <c r="J283" s="248"/>
      <c r="K283" s="248"/>
      <c r="L283" s="248"/>
      <c r="M283" s="248"/>
      <c r="N283" s="248"/>
      <c r="P283" s="248"/>
      <c r="Q283" s="248"/>
    </row>
    <row r="284">
      <c r="A284" s="248"/>
      <c r="B284" s="248"/>
      <c r="C284" s="248"/>
      <c r="D284" s="248"/>
      <c r="E284" s="248"/>
      <c r="F284" s="248"/>
      <c r="G284" s="248"/>
      <c r="I284" s="248"/>
      <c r="J284" s="248"/>
      <c r="K284" s="248"/>
      <c r="L284" s="248"/>
      <c r="M284" s="248"/>
      <c r="N284" s="248"/>
      <c r="P284" s="248"/>
      <c r="Q284" s="248"/>
    </row>
    <row r="285">
      <c r="A285" s="248"/>
      <c r="B285" s="248"/>
      <c r="C285" s="248"/>
      <c r="D285" s="248"/>
      <c r="E285" s="248"/>
      <c r="F285" s="248"/>
      <c r="G285" s="248"/>
      <c r="I285" s="248"/>
      <c r="J285" s="248"/>
      <c r="K285" s="248"/>
      <c r="L285" s="248"/>
      <c r="M285" s="248"/>
      <c r="N285" s="248"/>
      <c r="P285" s="248"/>
      <c r="Q285" s="248"/>
    </row>
    <row r="286">
      <c r="A286" s="248"/>
      <c r="B286" s="248"/>
      <c r="C286" s="248"/>
      <c r="D286" s="248"/>
      <c r="E286" s="248"/>
      <c r="F286" s="248"/>
      <c r="G286" s="248"/>
      <c r="I286" s="248"/>
      <c r="J286" s="248"/>
      <c r="K286" s="248"/>
      <c r="L286" s="248"/>
      <c r="M286" s="248"/>
      <c r="N286" s="248"/>
      <c r="P286" s="248"/>
      <c r="Q286" s="248"/>
    </row>
    <row r="287">
      <c r="A287" s="248"/>
      <c r="B287" s="248"/>
      <c r="C287" s="248"/>
      <c r="D287" s="248"/>
      <c r="E287" s="248"/>
      <c r="F287" s="248"/>
      <c r="G287" s="248"/>
      <c r="I287" s="248"/>
      <c r="J287" s="248"/>
      <c r="K287" s="248"/>
      <c r="L287" s="248"/>
      <c r="M287" s="248"/>
      <c r="N287" s="248"/>
      <c r="P287" s="248"/>
      <c r="Q287" s="248"/>
    </row>
    <row r="288">
      <c r="A288" s="248"/>
      <c r="B288" s="248"/>
      <c r="C288" s="248"/>
      <c r="D288" s="248"/>
      <c r="E288" s="248"/>
      <c r="F288" s="248"/>
      <c r="G288" s="248"/>
      <c r="I288" s="248"/>
      <c r="J288" s="248"/>
      <c r="K288" s="248"/>
      <c r="L288" s="248"/>
      <c r="M288" s="248"/>
      <c r="N288" s="248"/>
      <c r="P288" s="248"/>
      <c r="Q288" s="248"/>
    </row>
    <row r="289">
      <c r="A289" s="248"/>
      <c r="B289" s="248"/>
      <c r="C289" s="248"/>
      <c r="D289" s="248"/>
      <c r="E289" s="248"/>
      <c r="F289" s="248"/>
      <c r="G289" s="248"/>
      <c r="I289" s="248"/>
      <c r="J289" s="248"/>
      <c r="K289" s="248"/>
      <c r="L289" s="248"/>
      <c r="M289" s="248"/>
      <c r="N289" s="248"/>
      <c r="P289" s="248"/>
      <c r="Q289" s="248"/>
    </row>
    <row r="290">
      <c r="A290" s="248"/>
      <c r="B290" s="248"/>
      <c r="C290" s="248"/>
      <c r="D290" s="248"/>
      <c r="E290" s="248"/>
      <c r="F290" s="248"/>
      <c r="G290" s="248"/>
      <c r="I290" s="248"/>
      <c r="J290" s="248"/>
      <c r="K290" s="248"/>
      <c r="L290" s="248"/>
      <c r="M290" s="248"/>
      <c r="N290" s="248"/>
      <c r="P290" s="248"/>
      <c r="Q290" s="248"/>
    </row>
    <row r="291">
      <c r="A291" s="248"/>
      <c r="B291" s="248"/>
      <c r="C291" s="248"/>
      <c r="D291" s="248"/>
      <c r="E291" s="248"/>
      <c r="F291" s="248"/>
      <c r="G291" s="248"/>
      <c r="I291" s="248"/>
      <c r="J291" s="248"/>
      <c r="K291" s="248"/>
      <c r="L291" s="248"/>
      <c r="M291" s="248"/>
      <c r="N291" s="248"/>
      <c r="P291" s="248"/>
      <c r="Q291" s="248"/>
    </row>
    <row r="292">
      <c r="A292" s="248"/>
      <c r="B292" s="248"/>
      <c r="C292" s="248"/>
      <c r="D292" s="248"/>
      <c r="E292" s="248"/>
      <c r="F292" s="248"/>
      <c r="G292" s="248"/>
      <c r="I292" s="248"/>
      <c r="J292" s="248"/>
      <c r="K292" s="248"/>
      <c r="L292" s="248"/>
      <c r="M292" s="248"/>
      <c r="N292" s="248"/>
      <c r="P292" s="248"/>
      <c r="Q292" s="248"/>
    </row>
    <row r="293">
      <c r="A293" s="248"/>
      <c r="B293" s="248"/>
      <c r="C293" s="248"/>
      <c r="D293" s="248"/>
      <c r="E293" s="248"/>
      <c r="F293" s="248"/>
      <c r="G293" s="248"/>
      <c r="I293" s="248"/>
      <c r="J293" s="248"/>
      <c r="K293" s="248"/>
      <c r="L293" s="248"/>
      <c r="M293" s="248"/>
      <c r="N293" s="248"/>
      <c r="P293" s="248"/>
      <c r="Q293" s="248"/>
    </row>
    <row r="294">
      <c r="A294" s="248"/>
      <c r="B294" s="248"/>
      <c r="C294" s="248"/>
      <c r="D294" s="248"/>
      <c r="E294" s="248"/>
      <c r="F294" s="248"/>
      <c r="G294" s="248"/>
      <c r="I294" s="248"/>
      <c r="J294" s="248"/>
      <c r="K294" s="248"/>
      <c r="L294" s="248"/>
      <c r="M294" s="248"/>
      <c r="N294" s="248"/>
      <c r="P294" s="248"/>
      <c r="Q294" s="248"/>
    </row>
    <row r="295">
      <c r="A295" s="248"/>
      <c r="B295" s="248"/>
      <c r="C295" s="248"/>
      <c r="D295" s="248"/>
      <c r="E295" s="248"/>
      <c r="F295" s="248"/>
      <c r="G295" s="248"/>
      <c r="I295" s="248"/>
      <c r="J295" s="248"/>
      <c r="K295" s="248"/>
      <c r="L295" s="248"/>
      <c r="M295" s="248"/>
      <c r="N295" s="248"/>
      <c r="P295" s="248"/>
      <c r="Q295" s="248"/>
    </row>
    <row r="296">
      <c r="A296" s="248"/>
      <c r="B296" s="248"/>
      <c r="C296" s="248"/>
      <c r="D296" s="248"/>
      <c r="E296" s="248"/>
      <c r="F296" s="248"/>
      <c r="G296" s="248"/>
      <c r="I296" s="248"/>
      <c r="J296" s="248"/>
      <c r="K296" s="248"/>
      <c r="L296" s="248"/>
      <c r="M296" s="248"/>
      <c r="N296" s="248"/>
      <c r="P296" s="248"/>
      <c r="Q296" s="248"/>
    </row>
    <row r="297">
      <c r="A297" s="248"/>
      <c r="B297" s="248"/>
      <c r="C297" s="248"/>
      <c r="D297" s="248"/>
      <c r="E297" s="248"/>
      <c r="F297" s="248"/>
      <c r="G297" s="248"/>
      <c r="I297" s="248"/>
      <c r="J297" s="248"/>
      <c r="K297" s="248"/>
      <c r="L297" s="248"/>
      <c r="M297" s="248"/>
      <c r="N297" s="248"/>
      <c r="P297" s="248"/>
      <c r="Q297" s="248"/>
    </row>
    <row r="298">
      <c r="A298" s="248"/>
      <c r="B298" s="248"/>
      <c r="C298" s="248"/>
      <c r="D298" s="248"/>
      <c r="E298" s="248"/>
      <c r="F298" s="248"/>
      <c r="G298" s="248"/>
      <c r="I298" s="248"/>
      <c r="J298" s="248"/>
      <c r="K298" s="248"/>
      <c r="L298" s="248"/>
      <c r="M298" s="248"/>
      <c r="N298" s="248"/>
      <c r="P298" s="248"/>
      <c r="Q298" s="248"/>
    </row>
    <row r="299">
      <c r="A299" s="248"/>
      <c r="B299" s="248"/>
      <c r="C299" s="248"/>
      <c r="D299" s="248"/>
      <c r="E299" s="248"/>
      <c r="F299" s="248"/>
      <c r="G299" s="248"/>
      <c r="I299" s="248"/>
      <c r="J299" s="248"/>
      <c r="K299" s="248"/>
      <c r="L299" s="248"/>
      <c r="M299" s="248"/>
      <c r="N299" s="248"/>
      <c r="P299" s="248"/>
      <c r="Q299" s="248"/>
    </row>
    <row r="300">
      <c r="A300" s="248"/>
      <c r="B300" s="248"/>
      <c r="C300" s="248"/>
      <c r="D300" s="248"/>
      <c r="E300" s="248"/>
      <c r="F300" s="248"/>
      <c r="G300" s="248"/>
      <c r="I300" s="248"/>
      <c r="J300" s="248"/>
      <c r="K300" s="248"/>
      <c r="L300" s="248"/>
      <c r="M300" s="248"/>
      <c r="N300" s="248"/>
      <c r="P300" s="248"/>
      <c r="Q300" s="248"/>
    </row>
    <row r="301">
      <c r="A301" s="248"/>
      <c r="B301" s="248"/>
      <c r="C301" s="248"/>
      <c r="D301" s="248"/>
      <c r="E301" s="248"/>
      <c r="F301" s="248"/>
      <c r="G301" s="248"/>
      <c r="I301" s="248"/>
      <c r="J301" s="248"/>
      <c r="K301" s="248"/>
      <c r="L301" s="248"/>
      <c r="M301" s="248"/>
      <c r="N301" s="248"/>
      <c r="P301" s="248"/>
      <c r="Q301" s="248"/>
    </row>
    <row r="302">
      <c r="A302" s="248"/>
      <c r="B302" s="248"/>
      <c r="C302" s="248"/>
      <c r="D302" s="248"/>
      <c r="E302" s="248"/>
      <c r="F302" s="248"/>
      <c r="G302" s="248"/>
      <c r="I302" s="248"/>
      <c r="J302" s="248"/>
      <c r="K302" s="248"/>
      <c r="L302" s="248"/>
      <c r="M302" s="248"/>
      <c r="N302" s="248"/>
      <c r="P302" s="248"/>
      <c r="Q302" s="248"/>
    </row>
    <row r="303">
      <c r="A303" s="248"/>
      <c r="B303" s="248"/>
      <c r="C303" s="248"/>
      <c r="D303" s="248"/>
      <c r="E303" s="248"/>
      <c r="F303" s="248"/>
      <c r="G303" s="248"/>
      <c r="I303" s="248"/>
      <c r="J303" s="248"/>
      <c r="K303" s="248"/>
      <c r="L303" s="248"/>
      <c r="M303" s="248"/>
      <c r="N303" s="248"/>
      <c r="P303" s="248"/>
      <c r="Q303" s="248"/>
    </row>
    <row r="304">
      <c r="A304" s="248"/>
      <c r="B304" s="248"/>
      <c r="C304" s="248"/>
      <c r="D304" s="248"/>
      <c r="E304" s="248"/>
      <c r="F304" s="248"/>
      <c r="G304" s="248"/>
      <c r="I304" s="248"/>
      <c r="J304" s="248"/>
      <c r="K304" s="248"/>
      <c r="L304" s="248"/>
      <c r="M304" s="248"/>
      <c r="N304" s="248"/>
      <c r="P304" s="248"/>
      <c r="Q304" s="248"/>
    </row>
    <row r="305">
      <c r="A305" s="248"/>
      <c r="B305" s="248"/>
      <c r="C305" s="248"/>
      <c r="D305" s="248"/>
      <c r="E305" s="248"/>
      <c r="F305" s="248"/>
      <c r="G305" s="248"/>
      <c r="I305" s="248"/>
      <c r="J305" s="248"/>
      <c r="K305" s="248"/>
      <c r="L305" s="248"/>
      <c r="M305" s="248"/>
      <c r="N305" s="248"/>
      <c r="P305" s="248"/>
      <c r="Q305" s="248"/>
    </row>
    <row r="306">
      <c r="A306" s="248"/>
      <c r="B306" s="248"/>
      <c r="C306" s="248"/>
      <c r="D306" s="248"/>
      <c r="E306" s="248"/>
      <c r="F306" s="248"/>
      <c r="G306" s="248"/>
      <c r="I306" s="248"/>
      <c r="J306" s="248"/>
      <c r="K306" s="248"/>
      <c r="L306" s="248"/>
      <c r="M306" s="248"/>
      <c r="N306" s="248"/>
      <c r="P306" s="248"/>
      <c r="Q306" s="248"/>
    </row>
    <row r="307">
      <c r="A307" s="248"/>
      <c r="B307" s="248"/>
      <c r="C307" s="248"/>
      <c r="D307" s="248"/>
      <c r="E307" s="248"/>
      <c r="F307" s="248"/>
      <c r="G307" s="248"/>
      <c r="I307" s="248"/>
      <c r="J307" s="248"/>
      <c r="K307" s="248"/>
      <c r="L307" s="248"/>
      <c r="M307" s="248"/>
      <c r="N307" s="248"/>
      <c r="P307" s="248"/>
      <c r="Q307" s="248"/>
    </row>
    <row r="308">
      <c r="A308" s="248"/>
      <c r="B308" s="248"/>
      <c r="C308" s="248"/>
      <c r="D308" s="248"/>
      <c r="E308" s="248"/>
      <c r="F308" s="248"/>
      <c r="G308" s="248"/>
      <c r="I308" s="248"/>
      <c r="J308" s="248"/>
      <c r="K308" s="248"/>
      <c r="L308" s="248"/>
      <c r="M308" s="248"/>
      <c r="N308" s="248"/>
      <c r="P308" s="248"/>
      <c r="Q308" s="248"/>
    </row>
    <row r="309">
      <c r="A309" s="248"/>
      <c r="B309" s="248"/>
      <c r="C309" s="248"/>
      <c r="D309" s="248"/>
      <c r="E309" s="248"/>
      <c r="F309" s="248"/>
      <c r="G309" s="248"/>
      <c r="I309" s="248"/>
      <c r="J309" s="248"/>
      <c r="K309" s="248"/>
      <c r="L309" s="248"/>
      <c r="M309" s="248"/>
      <c r="N309" s="248"/>
      <c r="P309" s="248"/>
      <c r="Q309" s="248"/>
    </row>
    <row r="310">
      <c r="A310" s="248"/>
      <c r="B310" s="248"/>
      <c r="C310" s="248"/>
      <c r="D310" s="248"/>
      <c r="E310" s="248"/>
      <c r="F310" s="248"/>
      <c r="G310" s="248"/>
      <c r="I310" s="248"/>
      <c r="J310" s="248"/>
      <c r="K310" s="248"/>
      <c r="L310" s="248"/>
      <c r="M310" s="248"/>
      <c r="N310" s="248"/>
      <c r="P310" s="248"/>
      <c r="Q310" s="248"/>
    </row>
    <row r="311">
      <c r="A311" s="248"/>
      <c r="B311" s="248"/>
      <c r="C311" s="248"/>
      <c r="D311" s="248"/>
      <c r="E311" s="248"/>
      <c r="F311" s="248"/>
      <c r="G311" s="248"/>
      <c r="I311" s="248"/>
      <c r="J311" s="248"/>
      <c r="K311" s="248"/>
      <c r="L311" s="248"/>
      <c r="M311" s="248"/>
      <c r="N311" s="248"/>
      <c r="P311" s="248"/>
      <c r="Q311" s="248"/>
    </row>
    <row r="312">
      <c r="A312" s="248"/>
      <c r="B312" s="248"/>
      <c r="C312" s="248"/>
      <c r="D312" s="248"/>
      <c r="E312" s="248"/>
      <c r="F312" s="248"/>
      <c r="G312" s="248"/>
      <c r="I312" s="248"/>
      <c r="J312" s="248"/>
      <c r="K312" s="248"/>
      <c r="L312" s="248"/>
      <c r="M312" s="248"/>
      <c r="N312" s="248"/>
      <c r="P312" s="248"/>
      <c r="Q312" s="248"/>
    </row>
    <row r="313">
      <c r="A313" s="248"/>
      <c r="B313" s="248"/>
      <c r="C313" s="248"/>
      <c r="D313" s="248"/>
      <c r="E313" s="248"/>
      <c r="F313" s="248"/>
      <c r="G313" s="248"/>
      <c r="I313" s="248"/>
      <c r="J313" s="248"/>
      <c r="K313" s="248"/>
      <c r="L313" s="248"/>
      <c r="M313" s="248"/>
      <c r="N313" s="248"/>
      <c r="P313" s="248"/>
      <c r="Q313" s="248"/>
    </row>
    <row r="314">
      <c r="A314" s="248"/>
      <c r="B314" s="248"/>
      <c r="C314" s="248"/>
      <c r="D314" s="248"/>
      <c r="E314" s="248"/>
      <c r="F314" s="248"/>
      <c r="G314" s="248"/>
      <c r="I314" s="248"/>
      <c r="J314" s="248"/>
      <c r="K314" s="248"/>
      <c r="L314" s="248"/>
      <c r="M314" s="248"/>
      <c r="N314" s="248"/>
      <c r="P314" s="248"/>
      <c r="Q314" s="248"/>
    </row>
    <row r="315">
      <c r="A315" s="248"/>
      <c r="B315" s="248"/>
      <c r="C315" s="248"/>
      <c r="D315" s="248"/>
      <c r="E315" s="248"/>
      <c r="F315" s="248"/>
      <c r="G315" s="248"/>
      <c r="I315" s="248"/>
      <c r="J315" s="248"/>
      <c r="K315" s="248"/>
      <c r="L315" s="248"/>
      <c r="M315" s="248"/>
      <c r="N315" s="248"/>
      <c r="P315" s="248"/>
      <c r="Q315" s="248"/>
    </row>
    <row r="316">
      <c r="A316" s="248"/>
      <c r="B316" s="248"/>
      <c r="C316" s="248"/>
      <c r="D316" s="248"/>
      <c r="E316" s="248"/>
      <c r="F316" s="248"/>
      <c r="G316" s="248"/>
      <c r="I316" s="248"/>
      <c r="J316" s="248"/>
      <c r="K316" s="248"/>
      <c r="L316" s="248"/>
      <c r="M316" s="248"/>
      <c r="N316" s="248"/>
      <c r="P316" s="248"/>
      <c r="Q316" s="248"/>
    </row>
    <row r="317">
      <c r="A317" s="248"/>
      <c r="B317" s="248"/>
      <c r="C317" s="248"/>
      <c r="D317" s="248"/>
      <c r="E317" s="248"/>
      <c r="F317" s="248"/>
      <c r="G317" s="248"/>
      <c r="I317" s="248"/>
      <c r="J317" s="248"/>
      <c r="K317" s="248"/>
      <c r="L317" s="248"/>
      <c r="M317" s="248"/>
      <c r="N317" s="248"/>
      <c r="P317" s="248"/>
      <c r="Q317" s="248"/>
    </row>
    <row r="318">
      <c r="A318" s="248"/>
      <c r="B318" s="248"/>
      <c r="C318" s="248"/>
      <c r="D318" s="248"/>
      <c r="E318" s="248"/>
      <c r="F318" s="248"/>
      <c r="G318" s="248"/>
      <c r="I318" s="248"/>
      <c r="J318" s="248"/>
      <c r="K318" s="248"/>
      <c r="L318" s="248"/>
      <c r="M318" s="248"/>
      <c r="N318" s="248"/>
      <c r="P318" s="248"/>
      <c r="Q318" s="248"/>
    </row>
    <row r="319">
      <c r="A319" s="248"/>
      <c r="B319" s="248"/>
      <c r="C319" s="248"/>
      <c r="D319" s="248"/>
      <c r="E319" s="248"/>
      <c r="F319" s="248"/>
      <c r="G319" s="248"/>
      <c r="I319" s="248"/>
      <c r="J319" s="248"/>
      <c r="K319" s="248"/>
      <c r="L319" s="248"/>
      <c r="M319" s="248"/>
      <c r="N319" s="248"/>
      <c r="P319" s="248"/>
      <c r="Q319" s="248"/>
    </row>
    <row r="320">
      <c r="A320" s="248"/>
      <c r="B320" s="248"/>
      <c r="C320" s="248"/>
      <c r="D320" s="248"/>
      <c r="E320" s="248"/>
      <c r="F320" s="248"/>
      <c r="G320" s="248"/>
      <c r="I320" s="248"/>
      <c r="J320" s="248"/>
      <c r="K320" s="248"/>
      <c r="L320" s="248"/>
      <c r="M320" s="248"/>
      <c r="N320" s="248"/>
      <c r="P320" s="248"/>
      <c r="Q320" s="248"/>
    </row>
    <row r="321">
      <c r="A321" s="248"/>
      <c r="B321" s="248"/>
      <c r="C321" s="248"/>
      <c r="D321" s="248"/>
      <c r="E321" s="248"/>
      <c r="F321" s="248"/>
      <c r="G321" s="248"/>
      <c r="I321" s="248"/>
      <c r="J321" s="248"/>
      <c r="K321" s="248"/>
      <c r="L321" s="248"/>
      <c r="M321" s="248"/>
      <c r="N321" s="248"/>
      <c r="P321" s="248"/>
      <c r="Q321" s="248"/>
    </row>
    <row r="322">
      <c r="A322" s="248"/>
      <c r="B322" s="248"/>
      <c r="C322" s="248"/>
      <c r="D322" s="248"/>
      <c r="E322" s="248"/>
      <c r="F322" s="248"/>
      <c r="G322" s="248"/>
      <c r="I322" s="248"/>
      <c r="J322" s="248"/>
      <c r="K322" s="248"/>
      <c r="L322" s="248"/>
      <c r="M322" s="248"/>
      <c r="N322" s="248"/>
      <c r="P322" s="248"/>
      <c r="Q322" s="248"/>
    </row>
    <row r="323">
      <c r="A323" s="248"/>
      <c r="B323" s="248"/>
      <c r="C323" s="248"/>
      <c r="D323" s="248"/>
      <c r="E323" s="248"/>
      <c r="F323" s="248"/>
      <c r="G323" s="248"/>
      <c r="I323" s="248"/>
      <c r="J323" s="248"/>
      <c r="K323" s="248"/>
      <c r="L323" s="248"/>
      <c r="M323" s="248"/>
      <c r="N323" s="248"/>
      <c r="P323" s="248"/>
      <c r="Q323" s="248"/>
    </row>
    <row r="324">
      <c r="A324" s="248"/>
      <c r="B324" s="248"/>
      <c r="C324" s="248"/>
      <c r="D324" s="248"/>
      <c r="E324" s="248"/>
      <c r="F324" s="248"/>
      <c r="G324" s="248"/>
      <c r="I324" s="248"/>
      <c r="J324" s="248"/>
      <c r="K324" s="248"/>
      <c r="L324" s="248"/>
      <c r="M324" s="248"/>
      <c r="N324" s="248"/>
      <c r="P324" s="248"/>
      <c r="Q324" s="248"/>
    </row>
    <row r="325">
      <c r="A325" s="248"/>
      <c r="B325" s="248"/>
      <c r="C325" s="248"/>
      <c r="D325" s="248"/>
      <c r="E325" s="248"/>
      <c r="F325" s="248"/>
      <c r="G325" s="248"/>
      <c r="I325" s="248"/>
      <c r="J325" s="248"/>
      <c r="K325" s="248"/>
      <c r="L325" s="248"/>
      <c r="M325" s="248"/>
      <c r="N325" s="248"/>
      <c r="P325" s="248"/>
      <c r="Q325" s="248"/>
    </row>
    <row r="326">
      <c r="A326" s="248"/>
      <c r="B326" s="248"/>
      <c r="C326" s="248"/>
      <c r="D326" s="248"/>
      <c r="E326" s="248"/>
      <c r="F326" s="248"/>
      <c r="G326" s="248"/>
      <c r="I326" s="248"/>
      <c r="J326" s="248"/>
      <c r="K326" s="248"/>
      <c r="L326" s="248"/>
      <c r="M326" s="248"/>
      <c r="N326" s="248"/>
      <c r="P326" s="248"/>
      <c r="Q326" s="248"/>
    </row>
    <row r="327">
      <c r="A327" s="248"/>
      <c r="B327" s="248"/>
      <c r="C327" s="248"/>
      <c r="D327" s="248"/>
      <c r="E327" s="248"/>
      <c r="F327" s="248"/>
      <c r="G327" s="248"/>
      <c r="I327" s="248"/>
      <c r="J327" s="248"/>
      <c r="K327" s="248"/>
      <c r="L327" s="248"/>
      <c r="M327" s="248"/>
      <c r="N327" s="248"/>
      <c r="P327" s="248"/>
      <c r="Q327" s="248"/>
    </row>
    <row r="328">
      <c r="A328" s="248"/>
      <c r="B328" s="248"/>
      <c r="C328" s="248"/>
      <c r="D328" s="248"/>
      <c r="E328" s="248"/>
      <c r="F328" s="248"/>
      <c r="G328" s="248"/>
      <c r="I328" s="248"/>
      <c r="J328" s="248"/>
      <c r="K328" s="248"/>
      <c r="L328" s="248"/>
      <c r="M328" s="248"/>
      <c r="N328" s="248"/>
      <c r="P328" s="248"/>
      <c r="Q328" s="248"/>
    </row>
    <row r="329">
      <c r="A329" s="248"/>
      <c r="B329" s="248"/>
      <c r="C329" s="248"/>
      <c r="D329" s="248"/>
      <c r="E329" s="248"/>
      <c r="F329" s="248"/>
      <c r="G329" s="248"/>
      <c r="I329" s="248"/>
      <c r="J329" s="248"/>
      <c r="K329" s="248"/>
      <c r="L329" s="248"/>
      <c r="M329" s="248"/>
      <c r="N329" s="248"/>
      <c r="P329" s="248"/>
      <c r="Q329" s="248"/>
    </row>
    <row r="330">
      <c r="A330" s="248"/>
      <c r="B330" s="248"/>
      <c r="C330" s="248"/>
      <c r="D330" s="248"/>
      <c r="E330" s="248"/>
      <c r="F330" s="248"/>
      <c r="G330" s="248"/>
      <c r="I330" s="248"/>
      <c r="J330" s="248"/>
      <c r="K330" s="248"/>
      <c r="L330" s="248"/>
      <c r="M330" s="248"/>
      <c r="N330" s="248"/>
      <c r="P330" s="248"/>
      <c r="Q330" s="248"/>
    </row>
    <row r="331">
      <c r="A331" s="248"/>
      <c r="B331" s="248"/>
      <c r="C331" s="248"/>
      <c r="D331" s="248"/>
      <c r="E331" s="248"/>
      <c r="F331" s="248"/>
      <c r="G331" s="248"/>
      <c r="I331" s="248"/>
      <c r="J331" s="248"/>
      <c r="K331" s="248"/>
      <c r="L331" s="248"/>
      <c r="M331" s="248"/>
      <c r="N331" s="248"/>
      <c r="P331" s="248"/>
      <c r="Q331" s="248"/>
    </row>
    <row r="332">
      <c r="A332" s="248"/>
      <c r="B332" s="248"/>
      <c r="C332" s="248"/>
      <c r="D332" s="248"/>
      <c r="E332" s="248"/>
      <c r="F332" s="248"/>
      <c r="G332" s="248"/>
      <c r="I332" s="248"/>
      <c r="J332" s="248"/>
      <c r="K332" s="248"/>
      <c r="L332" s="248"/>
      <c r="M332" s="248"/>
      <c r="N332" s="248"/>
      <c r="P332" s="248"/>
      <c r="Q332" s="248"/>
    </row>
    <row r="333">
      <c r="A333" s="248"/>
      <c r="B333" s="248"/>
      <c r="C333" s="248"/>
      <c r="D333" s="248"/>
      <c r="E333" s="248"/>
      <c r="F333" s="248"/>
      <c r="G333" s="248"/>
      <c r="I333" s="248"/>
      <c r="J333" s="248"/>
      <c r="K333" s="248"/>
      <c r="L333" s="248"/>
      <c r="M333" s="248"/>
      <c r="N333" s="248"/>
      <c r="P333" s="248"/>
      <c r="Q333" s="248"/>
    </row>
    <row r="334">
      <c r="A334" s="248"/>
      <c r="B334" s="248"/>
      <c r="C334" s="248"/>
      <c r="D334" s="248"/>
      <c r="E334" s="248"/>
      <c r="F334" s="248"/>
      <c r="G334" s="248"/>
      <c r="I334" s="248"/>
      <c r="J334" s="248"/>
      <c r="K334" s="248"/>
      <c r="L334" s="248"/>
      <c r="M334" s="248"/>
      <c r="N334" s="248"/>
      <c r="P334" s="248"/>
      <c r="Q334" s="248"/>
    </row>
    <row r="335">
      <c r="A335" s="248"/>
      <c r="B335" s="248"/>
      <c r="C335" s="248"/>
      <c r="D335" s="248"/>
      <c r="E335" s="248"/>
      <c r="F335" s="248"/>
      <c r="G335" s="248"/>
      <c r="I335" s="248"/>
      <c r="J335" s="248"/>
      <c r="K335" s="248"/>
      <c r="L335" s="248"/>
      <c r="M335" s="248"/>
      <c r="N335" s="248"/>
      <c r="P335" s="248"/>
      <c r="Q335" s="248"/>
    </row>
    <row r="336">
      <c r="A336" s="248"/>
      <c r="B336" s="248"/>
      <c r="C336" s="248"/>
      <c r="D336" s="248"/>
      <c r="E336" s="248"/>
      <c r="F336" s="248"/>
      <c r="G336" s="248"/>
      <c r="I336" s="248"/>
      <c r="J336" s="248"/>
      <c r="K336" s="248"/>
      <c r="L336" s="248"/>
      <c r="M336" s="248"/>
      <c r="N336" s="248"/>
      <c r="P336" s="248"/>
      <c r="Q336" s="248"/>
    </row>
    <row r="337">
      <c r="A337" s="248"/>
      <c r="B337" s="248"/>
      <c r="C337" s="248"/>
      <c r="D337" s="248"/>
      <c r="E337" s="248"/>
      <c r="F337" s="248"/>
      <c r="G337" s="248"/>
      <c r="I337" s="248"/>
      <c r="J337" s="248"/>
      <c r="K337" s="248"/>
      <c r="L337" s="248"/>
      <c r="M337" s="248"/>
      <c r="N337" s="248"/>
      <c r="P337" s="248"/>
      <c r="Q337" s="248"/>
    </row>
    <row r="338">
      <c r="A338" s="248"/>
      <c r="B338" s="248"/>
      <c r="C338" s="248"/>
      <c r="D338" s="248"/>
      <c r="E338" s="248"/>
      <c r="F338" s="248"/>
      <c r="G338" s="248"/>
      <c r="I338" s="248"/>
      <c r="J338" s="248"/>
      <c r="K338" s="248"/>
      <c r="L338" s="248"/>
      <c r="M338" s="248"/>
      <c r="N338" s="248"/>
      <c r="P338" s="248"/>
      <c r="Q338" s="248"/>
    </row>
    <row r="339">
      <c r="A339" s="248"/>
      <c r="B339" s="248"/>
      <c r="C339" s="248"/>
      <c r="D339" s="248"/>
      <c r="E339" s="248"/>
      <c r="F339" s="248"/>
      <c r="G339" s="248"/>
      <c r="I339" s="248"/>
      <c r="J339" s="248"/>
      <c r="K339" s="248"/>
      <c r="L339" s="248"/>
      <c r="M339" s="248"/>
      <c r="N339" s="248"/>
      <c r="P339" s="248"/>
      <c r="Q339" s="248"/>
    </row>
    <row r="340">
      <c r="A340" s="248"/>
      <c r="B340" s="248"/>
      <c r="C340" s="248"/>
      <c r="D340" s="248"/>
      <c r="E340" s="248"/>
      <c r="F340" s="248"/>
      <c r="G340" s="248"/>
      <c r="I340" s="248"/>
      <c r="J340" s="248"/>
      <c r="K340" s="248"/>
      <c r="L340" s="248"/>
      <c r="M340" s="248"/>
      <c r="N340" s="248"/>
      <c r="P340" s="248"/>
      <c r="Q340" s="248"/>
    </row>
    <row r="341">
      <c r="A341" s="248"/>
      <c r="B341" s="248"/>
      <c r="C341" s="248"/>
      <c r="D341" s="248"/>
      <c r="E341" s="248"/>
      <c r="F341" s="248"/>
      <c r="G341" s="248"/>
      <c r="I341" s="248"/>
      <c r="J341" s="248"/>
      <c r="K341" s="248"/>
      <c r="L341" s="248"/>
      <c r="M341" s="248"/>
      <c r="N341" s="248"/>
      <c r="P341" s="248"/>
      <c r="Q341" s="248"/>
    </row>
    <row r="342">
      <c r="A342" s="248"/>
      <c r="B342" s="248"/>
      <c r="C342" s="248"/>
      <c r="D342" s="248"/>
      <c r="E342" s="248"/>
      <c r="F342" s="248"/>
      <c r="G342" s="248"/>
      <c r="I342" s="248"/>
      <c r="J342" s="248"/>
      <c r="K342" s="248"/>
      <c r="L342" s="248"/>
      <c r="M342" s="248"/>
      <c r="N342" s="248"/>
      <c r="P342" s="248"/>
      <c r="Q342" s="248"/>
    </row>
    <row r="343">
      <c r="A343" s="248"/>
      <c r="B343" s="248"/>
      <c r="C343" s="248"/>
      <c r="D343" s="248"/>
      <c r="E343" s="248"/>
      <c r="F343" s="248"/>
      <c r="G343" s="248"/>
      <c r="I343" s="248"/>
      <c r="J343" s="248"/>
      <c r="K343" s="248"/>
      <c r="L343" s="248"/>
      <c r="M343" s="248"/>
      <c r="N343" s="248"/>
      <c r="P343" s="248"/>
      <c r="Q343" s="248"/>
    </row>
    <row r="344">
      <c r="A344" s="248"/>
      <c r="B344" s="248"/>
      <c r="C344" s="248"/>
      <c r="D344" s="248"/>
      <c r="E344" s="248"/>
      <c r="F344" s="248"/>
      <c r="G344" s="248"/>
      <c r="I344" s="248"/>
      <c r="J344" s="248"/>
      <c r="K344" s="248"/>
      <c r="L344" s="248"/>
      <c r="M344" s="248"/>
      <c r="N344" s="248"/>
      <c r="P344" s="248"/>
      <c r="Q344" s="248"/>
    </row>
    <row r="345">
      <c r="A345" s="248"/>
      <c r="B345" s="248"/>
      <c r="C345" s="248"/>
      <c r="D345" s="248"/>
      <c r="E345" s="248"/>
      <c r="F345" s="248"/>
      <c r="G345" s="248"/>
      <c r="I345" s="248"/>
      <c r="J345" s="248"/>
      <c r="K345" s="248"/>
      <c r="L345" s="248"/>
      <c r="M345" s="248"/>
      <c r="N345" s="248"/>
      <c r="P345" s="248"/>
      <c r="Q345" s="248"/>
    </row>
    <row r="346">
      <c r="A346" s="248"/>
      <c r="B346" s="248"/>
      <c r="C346" s="248"/>
      <c r="D346" s="248"/>
      <c r="E346" s="248"/>
      <c r="F346" s="248"/>
      <c r="G346" s="248"/>
      <c r="I346" s="248"/>
      <c r="J346" s="248"/>
      <c r="K346" s="248"/>
      <c r="L346" s="248"/>
      <c r="M346" s="248"/>
      <c r="N346" s="248"/>
      <c r="P346" s="248"/>
      <c r="Q346" s="248"/>
    </row>
    <row r="347">
      <c r="A347" s="248"/>
      <c r="B347" s="248"/>
      <c r="C347" s="248"/>
      <c r="D347" s="248"/>
      <c r="E347" s="248"/>
      <c r="F347" s="248"/>
      <c r="G347" s="248"/>
      <c r="I347" s="248"/>
      <c r="J347" s="248"/>
      <c r="K347" s="248"/>
      <c r="L347" s="248"/>
      <c r="M347" s="248"/>
      <c r="N347" s="248"/>
      <c r="P347" s="248"/>
      <c r="Q347" s="248"/>
    </row>
    <row r="348">
      <c r="A348" s="248"/>
      <c r="B348" s="248"/>
      <c r="C348" s="248"/>
      <c r="D348" s="248"/>
      <c r="E348" s="248"/>
      <c r="F348" s="248"/>
      <c r="G348" s="248"/>
      <c r="I348" s="248"/>
      <c r="J348" s="248"/>
      <c r="K348" s="248"/>
      <c r="L348" s="248"/>
      <c r="M348" s="248"/>
      <c r="N348" s="248"/>
      <c r="P348" s="248"/>
      <c r="Q348" s="248"/>
    </row>
    <row r="349">
      <c r="A349" s="248"/>
      <c r="B349" s="248"/>
      <c r="C349" s="248"/>
      <c r="D349" s="248"/>
      <c r="E349" s="248"/>
      <c r="F349" s="248"/>
      <c r="G349" s="248"/>
      <c r="I349" s="248"/>
      <c r="J349" s="248"/>
      <c r="K349" s="248"/>
      <c r="L349" s="248"/>
      <c r="M349" s="248"/>
      <c r="N349" s="248"/>
      <c r="P349" s="248"/>
      <c r="Q349" s="248"/>
    </row>
    <row r="350">
      <c r="A350" s="248"/>
      <c r="B350" s="248"/>
      <c r="C350" s="248"/>
      <c r="D350" s="248"/>
      <c r="E350" s="248"/>
      <c r="F350" s="248"/>
      <c r="G350" s="248"/>
      <c r="I350" s="248"/>
      <c r="J350" s="248"/>
      <c r="K350" s="248"/>
      <c r="L350" s="248"/>
      <c r="M350" s="248"/>
      <c r="N350" s="248"/>
      <c r="P350" s="248"/>
      <c r="Q350" s="248"/>
    </row>
    <row r="351">
      <c r="A351" s="248"/>
      <c r="B351" s="248"/>
      <c r="C351" s="248"/>
      <c r="D351" s="248"/>
      <c r="E351" s="248"/>
      <c r="F351" s="248"/>
      <c r="G351" s="248"/>
      <c r="I351" s="248"/>
      <c r="J351" s="248"/>
      <c r="K351" s="248"/>
      <c r="L351" s="248"/>
      <c r="M351" s="248"/>
      <c r="N351" s="248"/>
      <c r="P351" s="248"/>
      <c r="Q351" s="248"/>
    </row>
    <row r="352">
      <c r="A352" s="248"/>
      <c r="B352" s="248"/>
      <c r="C352" s="248"/>
      <c r="D352" s="248"/>
      <c r="E352" s="248"/>
      <c r="F352" s="248"/>
      <c r="G352" s="248"/>
      <c r="I352" s="248"/>
      <c r="J352" s="248"/>
      <c r="K352" s="248"/>
      <c r="L352" s="248"/>
      <c r="M352" s="248"/>
      <c r="N352" s="248"/>
      <c r="P352" s="248"/>
      <c r="Q352" s="248"/>
    </row>
    <row r="353">
      <c r="A353" s="248"/>
      <c r="B353" s="248"/>
      <c r="C353" s="248"/>
      <c r="D353" s="248"/>
      <c r="E353" s="248"/>
      <c r="F353" s="248"/>
      <c r="G353" s="248"/>
      <c r="I353" s="248"/>
      <c r="J353" s="248"/>
      <c r="K353" s="248"/>
      <c r="L353" s="248"/>
      <c r="M353" s="248"/>
      <c r="N353" s="248"/>
      <c r="P353" s="248"/>
      <c r="Q353" s="248"/>
    </row>
    <row r="354">
      <c r="A354" s="248"/>
      <c r="B354" s="248"/>
      <c r="C354" s="248"/>
      <c r="D354" s="248"/>
      <c r="E354" s="248"/>
      <c r="F354" s="248"/>
      <c r="G354" s="248"/>
      <c r="I354" s="248"/>
      <c r="J354" s="248"/>
      <c r="K354" s="248"/>
      <c r="L354" s="248"/>
      <c r="M354" s="248"/>
      <c r="N354" s="248"/>
      <c r="P354" s="248"/>
      <c r="Q354" s="248"/>
    </row>
    <row r="355">
      <c r="A355" s="248"/>
      <c r="B355" s="248"/>
      <c r="C355" s="248"/>
      <c r="D355" s="248"/>
      <c r="E355" s="248"/>
      <c r="F355" s="248"/>
      <c r="G355" s="248"/>
      <c r="I355" s="248"/>
      <c r="J355" s="248"/>
      <c r="K355" s="248"/>
      <c r="L355" s="248"/>
      <c r="M355" s="248"/>
      <c r="N355" s="248"/>
      <c r="P355" s="248"/>
      <c r="Q355" s="248"/>
    </row>
    <row r="356">
      <c r="A356" s="248"/>
      <c r="B356" s="248"/>
      <c r="C356" s="248"/>
      <c r="D356" s="248"/>
      <c r="E356" s="248"/>
      <c r="F356" s="248"/>
      <c r="G356" s="248"/>
      <c r="I356" s="248"/>
      <c r="J356" s="248"/>
      <c r="K356" s="248"/>
      <c r="L356" s="248"/>
      <c r="M356" s="248"/>
      <c r="N356" s="248"/>
      <c r="P356" s="248"/>
      <c r="Q356" s="248"/>
    </row>
    <row r="357">
      <c r="A357" s="248"/>
      <c r="B357" s="248"/>
      <c r="C357" s="248"/>
      <c r="D357" s="248"/>
      <c r="E357" s="248"/>
      <c r="F357" s="248"/>
      <c r="G357" s="248"/>
      <c r="I357" s="248"/>
      <c r="J357" s="248"/>
      <c r="K357" s="248"/>
      <c r="L357" s="248"/>
      <c r="M357" s="248"/>
      <c r="N357" s="248"/>
      <c r="P357" s="248"/>
      <c r="Q357" s="248"/>
    </row>
    <row r="358">
      <c r="A358" s="248"/>
      <c r="B358" s="248"/>
      <c r="C358" s="248"/>
      <c r="D358" s="248"/>
      <c r="E358" s="248"/>
      <c r="F358" s="248"/>
      <c r="G358" s="248"/>
      <c r="I358" s="248"/>
      <c r="J358" s="248"/>
      <c r="K358" s="248"/>
      <c r="L358" s="248"/>
      <c r="M358" s="248"/>
      <c r="N358" s="248"/>
      <c r="P358" s="248"/>
      <c r="Q358" s="248"/>
    </row>
    <row r="359">
      <c r="A359" s="248"/>
      <c r="B359" s="248"/>
      <c r="C359" s="248"/>
      <c r="D359" s="248"/>
      <c r="E359" s="248"/>
      <c r="F359" s="248"/>
      <c r="G359" s="248"/>
      <c r="I359" s="248"/>
      <c r="J359" s="248"/>
      <c r="K359" s="248"/>
      <c r="L359" s="248"/>
      <c r="M359" s="248"/>
      <c r="N359" s="248"/>
      <c r="P359" s="248"/>
      <c r="Q359" s="248"/>
    </row>
    <row r="360">
      <c r="A360" s="248"/>
      <c r="B360" s="248"/>
      <c r="C360" s="248"/>
      <c r="D360" s="248"/>
      <c r="E360" s="248"/>
      <c r="F360" s="248"/>
      <c r="G360" s="248"/>
      <c r="I360" s="248"/>
      <c r="J360" s="248"/>
      <c r="K360" s="248"/>
      <c r="L360" s="248"/>
      <c r="M360" s="248"/>
      <c r="N360" s="248"/>
      <c r="P360" s="248"/>
      <c r="Q360" s="248"/>
    </row>
    <row r="361">
      <c r="A361" s="248"/>
      <c r="B361" s="248"/>
      <c r="C361" s="248"/>
      <c r="D361" s="248"/>
      <c r="E361" s="248"/>
      <c r="F361" s="248"/>
      <c r="G361" s="248"/>
      <c r="I361" s="248"/>
      <c r="J361" s="248"/>
      <c r="K361" s="248"/>
      <c r="L361" s="248"/>
      <c r="M361" s="248"/>
      <c r="N361" s="248"/>
      <c r="P361" s="248"/>
      <c r="Q361" s="248"/>
    </row>
    <row r="362">
      <c r="A362" s="248"/>
      <c r="B362" s="248"/>
      <c r="C362" s="248"/>
      <c r="D362" s="248"/>
      <c r="E362" s="248"/>
      <c r="F362" s="248"/>
      <c r="G362" s="248"/>
      <c r="I362" s="248"/>
      <c r="J362" s="248"/>
      <c r="K362" s="248"/>
      <c r="L362" s="248"/>
      <c r="M362" s="248"/>
      <c r="N362" s="248"/>
      <c r="P362" s="248"/>
      <c r="Q362" s="248"/>
    </row>
    <row r="363">
      <c r="A363" s="248"/>
      <c r="B363" s="248"/>
      <c r="C363" s="248"/>
      <c r="D363" s="248"/>
      <c r="E363" s="248"/>
      <c r="F363" s="248"/>
      <c r="G363" s="248"/>
      <c r="I363" s="248"/>
      <c r="J363" s="248"/>
      <c r="K363" s="248"/>
      <c r="L363" s="248"/>
      <c r="M363" s="248"/>
      <c r="N363" s="248"/>
      <c r="P363" s="248"/>
      <c r="Q363" s="248"/>
    </row>
    <row r="364">
      <c r="A364" s="248"/>
      <c r="B364" s="248"/>
      <c r="C364" s="248"/>
      <c r="D364" s="248"/>
      <c r="E364" s="248"/>
      <c r="F364" s="248"/>
      <c r="G364" s="248"/>
      <c r="I364" s="248"/>
      <c r="J364" s="248"/>
      <c r="K364" s="248"/>
      <c r="L364" s="248"/>
      <c r="M364" s="248"/>
      <c r="N364" s="248"/>
      <c r="P364" s="248"/>
      <c r="Q364" s="248"/>
    </row>
    <row r="365">
      <c r="A365" s="248"/>
      <c r="B365" s="248"/>
      <c r="C365" s="248"/>
      <c r="D365" s="248"/>
      <c r="E365" s="248"/>
      <c r="F365" s="248"/>
      <c r="G365" s="248"/>
      <c r="I365" s="248"/>
      <c r="J365" s="248"/>
      <c r="K365" s="248"/>
      <c r="L365" s="248"/>
      <c r="M365" s="248"/>
      <c r="N365" s="248"/>
      <c r="P365" s="248"/>
      <c r="Q365" s="248"/>
    </row>
    <row r="366">
      <c r="A366" s="248"/>
      <c r="B366" s="248"/>
      <c r="C366" s="248"/>
      <c r="D366" s="248"/>
      <c r="E366" s="248"/>
      <c r="F366" s="248"/>
      <c r="G366" s="248"/>
      <c r="I366" s="248"/>
      <c r="J366" s="248"/>
      <c r="K366" s="248"/>
      <c r="L366" s="248"/>
      <c r="M366" s="248"/>
      <c r="N366" s="248"/>
      <c r="P366" s="248"/>
      <c r="Q366" s="248"/>
    </row>
    <row r="367">
      <c r="A367" s="248"/>
      <c r="B367" s="248"/>
      <c r="C367" s="248"/>
      <c r="D367" s="248"/>
      <c r="E367" s="248"/>
      <c r="F367" s="248"/>
      <c r="G367" s="248"/>
      <c r="I367" s="248"/>
      <c r="J367" s="248"/>
      <c r="K367" s="248"/>
      <c r="L367" s="248"/>
      <c r="M367" s="248"/>
      <c r="N367" s="248"/>
      <c r="P367" s="248"/>
      <c r="Q367" s="248"/>
    </row>
    <row r="368">
      <c r="A368" s="248"/>
      <c r="B368" s="248"/>
      <c r="C368" s="248"/>
      <c r="D368" s="248"/>
      <c r="E368" s="248"/>
      <c r="F368" s="248"/>
      <c r="G368" s="248"/>
      <c r="I368" s="248"/>
      <c r="J368" s="248"/>
      <c r="K368" s="248"/>
      <c r="L368" s="248"/>
      <c r="M368" s="248"/>
      <c r="N368" s="248"/>
      <c r="P368" s="248"/>
      <c r="Q368" s="248"/>
    </row>
    <row r="369">
      <c r="A369" s="248"/>
      <c r="B369" s="248"/>
      <c r="C369" s="248"/>
      <c r="D369" s="248"/>
      <c r="E369" s="248"/>
      <c r="F369" s="248"/>
      <c r="G369" s="248"/>
      <c r="I369" s="248"/>
      <c r="J369" s="248"/>
      <c r="K369" s="248"/>
      <c r="L369" s="248"/>
      <c r="M369" s="248"/>
      <c r="N369" s="248"/>
      <c r="P369" s="248"/>
      <c r="Q369" s="248"/>
    </row>
    <row r="370">
      <c r="A370" s="248"/>
      <c r="B370" s="248"/>
      <c r="C370" s="248"/>
      <c r="D370" s="248"/>
      <c r="E370" s="248"/>
      <c r="F370" s="248"/>
      <c r="G370" s="248"/>
      <c r="I370" s="248"/>
      <c r="J370" s="248"/>
      <c r="K370" s="248"/>
      <c r="L370" s="248"/>
      <c r="M370" s="248"/>
      <c r="N370" s="248"/>
      <c r="P370" s="248"/>
      <c r="Q370" s="248"/>
    </row>
    <row r="371">
      <c r="A371" s="248"/>
      <c r="B371" s="248"/>
      <c r="C371" s="248"/>
      <c r="D371" s="248"/>
      <c r="E371" s="248"/>
      <c r="F371" s="248"/>
      <c r="G371" s="248"/>
      <c r="I371" s="248"/>
      <c r="J371" s="248"/>
      <c r="K371" s="248"/>
      <c r="L371" s="248"/>
      <c r="M371" s="248"/>
      <c r="N371" s="248"/>
      <c r="P371" s="248"/>
      <c r="Q371" s="248"/>
    </row>
    <row r="372">
      <c r="A372" s="248"/>
      <c r="B372" s="248"/>
      <c r="C372" s="248"/>
      <c r="D372" s="248"/>
      <c r="E372" s="248"/>
      <c r="F372" s="248"/>
      <c r="G372" s="248"/>
      <c r="I372" s="248"/>
      <c r="J372" s="248"/>
      <c r="K372" s="248"/>
      <c r="L372" s="248"/>
      <c r="M372" s="248"/>
      <c r="N372" s="248"/>
      <c r="P372" s="248"/>
      <c r="Q372" s="248"/>
    </row>
    <row r="373">
      <c r="A373" s="248"/>
      <c r="B373" s="248"/>
      <c r="C373" s="248"/>
      <c r="D373" s="248"/>
      <c r="E373" s="248"/>
      <c r="F373" s="248"/>
      <c r="G373" s="248"/>
      <c r="I373" s="248"/>
      <c r="J373" s="248"/>
      <c r="K373" s="248"/>
      <c r="L373" s="248"/>
      <c r="M373" s="248"/>
      <c r="N373" s="248"/>
      <c r="P373" s="248"/>
      <c r="Q373" s="248"/>
    </row>
    <row r="374">
      <c r="A374" s="248"/>
      <c r="B374" s="248"/>
      <c r="C374" s="248"/>
      <c r="D374" s="248"/>
      <c r="E374" s="248"/>
      <c r="F374" s="248"/>
      <c r="G374" s="248"/>
      <c r="I374" s="248"/>
      <c r="J374" s="248"/>
      <c r="K374" s="248"/>
      <c r="L374" s="248"/>
      <c r="M374" s="248"/>
      <c r="N374" s="248"/>
      <c r="P374" s="248"/>
      <c r="Q374" s="248"/>
    </row>
    <row r="375">
      <c r="A375" s="248"/>
      <c r="B375" s="248"/>
      <c r="C375" s="248"/>
      <c r="D375" s="248"/>
      <c r="E375" s="248"/>
      <c r="F375" s="248"/>
      <c r="G375" s="248"/>
      <c r="I375" s="248"/>
      <c r="J375" s="248"/>
      <c r="K375" s="248"/>
      <c r="L375" s="248"/>
      <c r="M375" s="248"/>
      <c r="N375" s="248"/>
      <c r="P375" s="248"/>
      <c r="Q375" s="248"/>
    </row>
    <row r="376">
      <c r="A376" s="248"/>
      <c r="B376" s="248"/>
      <c r="C376" s="248"/>
      <c r="D376" s="248"/>
      <c r="E376" s="248"/>
      <c r="F376" s="248"/>
      <c r="G376" s="248"/>
      <c r="I376" s="248"/>
      <c r="J376" s="248"/>
      <c r="K376" s="248"/>
      <c r="L376" s="248"/>
      <c r="M376" s="248"/>
      <c r="N376" s="248"/>
      <c r="P376" s="248"/>
      <c r="Q376" s="248"/>
    </row>
    <row r="377">
      <c r="A377" s="248"/>
      <c r="B377" s="248"/>
      <c r="C377" s="248"/>
      <c r="D377" s="248"/>
      <c r="E377" s="248"/>
      <c r="F377" s="248"/>
      <c r="G377" s="248"/>
      <c r="I377" s="248"/>
      <c r="J377" s="248"/>
      <c r="K377" s="248"/>
      <c r="L377" s="248"/>
      <c r="M377" s="248"/>
      <c r="N377" s="248"/>
      <c r="P377" s="248"/>
      <c r="Q377" s="248"/>
    </row>
    <row r="378">
      <c r="A378" s="248"/>
      <c r="B378" s="248"/>
      <c r="C378" s="248"/>
      <c r="D378" s="248"/>
      <c r="E378" s="248"/>
      <c r="F378" s="248"/>
      <c r="G378" s="248"/>
      <c r="I378" s="248"/>
      <c r="J378" s="248"/>
      <c r="K378" s="248"/>
      <c r="L378" s="248"/>
      <c r="M378" s="248"/>
      <c r="N378" s="248"/>
      <c r="P378" s="248"/>
      <c r="Q378" s="248"/>
    </row>
    <row r="379">
      <c r="A379" s="248"/>
      <c r="B379" s="248"/>
      <c r="C379" s="248"/>
      <c r="D379" s="248"/>
      <c r="E379" s="248"/>
      <c r="F379" s="248"/>
      <c r="G379" s="248"/>
      <c r="I379" s="248"/>
      <c r="J379" s="248"/>
      <c r="K379" s="248"/>
      <c r="L379" s="248"/>
      <c r="M379" s="248"/>
      <c r="N379" s="248"/>
      <c r="P379" s="248"/>
      <c r="Q379" s="248"/>
    </row>
    <row r="380">
      <c r="A380" s="248"/>
      <c r="B380" s="248"/>
      <c r="C380" s="248"/>
      <c r="D380" s="248"/>
      <c r="E380" s="248"/>
      <c r="F380" s="248"/>
      <c r="G380" s="248"/>
      <c r="I380" s="248"/>
      <c r="J380" s="248"/>
      <c r="K380" s="248"/>
      <c r="L380" s="248"/>
      <c r="M380" s="248"/>
      <c r="N380" s="248"/>
      <c r="P380" s="248"/>
      <c r="Q380" s="248"/>
    </row>
    <row r="381">
      <c r="A381" s="248"/>
      <c r="B381" s="248"/>
      <c r="C381" s="248"/>
      <c r="D381" s="248"/>
      <c r="E381" s="248"/>
      <c r="F381" s="248"/>
      <c r="G381" s="248"/>
      <c r="I381" s="248"/>
      <c r="J381" s="248"/>
      <c r="K381" s="248"/>
      <c r="L381" s="248"/>
      <c r="M381" s="248"/>
      <c r="N381" s="248"/>
      <c r="P381" s="248"/>
      <c r="Q381" s="248"/>
    </row>
    <row r="382">
      <c r="A382" s="248"/>
      <c r="B382" s="248"/>
      <c r="C382" s="248"/>
      <c r="D382" s="248"/>
      <c r="E382" s="248"/>
      <c r="F382" s="248"/>
      <c r="G382" s="248"/>
      <c r="I382" s="248"/>
      <c r="J382" s="248"/>
      <c r="K382" s="248"/>
      <c r="L382" s="248"/>
      <c r="M382" s="248"/>
      <c r="N382" s="248"/>
      <c r="P382" s="248"/>
      <c r="Q382" s="248"/>
    </row>
    <row r="383">
      <c r="A383" s="248"/>
      <c r="B383" s="248"/>
      <c r="C383" s="248"/>
      <c r="D383" s="248"/>
      <c r="E383" s="248"/>
      <c r="F383" s="248"/>
      <c r="G383" s="248"/>
      <c r="I383" s="248"/>
      <c r="J383" s="248"/>
      <c r="K383" s="248"/>
      <c r="L383" s="248"/>
      <c r="M383" s="248"/>
      <c r="N383" s="248"/>
      <c r="P383" s="248"/>
      <c r="Q383" s="248"/>
    </row>
    <row r="384">
      <c r="A384" s="248"/>
      <c r="B384" s="248"/>
      <c r="C384" s="248"/>
      <c r="D384" s="248"/>
      <c r="E384" s="248"/>
      <c r="F384" s="248"/>
      <c r="G384" s="248"/>
      <c r="I384" s="248"/>
      <c r="J384" s="248"/>
      <c r="K384" s="248"/>
      <c r="L384" s="248"/>
      <c r="M384" s="248"/>
      <c r="N384" s="248"/>
      <c r="P384" s="248"/>
      <c r="Q384" s="248"/>
    </row>
    <row r="385">
      <c r="A385" s="248"/>
      <c r="B385" s="248"/>
      <c r="C385" s="248"/>
      <c r="D385" s="248"/>
      <c r="E385" s="248"/>
      <c r="F385" s="248"/>
      <c r="G385" s="248"/>
      <c r="I385" s="248"/>
      <c r="J385" s="248"/>
      <c r="K385" s="248"/>
      <c r="L385" s="248"/>
      <c r="M385" s="248"/>
      <c r="N385" s="248"/>
      <c r="P385" s="248"/>
      <c r="Q385" s="248"/>
    </row>
    <row r="386">
      <c r="A386" s="248"/>
      <c r="B386" s="248"/>
      <c r="C386" s="248"/>
      <c r="D386" s="248"/>
      <c r="E386" s="248"/>
      <c r="F386" s="248"/>
      <c r="G386" s="248"/>
      <c r="I386" s="248"/>
      <c r="J386" s="248"/>
      <c r="K386" s="248"/>
      <c r="L386" s="248"/>
      <c r="M386" s="248"/>
      <c r="N386" s="248"/>
      <c r="P386" s="248"/>
      <c r="Q386" s="248"/>
    </row>
    <row r="387">
      <c r="A387" s="248"/>
      <c r="B387" s="248"/>
      <c r="C387" s="248"/>
      <c r="D387" s="248"/>
      <c r="E387" s="248"/>
      <c r="F387" s="248"/>
      <c r="G387" s="248"/>
      <c r="I387" s="248"/>
      <c r="J387" s="248"/>
      <c r="K387" s="248"/>
      <c r="L387" s="248"/>
      <c r="M387" s="248"/>
      <c r="N387" s="248"/>
      <c r="P387" s="248"/>
      <c r="Q387" s="248"/>
    </row>
    <row r="388">
      <c r="A388" s="248"/>
      <c r="B388" s="248"/>
      <c r="C388" s="248"/>
      <c r="D388" s="248"/>
      <c r="E388" s="248"/>
      <c r="F388" s="248"/>
      <c r="G388" s="248"/>
      <c r="I388" s="248"/>
      <c r="J388" s="248"/>
      <c r="K388" s="248"/>
      <c r="L388" s="248"/>
      <c r="M388" s="248"/>
      <c r="N388" s="248"/>
      <c r="P388" s="248"/>
      <c r="Q388" s="248"/>
    </row>
    <row r="389">
      <c r="A389" s="248"/>
      <c r="B389" s="248"/>
      <c r="C389" s="248"/>
      <c r="D389" s="248"/>
      <c r="E389" s="248"/>
      <c r="F389" s="248"/>
      <c r="G389" s="248"/>
      <c r="I389" s="248"/>
      <c r="J389" s="248"/>
      <c r="K389" s="248"/>
      <c r="L389" s="248"/>
      <c r="M389" s="248"/>
      <c r="N389" s="248"/>
      <c r="P389" s="248"/>
      <c r="Q389" s="248"/>
    </row>
    <row r="390">
      <c r="A390" s="248"/>
      <c r="B390" s="248"/>
      <c r="C390" s="248"/>
      <c r="D390" s="248"/>
      <c r="E390" s="248"/>
      <c r="F390" s="248"/>
      <c r="G390" s="248"/>
      <c r="I390" s="248"/>
      <c r="J390" s="248"/>
      <c r="K390" s="248"/>
      <c r="L390" s="248"/>
      <c r="M390" s="248"/>
      <c r="N390" s="248"/>
      <c r="P390" s="248"/>
      <c r="Q390" s="248"/>
    </row>
    <row r="391">
      <c r="A391" s="248"/>
      <c r="B391" s="248"/>
      <c r="C391" s="248"/>
      <c r="D391" s="248"/>
      <c r="E391" s="248"/>
      <c r="F391" s="248"/>
      <c r="G391" s="248"/>
      <c r="I391" s="248"/>
      <c r="J391" s="248"/>
      <c r="K391" s="248"/>
      <c r="L391" s="248"/>
      <c r="M391" s="248"/>
      <c r="N391" s="248"/>
      <c r="P391" s="248"/>
      <c r="Q391" s="248"/>
    </row>
    <row r="392">
      <c r="A392" s="248"/>
      <c r="B392" s="248"/>
      <c r="C392" s="248"/>
      <c r="D392" s="248"/>
      <c r="E392" s="248"/>
      <c r="F392" s="248"/>
      <c r="G392" s="248"/>
      <c r="I392" s="248"/>
      <c r="J392" s="248"/>
      <c r="K392" s="248"/>
      <c r="L392" s="248"/>
      <c r="M392" s="248"/>
      <c r="N392" s="248"/>
      <c r="P392" s="248"/>
      <c r="Q392" s="248"/>
    </row>
    <row r="393">
      <c r="A393" s="248"/>
      <c r="B393" s="248"/>
      <c r="C393" s="248"/>
      <c r="D393" s="248"/>
      <c r="E393" s="248"/>
      <c r="F393" s="248"/>
      <c r="G393" s="248"/>
      <c r="I393" s="248"/>
      <c r="J393" s="248"/>
      <c r="K393" s="248"/>
      <c r="L393" s="248"/>
      <c r="M393" s="248"/>
      <c r="N393" s="248"/>
      <c r="P393" s="248"/>
      <c r="Q393" s="248"/>
    </row>
    <row r="394">
      <c r="A394" s="248"/>
      <c r="B394" s="248"/>
      <c r="C394" s="248"/>
      <c r="D394" s="248"/>
      <c r="E394" s="248"/>
      <c r="F394" s="248"/>
      <c r="G394" s="248"/>
      <c r="I394" s="248"/>
      <c r="J394" s="248"/>
      <c r="K394" s="248"/>
      <c r="L394" s="248"/>
      <c r="M394" s="248"/>
      <c r="N394" s="248"/>
      <c r="P394" s="248"/>
      <c r="Q394" s="248"/>
    </row>
    <row r="395">
      <c r="A395" s="248"/>
      <c r="B395" s="248"/>
      <c r="C395" s="248"/>
      <c r="D395" s="248"/>
      <c r="E395" s="248"/>
      <c r="F395" s="248"/>
      <c r="G395" s="248"/>
      <c r="I395" s="248"/>
      <c r="J395" s="248"/>
      <c r="K395" s="248"/>
      <c r="L395" s="248"/>
      <c r="M395" s="248"/>
      <c r="N395" s="248"/>
      <c r="P395" s="248"/>
      <c r="Q395" s="248"/>
    </row>
    <row r="396">
      <c r="A396" s="248"/>
      <c r="B396" s="248"/>
      <c r="C396" s="248"/>
      <c r="D396" s="248"/>
      <c r="E396" s="248"/>
      <c r="F396" s="248"/>
      <c r="G396" s="248"/>
      <c r="I396" s="248"/>
      <c r="J396" s="248"/>
      <c r="K396" s="248"/>
      <c r="L396" s="248"/>
      <c r="M396" s="248"/>
      <c r="N396" s="248"/>
      <c r="P396" s="248"/>
      <c r="Q396" s="248"/>
    </row>
    <row r="397">
      <c r="A397" s="248"/>
      <c r="B397" s="248"/>
      <c r="C397" s="248"/>
      <c r="D397" s="248"/>
      <c r="E397" s="248"/>
      <c r="F397" s="248"/>
      <c r="G397" s="248"/>
      <c r="I397" s="248"/>
      <c r="J397" s="248"/>
      <c r="K397" s="248"/>
      <c r="L397" s="248"/>
      <c r="M397" s="248"/>
      <c r="N397" s="248"/>
      <c r="P397" s="248"/>
      <c r="Q397" s="248"/>
    </row>
    <row r="398">
      <c r="A398" s="248"/>
      <c r="B398" s="248"/>
      <c r="C398" s="248"/>
      <c r="D398" s="248"/>
      <c r="E398" s="248"/>
      <c r="F398" s="248"/>
      <c r="G398" s="248"/>
      <c r="I398" s="248"/>
      <c r="J398" s="248"/>
      <c r="K398" s="248"/>
      <c r="L398" s="248"/>
      <c r="M398" s="248"/>
      <c r="N398" s="248"/>
      <c r="P398" s="248"/>
      <c r="Q398" s="248"/>
    </row>
    <row r="399">
      <c r="A399" s="248"/>
      <c r="B399" s="248"/>
      <c r="C399" s="248"/>
      <c r="D399" s="248"/>
      <c r="E399" s="248"/>
      <c r="F399" s="248"/>
      <c r="G399" s="248"/>
      <c r="I399" s="248"/>
      <c r="J399" s="248"/>
      <c r="K399" s="248"/>
      <c r="L399" s="248"/>
      <c r="M399" s="248"/>
      <c r="N399" s="248"/>
      <c r="P399" s="248"/>
      <c r="Q399" s="248"/>
    </row>
    <row r="400">
      <c r="A400" s="248"/>
      <c r="B400" s="248"/>
      <c r="C400" s="248"/>
      <c r="D400" s="248"/>
      <c r="E400" s="248"/>
      <c r="F400" s="248"/>
      <c r="G400" s="248"/>
      <c r="I400" s="248"/>
      <c r="J400" s="248"/>
      <c r="K400" s="248"/>
      <c r="L400" s="248"/>
      <c r="M400" s="248"/>
      <c r="N400" s="248"/>
      <c r="P400" s="248"/>
      <c r="Q400" s="248"/>
    </row>
    <row r="401">
      <c r="A401" s="248"/>
      <c r="B401" s="248"/>
      <c r="C401" s="248"/>
      <c r="D401" s="248"/>
      <c r="E401" s="248"/>
      <c r="F401" s="248"/>
      <c r="G401" s="248"/>
      <c r="I401" s="248"/>
      <c r="J401" s="248"/>
      <c r="K401" s="248"/>
      <c r="L401" s="248"/>
      <c r="M401" s="248"/>
      <c r="N401" s="248"/>
      <c r="P401" s="248"/>
      <c r="Q401" s="248"/>
    </row>
    <row r="402">
      <c r="A402" s="248"/>
      <c r="B402" s="248"/>
      <c r="C402" s="248"/>
      <c r="D402" s="248"/>
      <c r="E402" s="248"/>
      <c r="F402" s="248"/>
      <c r="G402" s="248"/>
      <c r="I402" s="248"/>
      <c r="J402" s="248"/>
      <c r="K402" s="248"/>
      <c r="L402" s="248"/>
      <c r="M402" s="248"/>
      <c r="N402" s="248"/>
      <c r="P402" s="248"/>
      <c r="Q402" s="248"/>
    </row>
    <row r="403">
      <c r="A403" s="248"/>
      <c r="B403" s="248"/>
      <c r="C403" s="248"/>
      <c r="D403" s="248"/>
      <c r="E403" s="248"/>
      <c r="F403" s="248"/>
      <c r="G403" s="248"/>
      <c r="I403" s="248"/>
      <c r="J403" s="248"/>
      <c r="K403" s="248"/>
      <c r="L403" s="248"/>
      <c r="M403" s="248"/>
      <c r="N403" s="248"/>
      <c r="P403" s="248"/>
      <c r="Q403" s="248"/>
    </row>
    <row r="404">
      <c r="A404" s="248"/>
      <c r="B404" s="248"/>
      <c r="C404" s="248"/>
      <c r="D404" s="248"/>
      <c r="E404" s="248"/>
      <c r="F404" s="248"/>
      <c r="G404" s="248"/>
      <c r="I404" s="248"/>
      <c r="J404" s="248"/>
      <c r="K404" s="248"/>
      <c r="L404" s="248"/>
      <c r="M404" s="248"/>
      <c r="N404" s="248"/>
      <c r="P404" s="248"/>
      <c r="Q404" s="248"/>
    </row>
    <row r="405">
      <c r="A405" s="248"/>
      <c r="B405" s="248"/>
      <c r="C405" s="248"/>
      <c r="D405" s="248"/>
      <c r="E405" s="248"/>
      <c r="F405" s="248"/>
      <c r="G405" s="248"/>
      <c r="I405" s="248"/>
      <c r="J405" s="248"/>
      <c r="K405" s="248"/>
      <c r="L405" s="248"/>
      <c r="M405" s="248"/>
      <c r="N405" s="248"/>
      <c r="P405" s="248"/>
      <c r="Q405" s="248"/>
    </row>
    <row r="406">
      <c r="A406" s="248"/>
      <c r="B406" s="248"/>
      <c r="C406" s="248"/>
      <c r="D406" s="248"/>
      <c r="E406" s="248"/>
      <c r="F406" s="248"/>
      <c r="G406" s="248"/>
      <c r="I406" s="248"/>
      <c r="J406" s="248"/>
      <c r="K406" s="248"/>
      <c r="L406" s="248"/>
      <c r="M406" s="248"/>
      <c r="N406" s="248"/>
      <c r="P406" s="248"/>
      <c r="Q406" s="248"/>
    </row>
    <row r="407">
      <c r="A407" s="248"/>
      <c r="B407" s="248"/>
      <c r="C407" s="248"/>
      <c r="D407" s="248"/>
      <c r="E407" s="248"/>
      <c r="F407" s="248"/>
      <c r="G407" s="248"/>
      <c r="I407" s="248"/>
      <c r="J407" s="248"/>
      <c r="K407" s="248"/>
      <c r="L407" s="248"/>
      <c r="M407" s="248"/>
      <c r="N407" s="248"/>
      <c r="P407" s="248"/>
      <c r="Q407" s="248"/>
    </row>
    <row r="408">
      <c r="A408" s="248"/>
      <c r="B408" s="248"/>
      <c r="C408" s="248"/>
      <c r="D408" s="248"/>
      <c r="E408" s="248"/>
      <c r="F408" s="248"/>
      <c r="G408" s="248"/>
      <c r="I408" s="248"/>
      <c r="J408" s="248"/>
      <c r="K408" s="248"/>
      <c r="L408" s="248"/>
      <c r="M408" s="248"/>
      <c r="N408" s="248"/>
      <c r="P408" s="248"/>
      <c r="Q408" s="248"/>
    </row>
    <row r="409">
      <c r="A409" s="248"/>
      <c r="B409" s="248"/>
      <c r="C409" s="248"/>
      <c r="D409" s="248"/>
      <c r="E409" s="248"/>
      <c r="F409" s="248"/>
      <c r="G409" s="248"/>
      <c r="I409" s="248"/>
      <c r="J409" s="248"/>
      <c r="K409" s="248"/>
      <c r="L409" s="248"/>
      <c r="M409" s="248"/>
      <c r="N409" s="248"/>
      <c r="P409" s="248"/>
      <c r="Q409" s="248"/>
    </row>
    <row r="410">
      <c r="A410" s="248"/>
      <c r="B410" s="248"/>
      <c r="C410" s="248"/>
      <c r="D410" s="248"/>
      <c r="E410" s="248"/>
      <c r="F410" s="248"/>
      <c r="G410" s="248"/>
      <c r="I410" s="248"/>
      <c r="J410" s="248"/>
      <c r="K410" s="248"/>
      <c r="L410" s="248"/>
      <c r="M410" s="248"/>
      <c r="N410" s="248"/>
      <c r="P410" s="248"/>
      <c r="Q410" s="248"/>
    </row>
    <row r="411">
      <c r="A411" s="248"/>
      <c r="B411" s="248"/>
      <c r="C411" s="248"/>
      <c r="D411" s="248"/>
      <c r="E411" s="248"/>
      <c r="F411" s="248"/>
      <c r="G411" s="248"/>
      <c r="I411" s="248"/>
      <c r="J411" s="248"/>
      <c r="K411" s="248"/>
      <c r="L411" s="248"/>
      <c r="M411" s="248"/>
      <c r="N411" s="248"/>
      <c r="P411" s="248"/>
      <c r="Q411" s="248"/>
    </row>
    <row r="412">
      <c r="A412" s="248"/>
      <c r="B412" s="248"/>
      <c r="C412" s="248"/>
      <c r="D412" s="248"/>
      <c r="E412" s="248"/>
      <c r="F412" s="248"/>
      <c r="G412" s="248"/>
      <c r="I412" s="248"/>
      <c r="J412" s="248"/>
      <c r="K412" s="248"/>
      <c r="L412" s="248"/>
      <c r="M412" s="248"/>
      <c r="N412" s="248"/>
      <c r="P412" s="248"/>
      <c r="Q412" s="248"/>
    </row>
    <row r="413">
      <c r="A413" s="248"/>
      <c r="B413" s="248"/>
      <c r="C413" s="248"/>
      <c r="D413" s="248"/>
      <c r="E413" s="248"/>
      <c r="F413" s="248"/>
      <c r="G413" s="248"/>
      <c r="I413" s="248"/>
      <c r="J413" s="248"/>
      <c r="K413" s="248"/>
      <c r="L413" s="248"/>
      <c r="M413" s="248"/>
      <c r="N413" s="248"/>
      <c r="P413" s="248"/>
      <c r="Q413" s="248"/>
    </row>
    <row r="414">
      <c r="A414" s="248"/>
      <c r="B414" s="248"/>
      <c r="C414" s="248"/>
      <c r="D414" s="248"/>
      <c r="E414" s="248"/>
      <c r="F414" s="248"/>
      <c r="G414" s="248"/>
      <c r="I414" s="248"/>
      <c r="J414" s="248"/>
      <c r="K414" s="248"/>
      <c r="L414" s="248"/>
      <c r="M414" s="248"/>
      <c r="N414" s="248"/>
      <c r="P414" s="248"/>
      <c r="Q414" s="248"/>
    </row>
    <row r="415">
      <c r="A415" s="248"/>
      <c r="B415" s="248"/>
      <c r="C415" s="248"/>
      <c r="D415" s="248"/>
      <c r="E415" s="248"/>
      <c r="F415" s="248"/>
      <c r="G415" s="248"/>
      <c r="I415" s="248"/>
      <c r="J415" s="248"/>
      <c r="K415" s="248"/>
      <c r="L415" s="248"/>
      <c r="M415" s="248"/>
      <c r="N415" s="248"/>
      <c r="P415" s="248"/>
      <c r="Q415" s="248"/>
    </row>
    <row r="416">
      <c r="A416" s="248"/>
      <c r="B416" s="248"/>
      <c r="C416" s="248"/>
      <c r="D416" s="248"/>
      <c r="E416" s="248"/>
      <c r="F416" s="248"/>
      <c r="G416" s="248"/>
      <c r="I416" s="248"/>
      <c r="J416" s="248"/>
      <c r="K416" s="248"/>
      <c r="L416" s="248"/>
      <c r="M416" s="248"/>
      <c r="N416" s="248"/>
      <c r="P416" s="248"/>
      <c r="Q416" s="248"/>
    </row>
    <row r="417">
      <c r="A417" s="248"/>
      <c r="B417" s="248"/>
      <c r="C417" s="248"/>
      <c r="D417" s="248"/>
      <c r="E417" s="248"/>
      <c r="F417" s="248"/>
      <c r="G417" s="248"/>
      <c r="I417" s="248"/>
      <c r="J417" s="248"/>
      <c r="K417" s="248"/>
      <c r="L417" s="248"/>
      <c r="M417" s="248"/>
      <c r="N417" s="248"/>
      <c r="P417" s="248"/>
      <c r="Q417" s="248"/>
    </row>
    <row r="418">
      <c r="A418" s="248"/>
      <c r="B418" s="248"/>
      <c r="C418" s="248"/>
      <c r="D418" s="248"/>
      <c r="E418" s="248"/>
      <c r="F418" s="248"/>
      <c r="G418" s="248"/>
      <c r="I418" s="248"/>
      <c r="J418" s="248"/>
      <c r="K418" s="248"/>
      <c r="L418" s="248"/>
      <c r="M418" s="248"/>
      <c r="N418" s="248"/>
      <c r="P418" s="248"/>
      <c r="Q418" s="248"/>
    </row>
    <row r="419">
      <c r="A419" s="248"/>
      <c r="B419" s="248"/>
      <c r="C419" s="248"/>
      <c r="D419" s="248"/>
      <c r="E419" s="248"/>
      <c r="F419" s="248"/>
      <c r="G419" s="248"/>
      <c r="I419" s="248"/>
      <c r="J419" s="248"/>
      <c r="K419" s="248"/>
      <c r="L419" s="248"/>
      <c r="M419" s="248"/>
      <c r="N419" s="248"/>
      <c r="P419" s="248"/>
      <c r="Q419" s="248"/>
    </row>
    <row r="420">
      <c r="A420" s="248"/>
      <c r="B420" s="248"/>
      <c r="C420" s="248"/>
      <c r="D420" s="248"/>
      <c r="E420" s="248"/>
      <c r="F420" s="248"/>
      <c r="G420" s="248"/>
      <c r="I420" s="248"/>
      <c r="J420" s="248"/>
      <c r="K420" s="248"/>
      <c r="L420" s="248"/>
      <c r="M420" s="248"/>
      <c r="N420" s="248"/>
      <c r="P420" s="248"/>
      <c r="Q420" s="248"/>
    </row>
    <row r="421">
      <c r="A421" s="248"/>
      <c r="B421" s="248"/>
      <c r="C421" s="248"/>
      <c r="D421" s="248"/>
      <c r="E421" s="248"/>
      <c r="F421" s="248"/>
      <c r="G421" s="248"/>
      <c r="I421" s="248"/>
      <c r="J421" s="248"/>
      <c r="K421" s="248"/>
      <c r="L421" s="248"/>
      <c r="M421" s="248"/>
      <c r="N421" s="248"/>
      <c r="P421" s="248"/>
      <c r="Q421" s="248"/>
    </row>
    <row r="422">
      <c r="A422" s="248"/>
      <c r="B422" s="248"/>
      <c r="C422" s="248"/>
      <c r="D422" s="248"/>
      <c r="E422" s="248"/>
      <c r="F422" s="248"/>
      <c r="G422" s="248"/>
      <c r="I422" s="248"/>
      <c r="J422" s="248"/>
      <c r="K422" s="248"/>
      <c r="L422" s="248"/>
      <c r="M422" s="248"/>
      <c r="N422" s="248"/>
      <c r="P422" s="248"/>
      <c r="Q422" s="248"/>
    </row>
    <row r="423">
      <c r="A423" s="248"/>
      <c r="B423" s="248"/>
      <c r="C423" s="248"/>
      <c r="D423" s="248"/>
      <c r="E423" s="248"/>
      <c r="F423" s="248"/>
      <c r="G423" s="248"/>
      <c r="I423" s="248"/>
      <c r="J423" s="248"/>
      <c r="K423" s="248"/>
      <c r="L423" s="248"/>
      <c r="M423" s="248"/>
      <c r="N423" s="248"/>
      <c r="P423" s="248"/>
      <c r="Q423" s="248"/>
    </row>
    <row r="424">
      <c r="A424" s="248"/>
      <c r="B424" s="248"/>
      <c r="C424" s="248"/>
      <c r="D424" s="248"/>
      <c r="E424" s="248"/>
      <c r="F424" s="248"/>
      <c r="G424" s="248"/>
      <c r="I424" s="248"/>
      <c r="J424" s="248"/>
      <c r="K424" s="248"/>
      <c r="L424" s="248"/>
      <c r="M424" s="248"/>
      <c r="N424" s="248"/>
      <c r="P424" s="248"/>
      <c r="Q424" s="248"/>
    </row>
    <row r="425">
      <c r="A425" s="248"/>
      <c r="B425" s="248"/>
      <c r="C425" s="248"/>
      <c r="D425" s="248"/>
      <c r="E425" s="248"/>
      <c r="F425" s="248"/>
      <c r="G425" s="248"/>
      <c r="I425" s="248"/>
      <c r="J425" s="248"/>
      <c r="K425" s="248"/>
      <c r="L425" s="248"/>
      <c r="M425" s="248"/>
      <c r="N425" s="248"/>
      <c r="P425" s="248"/>
      <c r="Q425" s="248"/>
    </row>
    <row r="426">
      <c r="A426" s="248"/>
      <c r="B426" s="248"/>
      <c r="C426" s="248"/>
      <c r="D426" s="248"/>
      <c r="E426" s="248"/>
      <c r="F426" s="248"/>
      <c r="G426" s="248"/>
      <c r="I426" s="248"/>
      <c r="J426" s="248"/>
      <c r="K426" s="248"/>
      <c r="L426" s="248"/>
      <c r="M426" s="248"/>
      <c r="N426" s="248"/>
      <c r="P426" s="248"/>
      <c r="Q426" s="248"/>
    </row>
    <row r="427">
      <c r="A427" s="248"/>
      <c r="B427" s="248"/>
      <c r="C427" s="248"/>
      <c r="D427" s="248"/>
      <c r="E427" s="248"/>
      <c r="F427" s="248"/>
      <c r="G427" s="248"/>
      <c r="I427" s="248"/>
      <c r="J427" s="248"/>
      <c r="K427" s="248"/>
      <c r="L427" s="248"/>
      <c r="M427" s="248"/>
      <c r="N427" s="248"/>
      <c r="P427" s="248"/>
      <c r="Q427" s="248"/>
    </row>
    <row r="428">
      <c r="A428" s="248"/>
      <c r="B428" s="248"/>
      <c r="C428" s="248"/>
      <c r="D428" s="248"/>
      <c r="E428" s="248"/>
      <c r="F428" s="248"/>
      <c r="G428" s="248"/>
      <c r="I428" s="248"/>
      <c r="J428" s="248"/>
      <c r="K428" s="248"/>
      <c r="L428" s="248"/>
      <c r="M428" s="248"/>
      <c r="N428" s="248"/>
      <c r="P428" s="248"/>
      <c r="Q428" s="248"/>
    </row>
    <row r="429">
      <c r="A429" s="248"/>
      <c r="B429" s="248"/>
      <c r="C429" s="248"/>
      <c r="D429" s="248"/>
      <c r="E429" s="248"/>
      <c r="F429" s="248"/>
      <c r="G429" s="248"/>
      <c r="I429" s="248"/>
      <c r="J429" s="248"/>
      <c r="K429" s="248"/>
      <c r="L429" s="248"/>
      <c r="M429" s="248"/>
      <c r="N429" s="248"/>
      <c r="P429" s="248"/>
      <c r="Q429" s="248"/>
    </row>
    <row r="430">
      <c r="A430" s="248"/>
      <c r="B430" s="248"/>
      <c r="C430" s="248"/>
      <c r="D430" s="248"/>
      <c r="E430" s="248"/>
      <c r="F430" s="248"/>
      <c r="G430" s="248"/>
      <c r="I430" s="248"/>
      <c r="J430" s="248"/>
      <c r="K430" s="248"/>
      <c r="L430" s="248"/>
      <c r="M430" s="248"/>
      <c r="N430" s="248"/>
      <c r="P430" s="248"/>
      <c r="Q430" s="248"/>
    </row>
    <row r="431">
      <c r="A431" s="248"/>
      <c r="B431" s="248"/>
      <c r="C431" s="248"/>
      <c r="D431" s="248"/>
      <c r="E431" s="248"/>
      <c r="F431" s="248"/>
      <c r="G431" s="248"/>
      <c r="I431" s="248"/>
      <c r="J431" s="248"/>
      <c r="K431" s="248"/>
      <c r="L431" s="248"/>
      <c r="M431" s="248"/>
      <c r="N431" s="248"/>
      <c r="P431" s="248"/>
      <c r="Q431" s="248"/>
    </row>
    <row r="432">
      <c r="A432" s="248"/>
      <c r="B432" s="248"/>
      <c r="C432" s="248"/>
      <c r="D432" s="248"/>
      <c r="E432" s="248"/>
      <c r="F432" s="248"/>
      <c r="G432" s="248"/>
      <c r="I432" s="248"/>
      <c r="J432" s="248"/>
      <c r="K432" s="248"/>
      <c r="L432" s="248"/>
      <c r="M432" s="248"/>
      <c r="N432" s="248"/>
      <c r="P432" s="248"/>
      <c r="Q432" s="248"/>
    </row>
    <row r="433">
      <c r="A433" s="248"/>
      <c r="B433" s="248"/>
      <c r="C433" s="248"/>
      <c r="D433" s="248"/>
      <c r="E433" s="248"/>
      <c r="F433" s="248"/>
      <c r="G433" s="248"/>
      <c r="I433" s="248"/>
      <c r="J433" s="248"/>
      <c r="K433" s="248"/>
      <c r="L433" s="248"/>
      <c r="M433" s="248"/>
      <c r="N433" s="248"/>
      <c r="P433" s="248"/>
      <c r="Q433" s="248"/>
    </row>
    <row r="434">
      <c r="A434" s="248"/>
      <c r="B434" s="248"/>
      <c r="C434" s="248"/>
      <c r="D434" s="248"/>
      <c r="E434" s="248"/>
      <c r="F434" s="248"/>
      <c r="G434" s="248"/>
      <c r="I434" s="248"/>
      <c r="J434" s="248"/>
      <c r="K434" s="248"/>
      <c r="L434" s="248"/>
      <c r="M434" s="248"/>
      <c r="N434" s="248"/>
      <c r="P434" s="248"/>
      <c r="Q434" s="248"/>
    </row>
    <row r="435">
      <c r="A435" s="248"/>
      <c r="B435" s="248"/>
      <c r="C435" s="248"/>
      <c r="D435" s="248"/>
      <c r="E435" s="248"/>
      <c r="F435" s="248"/>
      <c r="G435" s="248"/>
      <c r="I435" s="248"/>
      <c r="J435" s="248"/>
      <c r="K435" s="248"/>
      <c r="L435" s="248"/>
      <c r="M435" s="248"/>
      <c r="N435" s="248"/>
      <c r="P435" s="248"/>
      <c r="Q435" s="248"/>
    </row>
    <row r="436">
      <c r="A436" s="248"/>
      <c r="B436" s="248"/>
      <c r="C436" s="248"/>
      <c r="D436" s="248"/>
      <c r="E436" s="248"/>
      <c r="F436" s="248"/>
      <c r="G436" s="248"/>
      <c r="I436" s="248"/>
      <c r="J436" s="248"/>
      <c r="K436" s="248"/>
      <c r="L436" s="248"/>
      <c r="M436" s="248"/>
      <c r="N436" s="248"/>
      <c r="P436" s="248"/>
      <c r="Q436" s="248"/>
    </row>
    <row r="437">
      <c r="A437" s="248"/>
      <c r="B437" s="248"/>
      <c r="C437" s="248"/>
      <c r="D437" s="248"/>
      <c r="E437" s="248"/>
      <c r="F437" s="248"/>
      <c r="G437" s="248"/>
      <c r="I437" s="248"/>
      <c r="J437" s="248"/>
      <c r="K437" s="248"/>
      <c r="L437" s="248"/>
      <c r="M437" s="248"/>
      <c r="N437" s="248"/>
      <c r="P437" s="248"/>
      <c r="Q437" s="248"/>
    </row>
    <row r="438">
      <c r="A438" s="248"/>
      <c r="B438" s="248"/>
      <c r="C438" s="248"/>
      <c r="D438" s="248"/>
      <c r="E438" s="248"/>
      <c r="F438" s="248"/>
      <c r="G438" s="248"/>
      <c r="I438" s="248"/>
      <c r="J438" s="248"/>
      <c r="K438" s="248"/>
      <c r="L438" s="248"/>
      <c r="M438" s="248"/>
      <c r="N438" s="248"/>
      <c r="P438" s="248"/>
      <c r="Q438" s="248"/>
    </row>
    <row r="439">
      <c r="A439" s="248"/>
      <c r="B439" s="248"/>
      <c r="C439" s="248"/>
      <c r="D439" s="248"/>
      <c r="E439" s="248"/>
      <c r="F439" s="248"/>
      <c r="G439" s="248"/>
      <c r="I439" s="248"/>
      <c r="J439" s="248"/>
      <c r="K439" s="248"/>
      <c r="L439" s="248"/>
      <c r="M439" s="248"/>
      <c r="N439" s="248"/>
      <c r="P439" s="248"/>
      <c r="Q439" s="248"/>
    </row>
    <row r="440">
      <c r="A440" s="248"/>
      <c r="B440" s="248"/>
      <c r="C440" s="248"/>
      <c r="D440" s="248"/>
      <c r="E440" s="248"/>
      <c r="F440" s="248"/>
      <c r="G440" s="248"/>
      <c r="I440" s="248"/>
      <c r="J440" s="248"/>
      <c r="K440" s="248"/>
      <c r="L440" s="248"/>
      <c r="M440" s="248"/>
      <c r="N440" s="248"/>
      <c r="P440" s="248"/>
      <c r="Q440" s="248"/>
    </row>
    <row r="441">
      <c r="A441" s="248"/>
      <c r="B441" s="248"/>
      <c r="C441" s="248"/>
      <c r="D441" s="248"/>
      <c r="E441" s="248"/>
      <c r="F441" s="248"/>
      <c r="G441" s="248"/>
      <c r="I441" s="248"/>
      <c r="J441" s="248"/>
      <c r="K441" s="248"/>
      <c r="L441" s="248"/>
      <c r="M441" s="248"/>
      <c r="N441" s="248"/>
      <c r="P441" s="248"/>
      <c r="Q441" s="248"/>
    </row>
    <row r="442">
      <c r="A442" s="248"/>
      <c r="B442" s="248"/>
      <c r="C442" s="248"/>
      <c r="D442" s="248"/>
      <c r="E442" s="248"/>
      <c r="F442" s="248"/>
      <c r="G442" s="248"/>
      <c r="I442" s="248"/>
      <c r="J442" s="248"/>
      <c r="K442" s="248"/>
      <c r="L442" s="248"/>
      <c r="M442" s="248"/>
      <c r="N442" s="248"/>
      <c r="P442" s="248"/>
      <c r="Q442" s="248"/>
    </row>
    <row r="443">
      <c r="A443" s="248"/>
      <c r="B443" s="248"/>
      <c r="C443" s="248"/>
      <c r="D443" s="248"/>
      <c r="E443" s="248"/>
      <c r="F443" s="248"/>
      <c r="G443" s="248"/>
      <c r="I443" s="248"/>
      <c r="J443" s="248"/>
      <c r="K443" s="248"/>
      <c r="L443" s="248"/>
      <c r="M443" s="248"/>
      <c r="N443" s="248"/>
      <c r="P443" s="248"/>
      <c r="Q443" s="248"/>
    </row>
    <row r="444">
      <c r="A444" s="248"/>
      <c r="B444" s="248"/>
      <c r="C444" s="248"/>
      <c r="D444" s="248"/>
      <c r="E444" s="248"/>
      <c r="F444" s="248"/>
      <c r="G444" s="248"/>
      <c r="I444" s="248"/>
      <c r="J444" s="248"/>
      <c r="K444" s="248"/>
      <c r="L444" s="248"/>
      <c r="M444" s="248"/>
      <c r="N444" s="248"/>
      <c r="P444" s="248"/>
      <c r="Q444" s="248"/>
    </row>
    <row r="445">
      <c r="A445" s="248"/>
      <c r="B445" s="248"/>
      <c r="C445" s="248"/>
      <c r="D445" s="248"/>
      <c r="E445" s="248"/>
      <c r="F445" s="248"/>
      <c r="G445" s="248"/>
      <c r="I445" s="248"/>
      <c r="J445" s="248"/>
      <c r="K445" s="248"/>
      <c r="L445" s="248"/>
      <c r="M445" s="248"/>
      <c r="N445" s="248"/>
      <c r="P445" s="248"/>
      <c r="Q445" s="248"/>
    </row>
    <row r="446">
      <c r="A446" s="248"/>
      <c r="B446" s="248"/>
      <c r="C446" s="248"/>
      <c r="D446" s="248"/>
      <c r="E446" s="248"/>
      <c r="F446" s="248"/>
      <c r="G446" s="248"/>
      <c r="I446" s="248"/>
      <c r="J446" s="248"/>
      <c r="K446" s="248"/>
      <c r="L446" s="248"/>
      <c r="M446" s="248"/>
      <c r="N446" s="248"/>
      <c r="P446" s="248"/>
      <c r="Q446" s="248"/>
    </row>
    <row r="447">
      <c r="A447" s="248"/>
      <c r="B447" s="248"/>
      <c r="C447" s="248"/>
      <c r="D447" s="248"/>
      <c r="E447" s="248"/>
      <c r="F447" s="248"/>
      <c r="G447" s="248"/>
      <c r="I447" s="248"/>
      <c r="J447" s="248"/>
      <c r="K447" s="248"/>
      <c r="L447" s="248"/>
      <c r="M447" s="248"/>
      <c r="N447" s="248"/>
      <c r="P447" s="248"/>
      <c r="Q447" s="248"/>
    </row>
    <row r="448">
      <c r="A448" s="248"/>
      <c r="B448" s="248"/>
      <c r="C448" s="248"/>
      <c r="D448" s="248"/>
      <c r="E448" s="248"/>
      <c r="F448" s="248"/>
      <c r="G448" s="248"/>
      <c r="I448" s="248"/>
      <c r="J448" s="248"/>
      <c r="K448" s="248"/>
      <c r="L448" s="248"/>
      <c r="M448" s="248"/>
      <c r="N448" s="248"/>
      <c r="P448" s="248"/>
      <c r="Q448" s="248"/>
    </row>
    <row r="449">
      <c r="A449" s="248"/>
      <c r="B449" s="248"/>
      <c r="C449" s="248"/>
      <c r="D449" s="248"/>
      <c r="E449" s="248"/>
      <c r="F449" s="248"/>
      <c r="G449" s="248"/>
      <c r="I449" s="248"/>
      <c r="J449" s="248"/>
      <c r="K449" s="248"/>
      <c r="L449" s="248"/>
      <c r="M449" s="248"/>
      <c r="N449" s="248"/>
      <c r="P449" s="248"/>
      <c r="Q449" s="248"/>
    </row>
    <row r="450">
      <c r="A450" s="248"/>
      <c r="B450" s="248"/>
      <c r="C450" s="248"/>
      <c r="D450" s="248"/>
      <c r="E450" s="248"/>
      <c r="F450" s="248"/>
      <c r="G450" s="248"/>
      <c r="I450" s="248"/>
      <c r="J450" s="248"/>
      <c r="K450" s="248"/>
      <c r="L450" s="248"/>
      <c r="M450" s="248"/>
      <c r="N450" s="248"/>
      <c r="P450" s="248"/>
      <c r="Q450" s="248"/>
    </row>
    <row r="451">
      <c r="A451" s="248"/>
      <c r="B451" s="248"/>
      <c r="C451" s="248"/>
      <c r="D451" s="248"/>
      <c r="E451" s="248"/>
      <c r="F451" s="248"/>
      <c r="G451" s="248"/>
      <c r="I451" s="248"/>
      <c r="J451" s="248"/>
      <c r="K451" s="248"/>
      <c r="L451" s="248"/>
      <c r="M451" s="248"/>
      <c r="N451" s="248"/>
      <c r="P451" s="248"/>
      <c r="Q451" s="248"/>
    </row>
    <row r="452">
      <c r="A452" s="248"/>
      <c r="B452" s="248"/>
      <c r="C452" s="248"/>
      <c r="D452" s="248"/>
      <c r="E452" s="248"/>
      <c r="F452" s="248"/>
      <c r="G452" s="248"/>
      <c r="I452" s="248"/>
      <c r="J452" s="248"/>
      <c r="K452" s="248"/>
      <c r="L452" s="248"/>
      <c r="M452" s="248"/>
      <c r="N452" s="248"/>
      <c r="P452" s="248"/>
      <c r="Q452" s="248"/>
    </row>
    <row r="453">
      <c r="A453" s="248"/>
      <c r="B453" s="248"/>
      <c r="C453" s="248"/>
      <c r="D453" s="248"/>
      <c r="E453" s="248"/>
      <c r="F453" s="248"/>
      <c r="G453" s="248"/>
      <c r="I453" s="248"/>
      <c r="J453" s="248"/>
      <c r="K453" s="248"/>
      <c r="L453" s="248"/>
      <c r="M453" s="248"/>
      <c r="N453" s="248"/>
      <c r="P453" s="248"/>
      <c r="Q453" s="248"/>
    </row>
    <row r="454">
      <c r="A454" s="248"/>
      <c r="B454" s="248"/>
      <c r="C454" s="248"/>
      <c r="D454" s="248"/>
      <c r="E454" s="248"/>
      <c r="F454" s="248"/>
      <c r="G454" s="248"/>
      <c r="I454" s="248"/>
      <c r="J454" s="248"/>
      <c r="K454" s="248"/>
      <c r="L454" s="248"/>
      <c r="M454" s="248"/>
      <c r="N454" s="248"/>
      <c r="P454" s="248"/>
      <c r="Q454" s="248"/>
    </row>
    <row r="455">
      <c r="A455" s="248"/>
      <c r="B455" s="248"/>
      <c r="C455" s="248"/>
      <c r="D455" s="248"/>
      <c r="E455" s="248"/>
      <c r="F455" s="248"/>
      <c r="G455" s="248"/>
      <c r="I455" s="248"/>
      <c r="J455" s="248"/>
      <c r="K455" s="248"/>
      <c r="L455" s="248"/>
      <c r="M455" s="248"/>
      <c r="N455" s="248"/>
      <c r="P455" s="248"/>
      <c r="Q455" s="248"/>
    </row>
    <row r="456">
      <c r="A456" s="248"/>
      <c r="B456" s="248"/>
      <c r="C456" s="248"/>
      <c r="D456" s="248"/>
      <c r="E456" s="248"/>
      <c r="F456" s="248"/>
      <c r="G456" s="248"/>
      <c r="I456" s="248"/>
      <c r="J456" s="248"/>
      <c r="K456" s="248"/>
      <c r="L456" s="248"/>
      <c r="M456" s="248"/>
      <c r="N456" s="248"/>
      <c r="P456" s="248"/>
      <c r="Q456" s="248"/>
    </row>
    <row r="457">
      <c r="A457" s="248"/>
      <c r="B457" s="248"/>
      <c r="C457" s="248"/>
      <c r="D457" s="248"/>
      <c r="E457" s="248"/>
      <c r="F457" s="248"/>
      <c r="G457" s="248"/>
      <c r="I457" s="248"/>
      <c r="J457" s="248"/>
      <c r="K457" s="248"/>
      <c r="L457" s="248"/>
      <c r="M457" s="248"/>
      <c r="N457" s="248"/>
      <c r="P457" s="248"/>
      <c r="Q457" s="248"/>
    </row>
    <row r="458">
      <c r="A458" s="248"/>
      <c r="B458" s="248"/>
      <c r="C458" s="248"/>
      <c r="D458" s="248"/>
      <c r="E458" s="248"/>
      <c r="F458" s="248"/>
      <c r="G458" s="248"/>
      <c r="I458" s="248"/>
      <c r="J458" s="248"/>
      <c r="K458" s="248"/>
      <c r="L458" s="248"/>
      <c r="M458" s="248"/>
      <c r="N458" s="248"/>
      <c r="P458" s="248"/>
      <c r="Q458" s="248"/>
    </row>
    <row r="459">
      <c r="A459" s="248"/>
      <c r="B459" s="248"/>
      <c r="C459" s="248"/>
      <c r="D459" s="248"/>
      <c r="E459" s="248"/>
      <c r="F459" s="248"/>
      <c r="G459" s="248"/>
      <c r="I459" s="248"/>
      <c r="J459" s="248"/>
      <c r="K459" s="248"/>
      <c r="L459" s="248"/>
      <c r="M459" s="248"/>
      <c r="N459" s="248"/>
      <c r="P459" s="248"/>
      <c r="Q459" s="248"/>
    </row>
    <row r="460">
      <c r="A460" s="248"/>
      <c r="B460" s="248"/>
      <c r="C460" s="248"/>
      <c r="D460" s="248"/>
      <c r="E460" s="248"/>
      <c r="F460" s="248"/>
      <c r="G460" s="248"/>
      <c r="I460" s="248"/>
      <c r="J460" s="248"/>
      <c r="K460" s="248"/>
      <c r="L460" s="248"/>
      <c r="M460" s="248"/>
      <c r="N460" s="248"/>
      <c r="P460" s="248"/>
      <c r="Q460" s="248"/>
    </row>
    <row r="461">
      <c r="A461" s="248"/>
      <c r="B461" s="248"/>
      <c r="C461" s="248"/>
      <c r="D461" s="248"/>
      <c r="E461" s="248"/>
      <c r="F461" s="248"/>
      <c r="G461" s="248"/>
      <c r="I461" s="248"/>
      <c r="J461" s="248"/>
      <c r="K461" s="248"/>
      <c r="L461" s="248"/>
      <c r="M461" s="248"/>
      <c r="N461" s="248"/>
      <c r="P461" s="248"/>
      <c r="Q461" s="248"/>
    </row>
    <row r="462">
      <c r="A462" s="248"/>
      <c r="B462" s="248"/>
      <c r="C462" s="248"/>
      <c r="D462" s="248"/>
      <c r="E462" s="248"/>
      <c r="F462" s="248"/>
      <c r="G462" s="248"/>
      <c r="I462" s="248"/>
      <c r="J462" s="248"/>
      <c r="K462" s="248"/>
      <c r="L462" s="248"/>
      <c r="M462" s="248"/>
      <c r="N462" s="248"/>
      <c r="P462" s="248"/>
      <c r="Q462" s="248"/>
    </row>
    <row r="463">
      <c r="A463" s="248"/>
      <c r="B463" s="248"/>
      <c r="C463" s="248"/>
      <c r="D463" s="248"/>
      <c r="E463" s="248"/>
      <c r="F463" s="248"/>
      <c r="G463" s="248"/>
      <c r="I463" s="248"/>
      <c r="J463" s="248"/>
      <c r="K463" s="248"/>
      <c r="L463" s="248"/>
      <c r="M463" s="248"/>
      <c r="N463" s="248"/>
      <c r="P463" s="248"/>
      <c r="Q463" s="248"/>
    </row>
    <row r="464">
      <c r="A464" s="248"/>
      <c r="B464" s="248"/>
      <c r="C464" s="248"/>
      <c r="D464" s="248"/>
      <c r="E464" s="248"/>
      <c r="F464" s="248"/>
      <c r="G464" s="248"/>
      <c r="I464" s="248"/>
      <c r="J464" s="248"/>
      <c r="K464" s="248"/>
      <c r="L464" s="248"/>
      <c r="M464" s="248"/>
      <c r="N464" s="248"/>
      <c r="P464" s="248"/>
      <c r="Q464" s="248"/>
    </row>
    <row r="465">
      <c r="A465" s="248"/>
      <c r="B465" s="248"/>
      <c r="C465" s="248"/>
      <c r="D465" s="248"/>
      <c r="E465" s="248"/>
      <c r="F465" s="248"/>
      <c r="G465" s="248"/>
      <c r="I465" s="248"/>
      <c r="J465" s="248"/>
      <c r="K465" s="248"/>
      <c r="L465" s="248"/>
      <c r="M465" s="248"/>
      <c r="N465" s="248"/>
      <c r="P465" s="248"/>
      <c r="Q465" s="248"/>
    </row>
    <row r="466">
      <c r="A466" s="248"/>
      <c r="B466" s="248"/>
      <c r="C466" s="248"/>
      <c r="D466" s="248"/>
      <c r="E466" s="248"/>
      <c r="F466" s="248"/>
      <c r="G466" s="248"/>
      <c r="I466" s="248"/>
      <c r="J466" s="248"/>
      <c r="K466" s="248"/>
      <c r="L466" s="248"/>
      <c r="M466" s="248"/>
      <c r="N466" s="248"/>
      <c r="P466" s="248"/>
      <c r="Q466" s="248"/>
    </row>
    <row r="467">
      <c r="A467" s="248"/>
      <c r="B467" s="248"/>
      <c r="C467" s="248"/>
      <c r="D467" s="248"/>
      <c r="E467" s="248"/>
      <c r="F467" s="248"/>
      <c r="G467" s="248"/>
      <c r="I467" s="248"/>
      <c r="J467" s="248"/>
      <c r="K467" s="248"/>
      <c r="L467" s="248"/>
      <c r="M467" s="248"/>
      <c r="N467" s="248"/>
      <c r="P467" s="248"/>
      <c r="Q467" s="248"/>
    </row>
    <row r="468">
      <c r="A468" s="248"/>
      <c r="B468" s="248"/>
      <c r="C468" s="248"/>
      <c r="D468" s="248"/>
      <c r="E468" s="248"/>
      <c r="F468" s="248"/>
      <c r="G468" s="248"/>
      <c r="I468" s="248"/>
      <c r="J468" s="248"/>
      <c r="K468" s="248"/>
      <c r="L468" s="248"/>
      <c r="M468" s="248"/>
      <c r="N468" s="248"/>
      <c r="P468" s="248"/>
      <c r="Q468" s="248"/>
    </row>
    <row r="469">
      <c r="A469" s="248"/>
      <c r="B469" s="248"/>
      <c r="C469" s="248"/>
      <c r="D469" s="248"/>
      <c r="E469" s="248"/>
      <c r="F469" s="248"/>
      <c r="G469" s="248"/>
      <c r="I469" s="248"/>
      <c r="J469" s="248"/>
      <c r="K469" s="248"/>
      <c r="L469" s="248"/>
      <c r="M469" s="248"/>
      <c r="N469" s="248"/>
      <c r="P469" s="248"/>
      <c r="Q469" s="248"/>
    </row>
    <row r="470">
      <c r="A470" s="248"/>
      <c r="B470" s="248"/>
      <c r="C470" s="248"/>
      <c r="D470" s="248"/>
      <c r="E470" s="248"/>
      <c r="F470" s="248"/>
      <c r="G470" s="248"/>
      <c r="I470" s="248"/>
      <c r="J470" s="248"/>
      <c r="K470" s="248"/>
      <c r="L470" s="248"/>
      <c r="M470" s="248"/>
      <c r="N470" s="248"/>
      <c r="P470" s="248"/>
      <c r="Q470" s="248"/>
    </row>
    <row r="471">
      <c r="A471" s="248"/>
      <c r="B471" s="248"/>
      <c r="C471" s="248"/>
      <c r="D471" s="248"/>
      <c r="E471" s="248"/>
      <c r="F471" s="248"/>
      <c r="G471" s="248"/>
      <c r="I471" s="248"/>
      <c r="J471" s="248"/>
      <c r="K471" s="248"/>
      <c r="L471" s="248"/>
      <c r="M471" s="248"/>
      <c r="N471" s="248"/>
      <c r="P471" s="248"/>
      <c r="Q471" s="248"/>
    </row>
    <row r="472">
      <c r="A472" s="248"/>
      <c r="B472" s="248"/>
      <c r="C472" s="248"/>
      <c r="D472" s="248"/>
      <c r="E472" s="248"/>
      <c r="F472" s="248"/>
      <c r="G472" s="248"/>
      <c r="I472" s="248"/>
      <c r="J472" s="248"/>
      <c r="K472" s="248"/>
      <c r="L472" s="248"/>
      <c r="M472" s="248"/>
      <c r="N472" s="248"/>
      <c r="P472" s="248"/>
      <c r="Q472" s="248"/>
    </row>
    <row r="473">
      <c r="A473" s="248"/>
      <c r="B473" s="248"/>
      <c r="C473" s="248"/>
      <c r="D473" s="248"/>
      <c r="E473" s="248"/>
      <c r="F473" s="248"/>
      <c r="G473" s="248"/>
      <c r="I473" s="248"/>
      <c r="J473" s="248"/>
      <c r="K473" s="248"/>
      <c r="L473" s="248"/>
      <c r="M473" s="248"/>
      <c r="N473" s="248"/>
      <c r="P473" s="248"/>
      <c r="Q473" s="248"/>
    </row>
    <row r="474">
      <c r="A474" s="248"/>
      <c r="B474" s="248"/>
      <c r="C474" s="248"/>
      <c r="D474" s="248"/>
      <c r="E474" s="248"/>
      <c r="F474" s="248"/>
      <c r="G474" s="248"/>
      <c r="I474" s="248"/>
      <c r="J474" s="248"/>
      <c r="K474" s="248"/>
      <c r="L474" s="248"/>
      <c r="M474" s="248"/>
      <c r="N474" s="248"/>
      <c r="P474" s="248"/>
      <c r="Q474" s="248"/>
    </row>
    <row r="475">
      <c r="A475" s="248"/>
      <c r="B475" s="248"/>
      <c r="C475" s="248"/>
      <c r="D475" s="248"/>
      <c r="E475" s="248"/>
      <c r="F475" s="248"/>
      <c r="G475" s="248"/>
      <c r="I475" s="248"/>
      <c r="J475" s="248"/>
      <c r="K475" s="248"/>
      <c r="L475" s="248"/>
      <c r="M475" s="248"/>
      <c r="N475" s="248"/>
      <c r="P475" s="248"/>
      <c r="Q475" s="248"/>
    </row>
    <row r="476">
      <c r="A476" s="248"/>
      <c r="B476" s="248"/>
      <c r="C476" s="248"/>
      <c r="D476" s="248"/>
      <c r="E476" s="248"/>
      <c r="F476" s="248"/>
      <c r="G476" s="248"/>
      <c r="I476" s="248"/>
      <c r="J476" s="248"/>
      <c r="K476" s="248"/>
      <c r="L476" s="248"/>
      <c r="M476" s="248"/>
      <c r="N476" s="248"/>
      <c r="P476" s="248"/>
      <c r="Q476" s="248"/>
    </row>
    <row r="477">
      <c r="A477" s="248"/>
      <c r="B477" s="248"/>
      <c r="C477" s="248"/>
      <c r="D477" s="248"/>
      <c r="E477" s="248"/>
      <c r="F477" s="248"/>
      <c r="G477" s="248"/>
      <c r="I477" s="248"/>
      <c r="J477" s="248"/>
      <c r="K477" s="248"/>
      <c r="L477" s="248"/>
      <c r="M477" s="248"/>
      <c r="N477" s="248"/>
      <c r="P477" s="248"/>
      <c r="Q477" s="248"/>
    </row>
    <row r="478">
      <c r="A478" s="248"/>
      <c r="B478" s="248"/>
      <c r="C478" s="248"/>
      <c r="D478" s="248"/>
      <c r="E478" s="248"/>
      <c r="F478" s="248"/>
      <c r="G478" s="248"/>
      <c r="I478" s="248"/>
      <c r="J478" s="248"/>
      <c r="K478" s="248"/>
      <c r="L478" s="248"/>
      <c r="M478" s="248"/>
      <c r="N478" s="248"/>
      <c r="P478" s="248"/>
      <c r="Q478" s="248"/>
    </row>
    <row r="479">
      <c r="A479" s="248"/>
      <c r="B479" s="248"/>
      <c r="C479" s="248"/>
      <c r="D479" s="248"/>
      <c r="E479" s="248"/>
      <c r="F479" s="248"/>
      <c r="G479" s="248"/>
      <c r="I479" s="248"/>
      <c r="J479" s="248"/>
      <c r="K479" s="248"/>
      <c r="L479" s="248"/>
      <c r="M479" s="248"/>
      <c r="N479" s="248"/>
      <c r="P479" s="248"/>
      <c r="Q479" s="248"/>
    </row>
    <row r="480">
      <c r="A480" s="248"/>
      <c r="B480" s="248"/>
      <c r="C480" s="248"/>
      <c r="D480" s="248"/>
      <c r="E480" s="248"/>
      <c r="F480" s="248"/>
      <c r="G480" s="248"/>
      <c r="I480" s="248"/>
      <c r="J480" s="248"/>
      <c r="K480" s="248"/>
      <c r="L480" s="248"/>
      <c r="M480" s="248"/>
      <c r="N480" s="248"/>
      <c r="P480" s="248"/>
      <c r="Q480" s="248"/>
    </row>
    <row r="481">
      <c r="A481" s="248"/>
      <c r="B481" s="248"/>
      <c r="C481" s="248"/>
      <c r="D481" s="248"/>
      <c r="E481" s="248"/>
      <c r="F481" s="248"/>
      <c r="G481" s="248"/>
      <c r="I481" s="248"/>
      <c r="J481" s="248"/>
      <c r="K481" s="248"/>
      <c r="L481" s="248"/>
      <c r="M481" s="248"/>
      <c r="N481" s="248"/>
      <c r="P481" s="248"/>
      <c r="Q481" s="248"/>
    </row>
    <row r="482">
      <c r="A482" s="248"/>
      <c r="B482" s="248"/>
      <c r="C482" s="248"/>
      <c r="D482" s="248"/>
      <c r="E482" s="248"/>
      <c r="F482" s="248"/>
      <c r="G482" s="248"/>
      <c r="I482" s="248"/>
      <c r="J482" s="248"/>
      <c r="K482" s="248"/>
      <c r="L482" s="248"/>
      <c r="M482" s="248"/>
      <c r="N482" s="248"/>
      <c r="P482" s="248"/>
      <c r="Q482" s="248"/>
    </row>
    <row r="483">
      <c r="A483" s="248"/>
      <c r="B483" s="248"/>
      <c r="C483" s="248"/>
      <c r="D483" s="248"/>
      <c r="E483" s="248"/>
      <c r="F483" s="248"/>
      <c r="G483" s="248"/>
      <c r="I483" s="248"/>
      <c r="J483" s="248"/>
      <c r="K483" s="248"/>
      <c r="L483" s="248"/>
      <c r="M483" s="248"/>
      <c r="N483" s="248"/>
      <c r="P483" s="248"/>
      <c r="Q483" s="248"/>
    </row>
    <row r="484">
      <c r="A484" s="248"/>
      <c r="B484" s="248"/>
      <c r="C484" s="248"/>
      <c r="D484" s="248"/>
      <c r="E484" s="248"/>
      <c r="F484" s="248"/>
      <c r="G484" s="248"/>
      <c r="I484" s="248"/>
      <c r="J484" s="248"/>
      <c r="K484" s="248"/>
      <c r="L484" s="248"/>
      <c r="M484" s="248"/>
      <c r="N484" s="248"/>
      <c r="P484" s="248"/>
      <c r="Q484" s="248"/>
    </row>
    <row r="485">
      <c r="A485" s="248"/>
      <c r="B485" s="248"/>
      <c r="C485" s="248"/>
      <c r="D485" s="248"/>
      <c r="E485" s="248"/>
      <c r="F485" s="248"/>
      <c r="G485" s="248"/>
      <c r="I485" s="248"/>
      <c r="J485" s="248"/>
      <c r="K485" s="248"/>
      <c r="L485" s="248"/>
      <c r="M485" s="248"/>
      <c r="N485" s="248"/>
      <c r="P485" s="248"/>
      <c r="Q485" s="248"/>
    </row>
    <row r="486">
      <c r="A486" s="248"/>
      <c r="B486" s="248"/>
      <c r="C486" s="248"/>
      <c r="D486" s="248"/>
      <c r="E486" s="248"/>
      <c r="F486" s="248"/>
      <c r="G486" s="248"/>
      <c r="I486" s="248"/>
      <c r="J486" s="248"/>
      <c r="K486" s="248"/>
      <c r="L486" s="248"/>
      <c r="M486" s="248"/>
      <c r="N486" s="248"/>
      <c r="P486" s="248"/>
      <c r="Q486" s="248"/>
    </row>
    <row r="487">
      <c r="A487" s="248"/>
      <c r="B487" s="248"/>
      <c r="C487" s="248"/>
      <c r="D487" s="248"/>
      <c r="E487" s="248"/>
      <c r="F487" s="248"/>
      <c r="G487" s="248"/>
      <c r="I487" s="248"/>
      <c r="J487" s="248"/>
      <c r="K487" s="248"/>
      <c r="L487" s="248"/>
      <c r="M487" s="248"/>
      <c r="N487" s="248"/>
      <c r="P487" s="248"/>
      <c r="Q487" s="248"/>
    </row>
    <row r="488">
      <c r="A488" s="248"/>
      <c r="B488" s="248"/>
      <c r="C488" s="248"/>
      <c r="D488" s="248"/>
      <c r="E488" s="248"/>
      <c r="F488" s="248"/>
      <c r="G488" s="248"/>
      <c r="I488" s="248"/>
      <c r="J488" s="248"/>
      <c r="K488" s="248"/>
      <c r="L488" s="248"/>
      <c r="M488" s="248"/>
      <c r="N488" s="248"/>
      <c r="P488" s="248"/>
      <c r="Q488" s="248"/>
    </row>
    <row r="489">
      <c r="A489" s="248"/>
      <c r="B489" s="248"/>
      <c r="C489" s="248"/>
      <c r="D489" s="248"/>
      <c r="E489" s="248"/>
      <c r="F489" s="248"/>
      <c r="G489" s="248"/>
      <c r="I489" s="248"/>
      <c r="J489" s="248"/>
      <c r="K489" s="248"/>
      <c r="L489" s="248"/>
      <c r="M489" s="248"/>
      <c r="N489" s="248"/>
      <c r="P489" s="248"/>
      <c r="Q489" s="248"/>
    </row>
    <row r="490">
      <c r="A490" s="248"/>
      <c r="B490" s="248"/>
      <c r="C490" s="248"/>
      <c r="D490" s="248"/>
      <c r="E490" s="248"/>
      <c r="F490" s="248"/>
      <c r="G490" s="248"/>
      <c r="I490" s="248"/>
      <c r="J490" s="248"/>
      <c r="K490" s="248"/>
      <c r="L490" s="248"/>
      <c r="M490" s="248"/>
      <c r="N490" s="248"/>
      <c r="P490" s="248"/>
      <c r="Q490" s="248"/>
    </row>
    <row r="491">
      <c r="A491" s="248"/>
      <c r="B491" s="248"/>
      <c r="C491" s="248"/>
      <c r="D491" s="248"/>
      <c r="E491" s="248"/>
      <c r="F491" s="248"/>
      <c r="G491" s="248"/>
      <c r="I491" s="248"/>
      <c r="J491" s="248"/>
      <c r="K491" s="248"/>
      <c r="L491" s="248"/>
      <c r="M491" s="248"/>
      <c r="N491" s="248"/>
      <c r="P491" s="248"/>
      <c r="Q491" s="248"/>
    </row>
    <row r="492">
      <c r="A492" s="248"/>
      <c r="B492" s="248"/>
      <c r="C492" s="248"/>
      <c r="D492" s="248"/>
      <c r="E492" s="248"/>
      <c r="F492" s="248"/>
      <c r="G492" s="248"/>
      <c r="I492" s="248"/>
      <c r="J492" s="248"/>
      <c r="K492" s="248"/>
      <c r="L492" s="248"/>
      <c r="M492" s="248"/>
      <c r="N492" s="248"/>
      <c r="P492" s="248"/>
      <c r="Q492" s="248"/>
    </row>
    <row r="493">
      <c r="A493" s="248"/>
      <c r="B493" s="248"/>
      <c r="C493" s="248"/>
      <c r="D493" s="248"/>
      <c r="E493" s="248"/>
      <c r="F493" s="248"/>
      <c r="G493" s="248"/>
      <c r="I493" s="248"/>
      <c r="J493" s="248"/>
      <c r="K493" s="248"/>
      <c r="L493" s="248"/>
      <c r="M493" s="248"/>
      <c r="N493" s="248"/>
      <c r="P493" s="248"/>
      <c r="Q493" s="248"/>
    </row>
    <row r="494">
      <c r="A494" s="248"/>
      <c r="B494" s="248"/>
      <c r="C494" s="248"/>
      <c r="D494" s="248"/>
      <c r="E494" s="248"/>
      <c r="F494" s="248"/>
      <c r="G494" s="248"/>
      <c r="I494" s="248"/>
      <c r="J494" s="248"/>
      <c r="K494" s="248"/>
      <c r="L494" s="248"/>
      <c r="M494" s="248"/>
      <c r="N494" s="248"/>
      <c r="P494" s="248"/>
      <c r="Q494" s="248"/>
    </row>
    <row r="495">
      <c r="A495" s="248"/>
      <c r="B495" s="248"/>
      <c r="C495" s="248"/>
      <c r="D495" s="248"/>
      <c r="E495" s="248"/>
      <c r="F495" s="248"/>
      <c r="G495" s="248"/>
      <c r="I495" s="248"/>
      <c r="J495" s="248"/>
      <c r="K495" s="248"/>
      <c r="L495" s="248"/>
      <c r="M495" s="248"/>
      <c r="N495" s="248"/>
      <c r="P495" s="248"/>
      <c r="Q495" s="248"/>
    </row>
    <row r="496">
      <c r="A496" s="248"/>
      <c r="B496" s="248"/>
      <c r="C496" s="248"/>
      <c r="D496" s="248"/>
      <c r="E496" s="248"/>
      <c r="F496" s="248"/>
      <c r="G496" s="248"/>
      <c r="I496" s="248"/>
      <c r="J496" s="248"/>
      <c r="K496" s="248"/>
      <c r="L496" s="248"/>
      <c r="M496" s="248"/>
      <c r="N496" s="248"/>
      <c r="P496" s="248"/>
      <c r="Q496" s="248"/>
    </row>
    <row r="497">
      <c r="A497" s="248"/>
      <c r="B497" s="248"/>
      <c r="C497" s="248"/>
      <c r="D497" s="248"/>
      <c r="E497" s="248"/>
      <c r="F497" s="248"/>
      <c r="G497" s="248"/>
      <c r="I497" s="248"/>
      <c r="J497" s="248"/>
      <c r="K497" s="248"/>
      <c r="L497" s="248"/>
      <c r="M497" s="248"/>
      <c r="N497" s="248"/>
      <c r="P497" s="248"/>
      <c r="Q497" s="248"/>
    </row>
    <row r="498">
      <c r="A498" s="248"/>
      <c r="B498" s="248"/>
      <c r="C498" s="248"/>
      <c r="D498" s="248"/>
      <c r="E498" s="248"/>
      <c r="F498" s="248"/>
      <c r="G498" s="248"/>
      <c r="I498" s="248"/>
      <c r="J498" s="248"/>
      <c r="K498" s="248"/>
      <c r="L498" s="248"/>
      <c r="M498" s="248"/>
      <c r="N498" s="248"/>
      <c r="P498" s="248"/>
      <c r="Q498" s="248"/>
    </row>
    <row r="499">
      <c r="A499" s="248"/>
      <c r="B499" s="248"/>
      <c r="C499" s="248"/>
      <c r="D499" s="248"/>
      <c r="E499" s="248"/>
      <c r="F499" s="248"/>
      <c r="G499" s="248"/>
      <c r="I499" s="248"/>
      <c r="J499" s="248"/>
      <c r="K499" s="248"/>
      <c r="L499" s="248"/>
      <c r="M499" s="248"/>
      <c r="N499" s="248"/>
      <c r="P499" s="248"/>
      <c r="Q499" s="248"/>
    </row>
    <row r="500">
      <c r="A500" s="248"/>
      <c r="B500" s="248"/>
      <c r="C500" s="248"/>
      <c r="D500" s="248"/>
      <c r="E500" s="248"/>
      <c r="F500" s="248"/>
      <c r="G500" s="248"/>
      <c r="I500" s="248"/>
      <c r="J500" s="248"/>
      <c r="K500" s="248"/>
      <c r="L500" s="248"/>
      <c r="M500" s="248"/>
      <c r="N500" s="248"/>
      <c r="P500" s="248"/>
      <c r="Q500" s="248"/>
    </row>
    <row r="501">
      <c r="A501" s="248"/>
      <c r="B501" s="248"/>
      <c r="C501" s="248"/>
      <c r="D501" s="248"/>
      <c r="E501" s="248"/>
      <c r="F501" s="248"/>
      <c r="G501" s="248"/>
      <c r="I501" s="248"/>
      <c r="J501" s="248"/>
      <c r="K501" s="248"/>
      <c r="L501" s="248"/>
      <c r="M501" s="248"/>
      <c r="N501" s="248"/>
      <c r="P501" s="248"/>
      <c r="Q501" s="248"/>
    </row>
    <row r="502">
      <c r="A502" s="248"/>
      <c r="B502" s="248"/>
      <c r="C502" s="248"/>
      <c r="D502" s="248"/>
      <c r="E502" s="248"/>
      <c r="F502" s="248"/>
      <c r="G502" s="248"/>
      <c r="I502" s="248"/>
      <c r="J502" s="248"/>
      <c r="K502" s="248"/>
      <c r="L502" s="248"/>
      <c r="M502" s="248"/>
      <c r="N502" s="248"/>
      <c r="P502" s="248"/>
      <c r="Q502" s="248"/>
    </row>
    <row r="503">
      <c r="A503" s="248"/>
      <c r="B503" s="248"/>
      <c r="C503" s="248"/>
      <c r="D503" s="248"/>
      <c r="E503" s="248"/>
      <c r="F503" s="248"/>
      <c r="G503" s="248"/>
      <c r="I503" s="248"/>
      <c r="J503" s="248"/>
      <c r="K503" s="248"/>
      <c r="L503" s="248"/>
      <c r="M503" s="248"/>
      <c r="N503" s="248"/>
      <c r="P503" s="248"/>
      <c r="Q503" s="248"/>
    </row>
    <row r="504">
      <c r="A504" s="248"/>
      <c r="B504" s="248"/>
      <c r="C504" s="248"/>
      <c r="D504" s="248"/>
      <c r="E504" s="248"/>
      <c r="F504" s="248"/>
      <c r="G504" s="248"/>
      <c r="I504" s="248"/>
      <c r="J504" s="248"/>
      <c r="K504" s="248"/>
      <c r="L504" s="248"/>
      <c r="M504" s="248"/>
      <c r="N504" s="248"/>
      <c r="P504" s="248"/>
      <c r="Q504" s="248"/>
    </row>
    <row r="505">
      <c r="A505" s="248"/>
      <c r="B505" s="248"/>
      <c r="C505" s="248"/>
      <c r="D505" s="248"/>
      <c r="E505" s="248"/>
      <c r="F505" s="248"/>
      <c r="G505" s="248"/>
      <c r="I505" s="248"/>
      <c r="J505" s="248"/>
      <c r="K505" s="248"/>
      <c r="L505" s="248"/>
      <c r="M505" s="248"/>
      <c r="N505" s="248"/>
      <c r="P505" s="248"/>
      <c r="Q505" s="248"/>
    </row>
    <row r="506">
      <c r="A506" s="248"/>
      <c r="B506" s="248"/>
      <c r="C506" s="248"/>
      <c r="D506" s="248"/>
      <c r="E506" s="248"/>
      <c r="F506" s="248"/>
      <c r="G506" s="248"/>
      <c r="I506" s="248"/>
      <c r="J506" s="248"/>
      <c r="K506" s="248"/>
      <c r="L506" s="248"/>
      <c r="M506" s="248"/>
      <c r="N506" s="248"/>
      <c r="P506" s="248"/>
      <c r="Q506" s="248"/>
    </row>
    <row r="507">
      <c r="A507" s="248"/>
      <c r="B507" s="248"/>
      <c r="C507" s="248"/>
      <c r="D507" s="248"/>
      <c r="E507" s="248"/>
      <c r="F507" s="248"/>
      <c r="G507" s="248"/>
      <c r="I507" s="248"/>
      <c r="J507" s="248"/>
      <c r="K507" s="248"/>
      <c r="L507" s="248"/>
      <c r="M507" s="248"/>
      <c r="N507" s="248"/>
      <c r="P507" s="248"/>
      <c r="Q507" s="248"/>
    </row>
    <row r="508">
      <c r="A508" s="248"/>
      <c r="B508" s="248"/>
      <c r="C508" s="248"/>
      <c r="D508" s="248"/>
      <c r="E508" s="248"/>
      <c r="F508" s="248"/>
      <c r="G508" s="248"/>
      <c r="I508" s="248"/>
      <c r="J508" s="248"/>
      <c r="K508" s="248"/>
      <c r="L508" s="248"/>
      <c r="M508" s="248"/>
      <c r="N508" s="248"/>
      <c r="P508" s="248"/>
      <c r="Q508" s="248"/>
    </row>
    <row r="509">
      <c r="A509" s="248"/>
      <c r="B509" s="248"/>
      <c r="C509" s="248"/>
      <c r="D509" s="248"/>
      <c r="E509" s="248"/>
      <c r="F509" s="248"/>
      <c r="G509" s="248"/>
      <c r="I509" s="248"/>
      <c r="J509" s="248"/>
      <c r="K509" s="248"/>
      <c r="L509" s="248"/>
      <c r="M509" s="248"/>
      <c r="N509" s="248"/>
      <c r="P509" s="248"/>
      <c r="Q509" s="248"/>
    </row>
    <row r="510">
      <c r="A510" s="248"/>
      <c r="B510" s="248"/>
      <c r="C510" s="248"/>
      <c r="D510" s="248"/>
      <c r="E510" s="248"/>
      <c r="F510" s="248"/>
      <c r="G510" s="248"/>
      <c r="I510" s="248"/>
      <c r="J510" s="248"/>
      <c r="K510" s="248"/>
      <c r="L510" s="248"/>
      <c r="M510" s="248"/>
      <c r="N510" s="248"/>
      <c r="P510" s="248"/>
      <c r="Q510" s="248"/>
    </row>
    <row r="511">
      <c r="A511" s="248"/>
      <c r="B511" s="248"/>
      <c r="C511" s="248"/>
      <c r="D511" s="248"/>
      <c r="E511" s="248"/>
      <c r="F511" s="248"/>
      <c r="G511" s="248"/>
      <c r="I511" s="248"/>
      <c r="J511" s="248"/>
      <c r="K511" s="248"/>
      <c r="L511" s="248"/>
      <c r="M511" s="248"/>
      <c r="N511" s="248"/>
      <c r="P511" s="248"/>
      <c r="Q511" s="248"/>
    </row>
    <row r="512">
      <c r="A512" s="248"/>
      <c r="B512" s="248"/>
      <c r="C512" s="248"/>
      <c r="D512" s="248"/>
      <c r="E512" s="248"/>
      <c r="F512" s="248"/>
      <c r="G512" s="248"/>
      <c r="I512" s="248"/>
      <c r="J512" s="248"/>
      <c r="K512" s="248"/>
      <c r="L512" s="248"/>
      <c r="M512" s="248"/>
      <c r="N512" s="248"/>
      <c r="P512" s="248"/>
      <c r="Q512" s="248"/>
    </row>
    <row r="513">
      <c r="A513" s="248"/>
      <c r="B513" s="248"/>
      <c r="C513" s="248"/>
      <c r="D513" s="248"/>
      <c r="E513" s="248"/>
      <c r="F513" s="248"/>
      <c r="G513" s="248"/>
      <c r="I513" s="248"/>
      <c r="J513" s="248"/>
      <c r="K513" s="248"/>
      <c r="L513" s="248"/>
      <c r="M513" s="248"/>
      <c r="N513" s="248"/>
      <c r="P513" s="248"/>
      <c r="Q513" s="248"/>
    </row>
    <row r="514">
      <c r="A514" s="248"/>
      <c r="B514" s="248"/>
      <c r="C514" s="248"/>
      <c r="D514" s="248"/>
      <c r="E514" s="248"/>
      <c r="F514" s="248"/>
      <c r="G514" s="248"/>
      <c r="I514" s="248"/>
      <c r="J514" s="248"/>
      <c r="K514" s="248"/>
      <c r="L514" s="248"/>
      <c r="M514" s="248"/>
      <c r="N514" s="248"/>
      <c r="P514" s="248"/>
      <c r="Q514" s="248"/>
    </row>
    <row r="515">
      <c r="A515" s="248"/>
      <c r="B515" s="248"/>
      <c r="C515" s="248"/>
      <c r="D515" s="248"/>
      <c r="E515" s="248"/>
      <c r="F515" s="248"/>
      <c r="G515" s="248"/>
      <c r="I515" s="248"/>
      <c r="J515" s="248"/>
      <c r="K515" s="248"/>
      <c r="L515" s="248"/>
      <c r="M515" s="248"/>
      <c r="N515" s="248"/>
      <c r="P515" s="248"/>
      <c r="Q515" s="248"/>
    </row>
    <row r="516">
      <c r="A516" s="248"/>
      <c r="B516" s="248"/>
      <c r="C516" s="248"/>
      <c r="D516" s="248"/>
      <c r="E516" s="248"/>
      <c r="F516" s="248"/>
      <c r="G516" s="248"/>
      <c r="I516" s="248"/>
      <c r="J516" s="248"/>
      <c r="K516" s="248"/>
      <c r="L516" s="248"/>
      <c r="M516" s="248"/>
      <c r="N516" s="248"/>
      <c r="P516" s="248"/>
      <c r="Q516" s="248"/>
    </row>
    <row r="517">
      <c r="A517" s="248"/>
      <c r="B517" s="248"/>
      <c r="C517" s="248"/>
      <c r="D517" s="248"/>
      <c r="E517" s="248"/>
      <c r="F517" s="248"/>
      <c r="G517" s="248"/>
      <c r="I517" s="248"/>
      <c r="J517" s="248"/>
      <c r="K517" s="248"/>
      <c r="L517" s="248"/>
      <c r="M517" s="248"/>
      <c r="N517" s="248"/>
      <c r="P517" s="248"/>
      <c r="Q517" s="248"/>
    </row>
    <row r="518">
      <c r="A518" s="248"/>
      <c r="B518" s="248"/>
      <c r="C518" s="248"/>
      <c r="D518" s="248"/>
      <c r="E518" s="248"/>
      <c r="F518" s="248"/>
      <c r="G518" s="248"/>
      <c r="I518" s="248"/>
      <c r="J518" s="248"/>
      <c r="K518" s="248"/>
      <c r="L518" s="248"/>
      <c r="M518" s="248"/>
      <c r="N518" s="248"/>
      <c r="P518" s="248"/>
      <c r="Q518" s="248"/>
    </row>
    <row r="519">
      <c r="A519" s="248"/>
      <c r="B519" s="248"/>
      <c r="C519" s="248"/>
      <c r="D519" s="248"/>
      <c r="E519" s="248"/>
      <c r="F519" s="248"/>
      <c r="G519" s="248"/>
      <c r="I519" s="248"/>
      <c r="J519" s="248"/>
      <c r="K519" s="248"/>
      <c r="L519" s="248"/>
      <c r="M519" s="248"/>
      <c r="N519" s="248"/>
      <c r="P519" s="248"/>
      <c r="Q519" s="248"/>
    </row>
    <row r="520">
      <c r="A520" s="248"/>
      <c r="B520" s="248"/>
      <c r="C520" s="248"/>
      <c r="D520" s="248"/>
      <c r="E520" s="248"/>
      <c r="F520" s="248"/>
      <c r="G520" s="248"/>
      <c r="I520" s="248"/>
      <c r="J520" s="248"/>
      <c r="K520" s="248"/>
      <c r="L520" s="248"/>
      <c r="M520" s="248"/>
      <c r="N520" s="248"/>
      <c r="P520" s="248"/>
      <c r="Q520" s="248"/>
    </row>
    <row r="521">
      <c r="A521" s="248"/>
      <c r="B521" s="248"/>
      <c r="C521" s="248"/>
      <c r="D521" s="248"/>
      <c r="E521" s="248"/>
      <c r="F521" s="248"/>
      <c r="G521" s="248"/>
      <c r="I521" s="248"/>
      <c r="J521" s="248"/>
      <c r="K521" s="248"/>
      <c r="L521" s="248"/>
      <c r="M521" s="248"/>
      <c r="N521" s="248"/>
      <c r="P521" s="248"/>
      <c r="Q521" s="248"/>
    </row>
    <row r="522">
      <c r="A522" s="248"/>
      <c r="B522" s="248"/>
      <c r="C522" s="248"/>
      <c r="D522" s="248"/>
      <c r="E522" s="248"/>
      <c r="F522" s="248"/>
      <c r="G522" s="248"/>
      <c r="I522" s="248"/>
      <c r="J522" s="248"/>
      <c r="K522" s="248"/>
      <c r="L522" s="248"/>
      <c r="M522" s="248"/>
      <c r="N522" s="248"/>
      <c r="P522" s="248"/>
      <c r="Q522" s="248"/>
    </row>
    <row r="523">
      <c r="A523" s="248"/>
      <c r="B523" s="248"/>
      <c r="C523" s="248"/>
      <c r="D523" s="248"/>
      <c r="E523" s="248"/>
      <c r="F523" s="248"/>
      <c r="G523" s="248"/>
      <c r="I523" s="248"/>
      <c r="J523" s="248"/>
      <c r="K523" s="248"/>
      <c r="L523" s="248"/>
      <c r="M523" s="248"/>
      <c r="N523" s="248"/>
      <c r="P523" s="248"/>
      <c r="Q523" s="248"/>
    </row>
    <row r="524">
      <c r="A524" s="248"/>
      <c r="B524" s="248"/>
      <c r="C524" s="248"/>
      <c r="D524" s="248"/>
      <c r="E524" s="248"/>
      <c r="F524" s="248"/>
      <c r="G524" s="248"/>
      <c r="I524" s="248"/>
      <c r="J524" s="248"/>
      <c r="K524" s="248"/>
      <c r="L524" s="248"/>
      <c r="M524" s="248"/>
      <c r="N524" s="248"/>
      <c r="P524" s="248"/>
      <c r="Q524" s="248"/>
    </row>
    <row r="525">
      <c r="A525" s="248"/>
      <c r="B525" s="248"/>
      <c r="C525" s="248"/>
      <c r="D525" s="248"/>
      <c r="E525" s="248"/>
      <c r="F525" s="248"/>
      <c r="G525" s="248"/>
      <c r="I525" s="248"/>
      <c r="J525" s="248"/>
      <c r="K525" s="248"/>
      <c r="L525" s="248"/>
      <c r="M525" s="248"/>
      <c r="N525" s="248"/>
      <c r="P525" s="248"/>
      <c r="Q525" s="248"/>
    </row>
    <row r="526">
      <c r="A526" s="248"/>
      <c r="B526" s="248"/>
      <c r="C526" s="248"/>
      <c r="D526" s="248"/>
      <c r="E526" s="248"/>
      <c r="F526" s="248"/>
      <c r="G526" s="248"/>
      <c r="I526" s="248"/>
      <c r="J526" s="248"/>
      <c r="K526" s="248"/>
      <c r="L526" s="248"/>
      <c r="M526" s="248"/>
      <c r="N526" s="248"/>
      <c r="P526" s="248"/>
      <c r="Q526" s="248"/>
    </row>
    <row r="527">
      <c r="A527" s="248"/>
      <c r="B527" s="248"/>
      <c r="C527" s="248"/>
      <c r="D527" s="248"/>
      <c r="E527" s="248"/>
      <c r="F527" s="248"/>
      <c r="G527" s="248"/>
      <c r="I527" s="248"/>
      <c r="J527" s="248"/>
      <c r="K527" s="248"/>
      <c r="L527" s="248"/>
      <c r="M527" s="248"/>
      <c r="N527" s="248"/>
      <c r="P527" s="248"/>
      <c r="Q527" s="248"/>
    </row>
    <row r="528">
      <c r="A528" s="248"/>
      <c r="B528" s="248"/>
      <c r="C528" s="248"/>
      <c r="D528" s="248"/>
      <c r="E528" s="248"/>
      <c r="F528" s="248"/>
      <c r="G528" s="248"/>
      <c r="I528" s="248"/>
      <c r="J528" s="248"/>
      <c r="K528" s="248"/>
      <c r="L528" s="248"/>
      <c r="M528" s="248"/>
      <c r="N528" s="248"/>
      <c r="P528" s="248"/>
      <c r="Q528" s="248"/>
    </row>
    <row r="529">
      <c r="A529" s="248"/>
      <c r="B529" s="248"/>
      <c r="C529" s="248"/>
      <c r="D529" s="248"/>
      <c r="E529" s="248"/>
      <c r="F529" s="248"/>
      <c r="G529" s="248"/>
      <c r="I529" s="248"/>
      <c r="J529" s="248"/>
      <c r="K529" s="248"/>
      <c r="L529" s="248"/>
      <c r="M529" s="248"/>
      <c r="N529" s="248"/>
      <c r="P529" s="248"/>
      <c r="Q529" s="248"/>
    </row>
    <row r="530">
      <c r="A530" s="248"/>
      <c r="B530" s="248"/>
      <c r="C530" s="248"/>
      <c r="D530" s="248"/>
      <c r="E530" s="248"/>
      <c r="F530" s="248"/>
      <c r="G530" s="248"/>
      <c r="I530" s="248"/>
      <c r="J530" s="248"/>
      <c r="K530" s="248"/>
      <c r="L530" s="248"/>
      <c r="M530" s="248"/>
      <c r="N530" s="248"/>
      <c r="P530" s="248"/>
      <c r="Q530" s="248"/>
    </row>
    <row r="531">
      <c r="A531" s="248"/>
      <c r="B531" s="248"/>
      <c r="C531" s="248"/>
      <c r="D531" s="248"/>
      <c r="E531" s="248"/>
      <c r="F531" s="248"/>
      <c r="G531" s="248"/>
      <c r="I531" s="248"/>
      <c r="J531" s="248"/>
      <c r="K531" s="248"/>
      <c r="L531" s="248"/>
      <c r="M531" s="248"/>
      <c r="N531" s="248"/>
      <c r="P531" s="248"/>
      <c r="Q531" s="248"/>
    </row>
    <row r="532">
      <c r="A532" s="248"/>
      <c r="B532" s="248"/>
      <c r="C532" s="248"/>
      <c r="D532" s="248"/>
      <c r="E532" s="248"/>
      <c r="F532" s="248"/>
      <c r="G532" s="248"/>
      <c r="I532" s="248"/>
      <c r="J532" s="248"/>
      <c r="K532" s="248"/>
      <c r="L532" s="248"/>
      <c r="M532" s="248"/>
      <c r="N532" s="248"/>
      <c r="P532" s="248"/>
      <c r="Q532" s="248"/>
    </row>
    <row r="533">
      <c r="A533" s="248"/>
      <c r="B533" s="248"/>
      <c r="C533" s="248"/>
      <c r="D533" s="248"/>
      <c r="E533" s="248"/>
      <c r="F533" s="248"/>
      <c r="G533" s="248"/>
      <c r="I533" s="248"/>
      <c r="J533" s="248"/>
      <c r="K533" s="248"/>
      <c r="L533" s="248"/>
      <c r="M533" s="248"/>
      <c r="N533" s="248"/>
      <c r="P533" s="248"/>
      <c r="Q533" s="248"/>
    </row>
    <row r="534">
      <c r="A534" s="248"/>
      <c r="B534" s="248"/>
      <c r="C534" s="248"/>
      <c r="D534" s="248"/>
      <c r="E534" s="248"/>
      <c r="F534" s="248"/>
      <c r="G534" s="248"/>
      <c r="I534" s="248"/>
      <c r="J534" s="248"/>
      <c r="K534" s="248"/>
      <c r="L534" s="248"/>
      <c r="M534" s="248"/>
      <c r="N534" s="248"/>
      <c r="P534" s="248"/>
      <c r="Q534" s="248"/>
    </row>
    <row r="535">
      <c r="A535" s="248"/>
      <c r="B535" s="248"/>
      <c r="C535" s="248"/>
      <c r="D535" s="248"/>
      <c r="E535" s="248"/>
      <c r="F535" s="248"/>
      <c r="G535" s="248"/>
      <c r="I535" s="248"/>
      <c r="J535" s="248"/>
      <c r="K535" s="248"/>
      <c r="L535" s="248"/>
      <c r="M535" s="248"/>
      <c r="N535" s="248"/>
      <c r="P535" s="248"/>
      <c r="Q535" s="248"/>
    </row>
    <row r="536">
      <c r="A536" s="248"/>
      <c r="B536" s="248"/>
      <c r="C536" s="248"/>
      <c r="D536" s="248"/>
      <c r="E536" s="248"/>
      <c r="F536" s="248"/>
      <c r="G536" s="248"/>
      <c r="I536" s="248"/>
      <c r="J536" s="248"/>
      <c r="K536" s="248"/>
      <c r="L536" s="248"/>
      <c r="M536" s="248"/>
      <c r="N536" s="248"/>
      <c r="P536" s="248"/>
      <c r="Q536" s="248"/>
    </row>
    <row r="537">
      <c r="A537" s="248"/>
      <c r="B537" s="248"/>
      <c r="C537" s="248"/>
      <c r="D537" s="248"/>
      <c r="E537" s="248"/>
      <c r="F537" s="248"/>
      <c r="G537" s="248"/>
      <c r="I537" s="248"/>
      <c r="J537" s="248"/>
      <c r="K537" s="248"/>
      <c r="L537" s="248"/>
      <c r="M537" s="248"/>
      <c r="N537" s="248"/>
      <c r="P537" s="248"/>
      <c r="Q537" s="248"/>
    </row>
    <row r="538">
      <c r="A538" s="248"/>
      <c r="B538" s="248"/>
      <c r="C538" s="248"/>
      <c r="D538" s="248"/>
      <c r="E538" s="248"/>
      <c r="F538" s="248"/>
      <c r="G538" s="248"/>
      <c r="I538" s="248"/>
      <c r="J538" s="248"/>
      <c r="K538" s="248"/>
      <c r="L538" s="248"/>
      <c r="M538" s="248"/>
      <c r="N538" s="248"/>
      <c r="P538" s="248"/>
      <c r="Q538" s="248"/>
    </row>
    <row r="539">
      <c r="A539" s="248"/>
      <c r="B539" s="248"/>
      <c r="C539" s="248"/>
      <c r="D539" s="248"/>
      <c r="E539" s="248"/>
      <c r="F539" s="248"/>
      <c r="G539" s="248"/>
      <c r="I539" s="248"/>
      <c r="J539" s="248"/>
      <c r="K539" s="248"/>
      <c r="L539" s="248"/>
      <c r="M539" s="248"/>
      <c r="N539" s="248"/>
      <c r="P539" s="248"/>
      <c r="Q539" s="248"/>
    </row>
    <row r="540">
      <c r="A540" s="248"/>
      <c r="B540" s="248"/>
      <c r="C540" s="248"/>
      <c r="D540" s="248"/>
      <c r="E540" s="248"/>
      <c r="F540" s="248"/>
      <c r="G540" s="248"/>
      <c r="I540" s="248"/>
      <c r="J540" s="248"/>
      <c r="K540" s="248"/>
      <c r="L540" s="248"/>
      <c r="M540" s="248"/>
      <c r="N540" s="248"/>
      <c r="P540" s="248"/>
      <c r="Q540" s="248"/>
    </row>
    <row r="541">
      <c r="A541" s="248"/>
      <c r="B541" s="248"/>
      <c r="C541" s="248"/>
      <c r="D541" s="248"/>
      <c r="E541" s="248"/>
      <c r="F541" s="248"/>
      <c r="G541" s="248"/>
      <c r="I541" s="248"/>
      <c r="J541" s="248"/>
      <c r="K541" s="248"/>
      <c r="L541" s="248"/>
      <c r="M541" s="248"/>
      <c r="N541" s="248"/>
      <c r="P541" s="248"/>
      <c r="Q541" s="248"/>
    </row>
    <row r="542">
      <c r="A542" s="248"/>
      <c r="B542" s="248"/>
      <c r="C542" s="248"/>
      <c r="D542" s="248"/>
      <c r="E542" s="248"/>
      <c r="F542" s="248"/>
      <c r="G542" s="248"/>
      <c r="I542" s="248"/>
      <c r="J542" s="248"/>
      <c r="K542" s="248"/>
      <c r="L542" s="248"/>
      <c r="M542" s="248"/>
      <c r="N542" s="248"/>
      <c r="P542" s="248"/>
      <c r="Q542" s="248"/>
    </row>
    <row r="543">
      <c r="A543" s="248"/>
      <c r="B543" s="248"/>
      <c r="C543" s="248"/>
      <c r="D543" s="248"/>
      <c r="E543" s="248"/>
      <c r="F543" s="248"/>
      <c r="G543" s="248"/>
      <c r="I543" s="248"/>
      <c r="J543" s="248"/>
      <c r="K543" s="248"/>
      <c r="L543" s="248"/>
      <c r="M543" s="248"/>
      <c r="N543" s="248"/>
      <c r="P543" s="248"/>
      <c r="Q543" s="248"/>
    </row>
    <row r="544">
      <c r="A544" s="248"/>
      <c r="B544" s="248"/>
      <c r="C544" s="248"/>
      <c r="D544" s="248"/>
      <c r="E544" s="248"/>
      <c r="F544" s="248"/>
      <c r="G544" s="248"/>
      <c r="I544" s="248"/>
      <c r="J544" s="248"/>
      <c r="K544" s="248"/>
      <c r="L544" s="248"/>
      <c r="M544" s="248"/>
      <c r="N544" s="248"/>
      <c r="P544" s="248"/>
      <c r="Q544" s="248"/>
    </row>
    <row r="545">
      <c r="A545" s="248"/>
      <c r="B545" s="248"/>
      <c r="C545" s="248"/>
      <c r="D545" s="248"/>
      <c r="E545" s="248"/>
      <c r="F545" s="248"/>
      <c r="G545" s="248"/>
      <c r="I545" s="248"/>
      <c r="J545" s="248"/>
      <c r="K545" s="248"/>
      <c r="L545" s="248"/>
      <c r="M545" s="248"/>
      <c r="N545" s="248"/>
      <c r="P545" s="248"/>
      <c r="Q545" s="248"/>
    </row>
    <row r="546">
      <c r="A546" s="248"/>
      <c r="B546" s="248"/>
      <c r="C546" s="248"/>
      <c r="D546" s="248"/>
      <c r="E546" s="248"/>
      <c r="F546" s="248"/>
      <c r="G546" s="248"/>
      <c r="I546" s="248"/>
      <c r="J546" s="248"/>
      <c r="K546" s="248"/>
      <c r="L546" s="248"/>
      <c r="M546" s="248"/>
      <c r="N546" s="248"/>
      <c r="P546" s="248"/>
      <c r="Q546" s="248"/>
    </row>
    <row r="547">
      <c r="A547" s="248"/>
      <c r="B547" s="248"/>
      <c r="C547" s="248"/>
      <c r="D547" s="248"/>
      <c r="E547" s="248"/>
      <c r="F547" s="248"/>
      <c r="G547" s="248"/>
      <c r="I547" s="248"/>
      <c r="J547" s="248"/>
      <c r="K547" s="248"/>
      <c r="L547" s="248"/>
      <c r="M547" s="248"/>
      <c r="N547" s="248"/>
      <c r="P547" s="248"/>
      <c r="Q547" s="248"/>
    </row>
    <row r="548">
      <c r="A548" s="248"/>
      <c r="B548" s="248"/>
      <c r="C548" s="248"/>
      <c r="D548" s="248"/>
      <c r="E548" s="248"/>
      <c r="F548" s="248"/>
      <c r="G548" s="248"/>
      <c r="I548" s="248"/>
      <c r="J548" s="248"/>
      <c r="K548" s="248"/>
      <c r="L548" s="248"/>
      <c r="M548" s="248"/>
      <c r="N548" s="248"/>
      <c r="P548" s="248"/>
      <c r="Q548" s="248"/>
    </row>
    <row r="549">
      <c r="A549" s="248"/>
      <c r="B549" s="248"/>
      <c r="C549" s="248"/>
      <c r="D549" s="248"/>
      <c r="E549" s="248"/>
      <c r="F549" s="248"/>
      <c r="G549" s="248"/>
      <c r="I549" s="248"/>
      <c r="J549" s="248"/>
      <c r="K549" s="248"/>
      <c r="L549" s="248"/>
      <c r="M549" s="248"/>
      <c r="N549" s="248"/>
      <c r="P549" s="248"/>
      <c r="Q549" s="248"/>
    </row>
    <row r="550">
      <c r="A550" s="248"/>
      <c r="B550" s="248"/>
      <c r="C550" s="248"/>
      <c r="D550" s="248"/>
      <c r="E550" s="248"/>
      <c r="F550" s="248"/>
      <c r="G550" s="248"/>
      <c r="I550" s="248"/>
      <c r="J550" s="248"/>
      <c r="K550" s="248"/>
      <c r="L550" s="248"/>
      <c r="M550" s="248"/>
      <c r="N550" s="248"/>
      <c r="P550" s="248"/>
      <c r="Q550" s="248"/>
    </row>
    <row r="551">
      <c r="A551" s="248"/>
      <c r="B551" s="248"/>
      <c r="C551" s="248"/>
      <c r="D551" s="248"/>
      <c r="E551" s="248"/>
      <c r="F551" s="248"/>
      <c r="G551" s="248"/>
      <c r="I551" s="248"/>
      <c r="J551" s="248"/>
      <c r="K551" s="248"/>
      <c r="L551" s="248"/>
      <c r="M551" s="248"/>
      <c r="N551" s="248"/>
      <c r="P551" s="248"/>
      <c r="Q551" s="248"/>
    </row>
    <row r="552">
      <c r="A552" s="248"/>
      <c r="B552" s="248"/>
      <c r="C552" s="248"/>
      <c r="D552" s="248"/>
      <c r="E552" s="248"/>
      <c r="F552" s="248"/>
      <c r="G552" s="248"/>
      <c r="I552" s="248"/>
      <c r="J552" s="248"/>
      <c r="K552" s="248"/>
      <c r="L552" s="248"/>
      <c r="M552" s="248"/>
      <c r="N552" s="248"/>
      <c r="P552" s="248"/>
      <c r="Q552" s="248"/>
    </row>
    <row r="553">
      <c r="A553" s="248"/>
      <c r="B553" s="248"/>
      <c r="C553" s="248"/>
      <c r="D553" s="248"/>
      <c r="E553" s="248"/>
      <c r="F553" s="248"/>
      <c r="G553" s="248"/>
      <c r="I553" s="248"/>
      <c r="J553" s="248"/>
      <c r="K553" s="248"/>
      <c r="L553" s="248"/>
      <c r="M553" s="248"/>
      <c r="N553" s="248"/>
      <c r="P553" s="248"/>
      <c r="Q553" s="248"/>
    </row>
    <row r="554">
      <c r="A554" s="248"/>
      <c r="B554" s="248"/>
      <c r="C554" s="248"/>
      <c r="D554" s="248"/>
      <c r="E554" s="248"/>
      <c r="F554" s="248"/>
      <c r="G554" s="248"/>
      <c r="I554" s="248"/>
      <c r="J554" s="248"/>
      <c r="K554" s="248"/>
      <c r="L554" s="248"/>
      <c r="M554" s="248"/>
      <c r="N554" s="248"/>
      <c r="P554" s="248"/>
      <c r="Q554" s="248"/>
    </row>
    <row r="555">
      <c r="A555" s="248"/>
      <c r="B555" s="248"/>
      <c r="C555" s="248"/>
      <c r="D555" s="248"/>
      <c r="E555" s="248"/>
      <c r="F555" s="248"/>
      <c r="G555" s="248"/>
      <c r="I555" s="248"/>
      <c r="J555" s="248"/>
      <c r="K555" s="248"/>
      <c r="L555" s="248"/>
      <c r="M555" s="248"/>
      <c r="N555" s="248"/>
      <c r="P555" s="248"/>
      <c r="Q555" s="248"/>
    </row>
    <row r="556">
      <c r="A556" s="248"/>
      <c r="B556" s="248"/>
      <c r="C556" s="248"/>
      <c r="D556" s="248"/>
      <c r="E556" s="248"/>
      <c r="F556" s="248"/>
      <c r="G556" s="248"/>
      <c r="I556" s="248"/>
      <c r="J556" s="248"/>
      <c r="K556" s="248"/>
      <c r="L556" s="248"/>
      <c r="M556" s="248"/>
      <c r="N556" s="248"/>
      <c r="P556" s="248"/>
      <c r="Q556" s="248"/>
    </row>
    <row r="557">
      <c r="A557" s="248"/>
      <c r="B557" s="248"/>
      <c r="C557" s="248"/>
      <c r="D557" s="248"/>
      <c r="E557" s="248"/>
      <c r="F557" s="248"/>
      <c r="G557" s="248"/>
      <c r="I557" s="248"/>
      <c r="J557" s="248"/>
      <c r="K557" s="248"/>
      <c r="L557" s="248"/>
      <c r="M557" s="248"/>
      <c r="N557" s="248"/>
      <c r="P557" s="248"/>
      <c r="Q557" s="248"/>
    </row>
    <row r="558">
      <c r="A558" s="248"/>
      <c r="B558" s="248"/>
      <c r="C558" s="248"/>
      <c r="D558" s="248"/>
      <c r="E558" s="248"/>
      <c r="F558" s="248"/>
      <c r="G558" s="248"/>
      <c r="I558" s="248"/>
      <c r="J558" s="248"/>
      <c r="K558" s="248"/>
      <c r="L558" s="248"/>
      <c r="M558" s="248"/>
      <c r="N558" s="248"/>
      <c r="P558" s="248"/>
      <c r="Q558" s="248"/>
    </row>
    <row r="559">
      <c r="A559" s="248"/>
      <c r="B559" s="248"/>
      <c r="C559" s="248"/>
      <c r="D559" s="248"/>
      <c r="E559" s="248"/>
      <c r="F559" s="248"/>
      <c r="G559" s="248"/>
      <c r="I559" s="248"/>
      <c r="J559" s="248"/>
      <c r="K559" s="248"/>
      <c r="L559" s="248"/>
      <c r="M559" s="248"/>
      <c r="N559" s="248"/>
      <c r="P559" s="248"/>
      <c r="Q559" s="248"/>
    </row>
    <row r="560">
      <c r="A560" s="248"/>
      <c r="B560" s="248"/>
      <c r="C560" s="248"/>
      <c r="D560" s="248"/>
      <c r="E560" s="248"/>
      <c r="F560" s="248"/>
      <c r="G560" s="248"/>
      <c r="I560" s="248"/>
      <c r="J560" s="248"/>
      <c r="K560" s="248"/>
      <c r="L560" s="248"/>
      <c r="M560" s="248"/>
      <c r="N560" s="248"/>
      <c r="P560" s="248"/>
      <c r="Q560" s="248"/>
    </row>
    <row r="561">
      <c r="A561" s="248"/>
      <c r="B561" s="248"/>
      <c r="C561" s="248"/>
      <c r="D561" s="248"/>
      <c r="E561" s="248"/>
      <c r="F561" s="248"/>
      <c r="G561" s="248"/>
      <c r="I561" s="248"/>
      <c r="J561" s="248"/>
      <c r="K561" s="248"/>
      <c r="L561" s="248"/>
      <c r="M561" s="248"/>
      <c r="N561" s="248"/>
      <c r="P561" s="248"/>
      <c r="Q561" s="248"/>
    </row>
    <row r="562">
      <c r="A562" s="248"/>
      <c r="B562" s="248"/>
      <c r="C562" s="248"/>
      <c r="D562" s="248"/>
      <c r="E562" s="248"/>
      <c r="F562" s="248"/>
      <c r="G562" s="248"/>
      <c r="I562" s="248"/>
      <c r="J562" s="248"/>
      <c r="K562" s="248"/>
      <c r="L562" s="248"/>
      <c r="M562" s="248"/>
      <c r="N562" s="248"/>
      <c r="P562" s="248"/>
      <c r="Q562" s="248"/>
    </row>
    <row r="563">
      <c r="A563" s="248"/>
      <c r="B563" s="248"/>
      <c r="C563" s="248"/>
      <c r="D563" s="248"/>
      <c r="E563" s="248"/>
      <c r="F563" s="248"/>
      <c r="G563" s="248"/>
      <c r="I563" s="248"/>
      <c r="J563" s="248"/>
      <c r="K563" s="248"/>
      <c r="L563" s="248"/>
      <c r="M563" s="248"/>
      <c r="N563" s="248"/>
      <c r="P563" s="248"/>
      <c r="Q563" s="248"/>
    </row>
    <row r="564">
      <c r="A564" s="248"/>
      <c r="B564" s="248"/>
      <c r="C564" s="248"/>
      <c r="D564" s="248"/>
      <c r="E564" s="248"/>
      <c r="F564" s="248"/>
      <c r="G564" s="248"/>
      <c r="I564" s="248"/>
      <c r="J564" s="248"/>
      <c r="K564" s="248"/>
      <c r="L564" s="248"/>
      <c r="M564" s="248"/>
      <c r="N564" s="248"/>
      <c r="P564" s="248"/>
      <c r="Q564" s="248"/>
    </row>
    <row r="565">
      <c r="A565" s="248"/>
      <c r="B565" s="248"/>
      <c r="C565" s="248"/>
      <c r="D565" s="248"/>
      <c r="E565" s="248"/>
      <c r="F565" s="248"/>
      <c r="G565" s="248"/>
      <c r="I565" s="248"/>
      <c r="J565" s="248"/>
      <c r="K565" s="248"/>
      <c r="L565" s="248"/>
      <c r="M565" s="248"/>
      <c r="N565" s="248"/>
      <c r="P565" s="248"/>
      <c r="Q565" s="248"/>
    </row>
    <row r="566">
      <c r="A566" s="248"/>
      <c r="B566" s="248"/>
      <c r="C566" s="248"/>
      <c r="D566" s="248"/>
      <c r="E566" s="248"/>
      <c r="F566" s="248"/>
      <c r="G566" s="248"/>
      <c r="I566" s="248"/>
      <c r="J566" s="248"/>
      <c r="K566" s="248"/>
      <c r="L566" s="248"/>
      <c r="M566" s="248"/>
      <c r="N566" s="248"/>
      <c r="P566" s="248"/>
      <c r="Q566" s="248"/>
    </row>
    <row r="567">
      <c r="A567" s="248"/>
      <c r="B567" s="248"/>
      <c r="C567" s="248"/>
      <c r="D567" s="248"/>
      <c r="E567" s="248"/>
      <c r="F567" s="248"/>
      <c r="G567" s="248"/>
      <c r="I567" s="248"/>
      <c r="J567" s="248"/>
      <c r="K567" s="248"/>
      <c r="L567" s="248"/>
      <c r="M567" s="248"/>
      <c r="N567" s="248"/>
      <c r="P567" s="248"/>
      <c r="Q567" s="248"/>
    </row>
    <row r="568">
      <c r="A568" s="248"/>
      <c r="B568" s="248"/>
      <c r="C568" s="248"/>
      <c r="D568" s="248"/>
      <c r="E568" s="248"/>
      <c r="F568" s="248"/>
      <c r="G568" s="248"/>
      <c r="I568" s="248"/>
      <c r="J568" s="248"/>
      <c r="K568" s="248"/>
      <c r="L568" s="248"/>
      <c r="M568" s="248"/>
      <c r="N568" s="248"/>
      <c r="P568" s="248"/>
      <c r="Q568" s="248"/>
    </row>
    <row r="569">
      <c r="A569" s="248"/>
      <c r="B569" s="248"/>
      <c r="C569" s="248"/>
      <c r="D569" s="248"/>
      <c r="E569" s="248"/>
      <c r="F569" s="248"/>
      <c r="G569" s="248"/>
      <c r="I569" s="248"/>
      <c r="J569" s="248"/>
      <c r="K569" s="248"/>
      <c r="L569" s="248"/>
      <c r="M569" s="248"/>
      <c r="N569" s="248"/>
      <c r="P569" s="248"/>
      <c r="Q569" s="248"/>
    </row>
    <row r="570">
      <c r="A570" s="248"/>
      <c r="B570" s="248"/>
      <c r="C570" s="248"/>
      <c r="D570" s="248"/>
      <c r="E570" s="248"/>
      <c r="F570" s="248"/>
      <c r="G570" s="248"/>
      <c r="I570" s="248"/>
      <c r="J570" s="248"/>
      <c r="K570" s="248"/>
      <c r="L570" s="248"/>
      <c r="M570" s="248"/>
      <c r="N570" s="248"/>
      <c r="P570" s="248"/>
      <c r="Q570" s="248"/>
    </row>
    <row r="571">
      <c r="A571" s="248"/>
      <c r="B571" s="248"/>
      <c r="C571" s="248"/>
      <c r="D571" s="248"/>
      <c r="E571" s="248"/>
      <c r="F571" s="248"/>
      <c r="G571" s="248"/>
      <c r="I571" s="248"/>
      <c r="J571" s="248"/>
      <c r="K571" s="248"/>
      <c r="L571" s="248"/>
      <c r="M571" s="248"/>
      <c r="N571" s="248"/>
      <c r="P571" s="248"/>
      <c r="Q571" s="248"/>
    </row>
    <row r="572">
      <c r="A572" s="248"/>
      <c r="B572" s="248"/>
      <c r="C572" s="248"/>
      <c r="D572" s="248"/>
      <c r="E572" s="248"/>
      <c r="F572" s="248"/>
      <c r="G572" s="248"/>
      <c r="I572" s="248"/>
      <c r="J572" s="248"/>
      <c r="K572" s="248"/>
      <c r="L572" s="248"/>
      <c r="M572" s="248"/>
      <c r="N572" s="248"/>
      <c r="P572" s="248"/>
      <c r="Q572" s="248"/>
    </row>
    <row r="573">
      <c r="A573" s="248"/>
      <c r="B573" s="248"/>
      <c r="C573" s="248"/>
      <c r="D573" s="248"/>
      <c r="E573" s="248"/>
      <c r="F573" s="248"/>
      <c r="G573" s="248"/>
      <c r="I573" s="248"/>
      <c r="J573" s="248"/>
      <c r="K573" s="248"/>
      <c r="L573" s="248"/>
      <c r="M573" s="248"/>
      <c r="N573" s="248"/>
      <c r="P573" s="248"/>
      <c r="Q573" s="248"/>
    </row>
    <row r="574">
      <c r="A574" s="248"/>
      <c r="B574" s="248"/>
      <c r="C574" s="248"/>
      <c r="D574" s="248"/>
      <c r="E574" s="248"/>
      <c r="F574" s="248"/>
      <c r="G574" s="248"/>
      <c r="I574" s="248"/>
      <c r="J574" s="248"/>
      <c r="K574" s="248"/>
      <c r="L574" s="248"/>
      <c r="M574" s="248"/>
      <c r="N574" s="248"/>
      <c r="P574" s="248"/>
      <c r="Q574" s="248"/>
    </row>
    <row r="575">
      <c r="A575" s="248"/>
      <c r="B575" s="248"/>
      <c r="C575" s="248"/>
      <c r="D575" s="248"/>
      <c r="E575" s="248"/>
      <c r="F575" s="248"/>
      <c r="G575" s="248"/>
      <c r="I575" s="248"/>
      <c r="J575" s="248"/>
      <c r="K575" s="248"/>
      <c r="L575" s="248"/>
      <c r="M575" s="248"/>
      <c r="N575" s="248"/>
      <c r="P575" s="248"/>
      <c r="Q575" s="248"/>
    </row>
    <row r="576">
      <c r="A576" s="248"/>
      <c r="B576" s="248"/>
      <c r="C576" s="248"/>
      <c r="D576" s="248"/>
      <c r="E576" s="248"/>
      <c r="F576" s="248"/>
      <c r="G576" s="248"/>
      <c r="I576" s="248"/>
      <c r="J576" s="248"/>
      <c r="K576" s="248"/>
      <c r="L576" s="248"/>
      <c r="M576" s="248"/>
      <c r="N576" s="248"/>
      <c r="P576" s="248"/>
      <c r="Q576" s="248"/>
    </row>
    <row r="577">
      <c r="A577" s="248"/>
      <c r="B577" s="248"/>
      <c r="C577" s="248"/>
      <c r="D577" s="248"/>
      <c r="E577" s="248"/>
      <c r="F577" s="248"/>
      <c r="G577" s="248"/>
      <c r="I577" s="248"/>
      <c r="J577" s="248"/>
      <c r="K577" s="248"/>
      <c r="L577" s="248"/>
      <c r="M577" s="248"/>
      <c r="N577" s="248"/>
      <c r="P577" s="248"/>
      <c r="Q577" s="248"/>
    </row>
    <row r="578">
      <c r="A578" s="248"/>
      <c r="B578" s="248"/>
      <c r="C578" s="248"/>
      <c r="D578" s="248"/>
      <c r="E578" s="248"/>
      <c r="F578" s="248"/>
      <c r="G578" s="248"/>
      <c r="I578" s="248"/>
      <c r="J578" s="248"/>
      <c r="K578" s="248"/>
      <c r="L578" s="248"/>
      <c r="M578" s="248"/>
      <c r="N578" s="248"/>
      <c r="P578" s="248"/>
      <c r="Q578" s="248"/>
    </row>
    <row r="579">
      <c r="A579" s="248"/>
      <c r="B579" s="248"/>
      <c r="C579" s="248"/>
      <c r="D579" s="248"/>
      <c r="E579" s="248"/>
      <c r="F579" s="248"/>
      <c r="G579" s="248"/>
      <c r="I579" s="248"/>
      <c r="J579" s="248"/>
      <c r="K579" s="248"/>
      <c r="L579" s="248"/>
      <c r="M579" s="248"/>
      <c r="N579" s="248"/>
      <c r="P579" s="248"/>
      <c r="Q579" s="248"/>
    </row>
    <row r="580">
      <c r="A580" s="248"/>
      <c r="B580" s="248"/>
      <c r="C580" s="248"/>
      <c r="D580" s="248"/>
      <c r="E580" s="248"/>
      <c r="F580" s="248"/>
      <c r="G580" s="248"/>
      <c r="I580" s="248"/>
      <c r="J580" s="248"/>
      <c r="K580" s="248"/>
      <c r="L580" s="248"/>
      <c r="M580" s="248"/>
      <c r="N580" s="248"/>
      <c r="P580" s="248"/>
      <c r="Q580" s="248"/>
    </row>
    <row r="581">
      <c r="A581" s="248"/>
      <c r="B581" s="248"/>
      <c r="C581" s="248"/>
      <c r="D581" s="248"/>
      <c r="E581" s="248"/>
      <c r="F581" s="248"/>
      <c r="G581" s="248"/>
      <c r="I581" s="248"/>
      <c r="J581" s="248"/>
      <c r="K581" s="248"/>
      <c r="L581" s="248"/>
      <c r="M581" s="248"/>
      <c r="N581" s="248"/>
      <c r="P581" s="248"/>
      <c r="Q581" s="248"/>
    </row>
    <row r="582">
      <c r="A582" s="248"/>
      <c r="B582" s="248"/>
      <c r="C582" s="248"/>
      <c r="D582" s="248"/>
      <c r="E582" s="248"/>
      <c r="F582" s="248"/>
      <c r="G582" s="248"/>
      <c r="I582" s="248"/>
      <c r="J582" s="248"/>
      <c r="K582" s="248"/>
      <c r="L582" s="248"/>
      <c r="M582" s="248"/>
      <c r="N582" s="248"/>
      <c r="P582" s="248"/>
      <c r="Q582" s="248"/>
    </row>
    <row r="583">
      <c r="A583" s="248"/>
      <c r="B583" s="248"/>
      <c r="C583" s="248"/>
      <c r="D583" s="248"/>
      <c r="E583" s="248"/>
      <c r="F583" s="248"/>
      <c r="G583" s="248"/>
      <c r="I583" s="248"/>
      <c r="J583" s="248"/>
      <c r="K583" s="248"/>
      <c r="L583" s="248"/>
      <c r="M583" s="248"/>
      <c r="N583" s="248"/>
      <c r="P583" s="248"/>
      <c r="Q583" s="248"/>
    </row>
    <row r="584">
      <c r="A584" s="248"/>
      <c r="B584" s="248"/>
      <c r="C584" s="248"/>
      <c r="D584" s="248"/>
      <c r="E584" s="248"/>
      <c r="F584" s="248"/>
      <c r="G584" s="248"/>
      <c r="I584" s="248"/>
      <c r="J584" s="248"/>
      <c r="K584" s="248"/>
      <c r="L584" s="248"/>
      <c r="M584" s="248"/>
      <c r="N584" s="248"/>
      <c r="P584" s="248"/>
      <c r="Q584" s="248"/>
    </row>
    <row r="585">
      <c r="A585" s="248"/>
      <c r="B585" s="248"/>
      <c r="C585" s="248"/>
      <c r="D585" s="248"/>
      <c r="E585" s="248"/>
      <c r="F585" s="248"/>
      <c r="G585" s="248"/>
      <c r="I585" s="248"/>
      <c r="J585" s="248"/>
      <c r="K585" s="248"/>
      <c r="L585" s="248"/>
      <c r="M585" s="248"/>
      <c r="N585" s="248"/>
      <c r="P585" s="248"/>
      <c r="Q585" s="248"/>
    </row>
    <row r="586">
      <c r="A586" s="248"/>
      <c r="B586" s="248"/>
      <c r="C586" s="248"/>
      <c r="D586" s="248"/>
      <c r="E586" s="248"/>
      <c r="F586" s="248"/>
      <c r="G586" s="248"/>
      <c r="I586" s="248"/>
      <c r="J586" s="248"/>
      <c r="K586" s="248"/>
      <c r="L586" s="248"/>
      <c r="M586" s="248"/>
      <c r="N586" s="248"/>
      <c r="P586" s="248"/>
      <c r="Q586" s="248"/>
    </row>
    <row r="587">
      <c r="A587" s="248"/>
      <c r="B587" s="248"/>
      <c r="C587" s="248"/>
      <c r="D587" s="248"/>
      <c r="E587" s="248"/>
      <c r="F587" s="248"/>
      <c r="G587" s="248"/>
      <c r="I587" s="248"/>
      <c r="J587" s="248"/>
      <c r="K587" s="248"/>
      <c r="L587" s="248"/>
      <c r="M587" s="248"/>
      <c r="N587" s="248"/>
      <c r="P587" s="248"/>
      <c r="Q587" s="248"/>
    </row>
    <row r="588">
      <c r="A588" s="248"/>
      <c r="B588" s="248"/>
      <c r="C588" s="248"/>
      <c r="D588" s="248"/>
      <c r="E588" s="248"/>
      <c r="F588" s="248"/>
      <c r="G588" s="248"/>
      <c r="I588" s="248"/>
      <c r="J588" s="248"/>
      <c r="K588" s="248"/>
      <c r="L588" s="248"/>
      <c r="M588" s="248"/>
      <c r="N588" s="248"/>
      <c r="P588" s="248"/>
      <c r="Q588" s="248"/>
    </row>
    <row r="589">
      <c r="A589" s="248"/>
      <c r="B589" s="248"/>
      <c r="C589" s="248"/>
      <c r="D589" s="248"/>
      <c r="E589" s="248"/>
      <c r="F589" s="248"/>
      <c r="G589" s="248"/>
      <c r="I589" s="248"/>
      <c r="J589" s="248"/>
      <c r="K589" s="248"/>
      <c r="L589" s="248"/>
      <c r="M589" s="248"/>
      <c r="N589" s="248"/>
      <c r="P589" s="248"/>
      <c r="Q589" s="248"/>
    </row>
    <row r="590">
      <c r="A590" s="248"/>
      <c r="B590" s="248"/>
      <c r="C590" s="248"/>
      <c r="D590" s="248"/>
      <c r="E590" s="248"/>
      <c r="F590" s="248"/>
      <c r="G590" s="248"/>
      <c r="I590" s="248"/>
      <c r="J590" s="248"/>
      <c r="K590" s="248"/>
      <c r="L590" s="248"/>
      <c r="M590" s="248"/>
      <c r="N590" s="248"/>
      <c r="P590" s="248"/>
      <c r="Q590" s="248"/>
    </row>
    <row r="591">
      <c r="A591" s="248"/>
      <c r="B591" s="248"/>
      <c r="C591" s="248"/>
      <c r="D591" s="248"/>
      <c r="E591" s="248"/>
      <c r="F591" s="248"/>
      <c r="G591" s="248"/>
      <c r="I591" s="248"/>
      <c r="J591" s="248"/>
      <c r="K591" s="248"/>
      <c r="L591" s="248"/>
      <c r="M591" s="248"/>
      <c r="N591" s="248"/>
      <c r="P591" s="248"/>
      <c r="Q591" s="248"/>
    </row>
    <row r="592">
      <c r="A592" s="248"/>
      <c r="B592" s="248"/>
      <c r="C592" s="248"/>
      <c r="D592" s="248"/>
      <c r="E592" s="248"/>
      <c r="F592" s="248"/>
      <c r="G592" s="248"/>
      <c r="I592" s="248"/>
      <c r="J592" s="248"/>
      <c r="K592" s="248"/>
      <c r="L592" s="248"/>
      <c r="M592" s="248"/>
      <c r="N592" s="248"/>
      <c r="P592" s="248"/>
      <c r="Q592" s="248"/>
    </row>
    <row r="593">
      <c r="A593" s="248"/>
      <c r="B593" s="248"/>
      <c r="C593" s="248"/>
      <c r="D593" s="248"/>
      <c r="E593" s="248"/>
      <c r="F593" s="248"/>
      <c r="G593" s="248"/>
      <c r="I593" s="248"/>
      <c r="J593" s="248"/>
      <c r="K593" s="248"/>
      <c r="L593" s="248"/>
      <c r="M593" s="248"/>
      <c r="N593" s="248"/>
      <c r="P593" s="248"/>
      <c r="Q593" s="248"/>
    </row>
    <row r="594">
      <c r="A594" s="248"/>
      <c r="B594" s="248"/>
      <c r="C594" s="248"/>
      <c r="D594" s="248"/>
      <c r="E594" s="248"/>
      <c r="F594" s="248"/>
      <c r="G594" s="248"/>
      <c r="I594" s="248"/>
      <c r="J594" s="248"/>
      <c r="K594" s="248"/>
      <c r="L594" s="248"/>
      <c r="M594" s="248"/>
      <c r="N594" s="248"/>
      <c r="P594" s="248"/>
      <c r="Q594" s="248"/>
    </row>
    <row r="595">
      <c r="A595" s="248"/>
      <c r="B595" s="248"/>
      <c r="C595" s="248"/>
      <c r="D595" s="248"/>
      <c r="E595" s="248"/>
      <c r="F595" s="248"/>
      <c r="G595" s="248"/>
      <c r="I595" s="248"/>
      <c r="J595" s="248"/>
      <c r="K595" s="248"/>
      <c r="L595" s="248"/>
      <c r="M595" s="248"/>
      <c r="N595" s="248"/>
      <c r="P595" s="248"/>
      <c r="Q595" s="248"/>
    </row>
    <row r="596">
      <c r="A596" s="248"/>
      <c r="B596" s="248"/>
      <c r="C596" s="248"/>
      <c r="D596" s="248"/>
      <c r="E596" s="248"/>
      <c r="F596" s="248"/>
      <c r="G596" s="248"/>
      <c r="I596" s="248"/>
      <c r="J596" s="248"/>
      <c r="K596" s="248"/>
      <c r="L596" s="248"/>
      <c r="M596" s="248"/>
      <c r="N596" s="248"/>
      <c r="P596" s="248"/>
      <c r="Q596" s="248"/>
    </row>
    <row r="597">
      <c r="A597" s="248"/>
      <c r="B597" s="248"/>
      <c r="C597" s="248"/>
      <c r="D597" s="248"/>
      <c r="E597" s="248"/>
      <c r="F597" s="248"/>
      <c r="G597" s="248"/>
      <c r="I597" s="248"/>
      <c r="J597" s="248"/>
      <c r="K597" s="248"/>
      <c r="L597" s="248"/>
      <c r="M597" s="248"/>
      <c r="N597" s="248"/>
      <c r="P597" s="248"/>
      <c r="Q597" s="248"/>
    </row>
    <row r="598">
      <c r="A598" s="248"/>
      <c r="B598" s="248"/>
      <c r="C598" s="248"/>
      <c r="D598" s="248"/>
      <c r="E598" s="248"/>
      <c r="F598" s="248"/>
      <c r="G598" s="248"/>
      <c r="I598" s="248"/>
      <c r="J598" s="248"/>
      <c r="K598" s="248"/>
      <c r="L598" s="248"/>
      <c r="M598" s="248"/>
      <c r="N598" s="248"/>
      <c r="P598" s="248"/>
      <c r="Q598" s="248"/>
    </row>
    <row r="599">
      <c r="A599" s="248"/>
      <c r="B599" s="248"/>
      <c r="C599" s="248"/>
      <c r="D599" s="248"/>
      <c r="E599" s="248"/>
      <c r="F599" s="248"/>
      <c r="G599" s="248"/>
      <c r="I599" s="248"/>
      <c r="J599" s="248"/>
      <c r="K599" s="248"/>
      <c r="L599" s="248"/>
      <c r="M599" s="248"/>
      <c r="N599" s="248"/>
      <c r="P599" s="248"/>
      <c r="Q599" s="248"/>
    </row>
    <row r="600">
      <c r="A600" s="248"/>
      <c r="B600" s="248"/>
      <c r="C600" s="248"/>
      <c r="D600" s="248"/>
      <c r="E600" s="248"/>
      <c r="F600" s="248"/>
      <c r="G600" s="248"/>
      <c r="I600" s="248"/>
      <c r="J600" s="248"/>
      <c r="K600" s="248"/>
      <c r="L600" s="248"/>
      <c r="M600" s="248"/>
      <c r="N600" s="248"/>
      <c r="P600" s="248"/>
      <c r="Q600" s="248"/>
    </row>
    <row r="601">
      <c r="A601" s="248"/>
      <c r="B601" s="248"/>
      <c r="C601" s="248"/>
      <c r="D601" s="248"/>
      <c r="E601" s="248"/>
      <c r="F601" s="248"/>
      <c r="G601" s="248"/>
      <c r="I601" s="248"/>
      <c r="J601" s="248"/>
      <c r="K601" s="248"/>
      <c r="L601" s="248"/>
      <c r="M601" s="248"/>
      <c r="N601" s="248"/>
      <c r="P601" s="248"/>
      <c r="Q601" s="248"/>
    </row>
    <row r="602">
      <c r="A602" s="248"/>
      <c r="B602" s="248"/>
      <c r="C602" s="248"/>
      <c r="D602" s="248"/>
      <c r="E602" s="248"/>
      <c r="F602" s="248"/>
      <c r="G602" s="248"/>
      <c r="I602" s="248"/>
      <c r="J602" s="248"/>
      <c r="K602" s="248"/>
      <c r="L602" s="248"/>
      <c r="M602" s="248"/>
      <c r="N602" s="248"/>
      <c r="P602" s="248"/>
      <c r="Q602" s="248"/>
    </row>
    <row r="603">
      <c r="A603" s="248"/>
      <c r="B603" s="248"/>
      <c r="C603" s="248"/>
      <c r="D603" s="248"/>
      <c r="E603" s="248"/>
      <c r="F603" s="248"/>
      <c r="G603" s="248"/>
      <c r="I603" s="248"/>
      <c r="J603" s="248"/>
      <c r="K603" s="248"/>
      <c r="L603" s="248"/>
      <c r="M603" s="248"/>
      <c r="N603" s="248"/>
      <c r="P603" s="248"/>
      <c r="Q603" s="248"/>
    </row>
    <row r="604">
      <c r="A604" s="248"/>
      <c r="B604" s="248"/>
      <c r="C604" s="248"/>
      <c r="D604" s="248"/>
      <c r="E604" s="248"/>
      <c r="F604" s="248"/>
      <c r="G604" s="248"/>
      <c r="I604" s="248"/>
      <c r="J604" s="248"/>
      <c r="K604" s="248"/>
      <c r="L604" s="248"/>
      <c r="M604" s="248"/>
      <c r="N604" s="248"/>
      <c r="P604" s="248"/>
      <c r="Q604" s="248"/>
    </row>
    <row r="605">
      <c r="A605" s="248"/>
      <c r="B605" s="248"/>
      <c r="C605" s="248"/>
      <c r="D605" s="248"/>
      <c r="E605" s="248"/>
      <c r="F605" s="248"/>
      <c r="G605" s="248"/>
      <c r="I605" s="248"/>
      <c r="J605" s="248"/>
      <c r="K605" s="248"/>
      <c r="L605" s="248"/>
      <c r="M605" s="248"/>
      <c r="N605" s="248"/>
      <c r="P605" s="248"/>
      <c r="Q605" s="248"/>
    </row>
    <row r="606">
      <c r="A606" s="248"/>
      <c r="B606" s="248"/>
      <c r="C606" s="248"/>
      <c r="D606" s="248"/>
      <c r="E606" s="248"/>
      <c r="F606" s="248"/>
      <c r="G606" s="248"/>
      <c r="I606" s="248"/>
      <c r="J606" s="248"/>
      <c r="K606" s="248"/>
      <c r="L606" s="248"/>
      <c r="M606" s="248"/>
      <c r="N606" s="248"/>
      <c r="P606" s="248"/>
      <c r="Q606" s="248"/>
    </row>
    <row r="607">
      <c r="A607" s="248"/>
      <c r="B607" s="248"/>
      <c r="C607" s="248"/>
      <c r="D607" s="248"/>
      <c r="E607" s="248"/>
      <c r="F607" s="248"/>
      <c r="G607" s="248"/>
      <c r="I607" s="248"/>
      <c r="J607" s="248"/>
      <c r="K607" s="248"/>
      <c r="L607" s="248"/>
      <c r="M607" s="248"/>
      <c r="N607" s="248"/>
      <c r="P607" s="248"/>
      <c r="Q607" s="248"/>
    </row>
    <row r="608">
      <c r="A608" s="248"/>
      <c r="B608" s="248"/>
      <c r="C608" s="248"/>
      <c r="D608" s="248"/>
      <c r="E608" s="248"/>
      <c r="F608" s="248"/>
      <c r="G608" s="248"/>
      <c r="I608" s="248"/>
      <c r="J608" s="248"/>
      <c r="K608" s="248"/>
      <c r="L608" s="248"/>
      <c r="M608" s="248"/>
      <c r="N608" s="248"/>
      <c r="P608" s="248"/>
      <c r="Q608" s="248"/>
    </row>
    <row r="609">
      <c r="A609" s="248"/>
      <c r="B609" s="248"/>
      <c r="C609" s="248"/>
      <c r="D609" s="248"/>
      <c r="E609" s="248"/>
      <c r="F609" s="248"/>
      <c r="G609" s="248"/>
      <c r="I609" s="248"/>
      <c r="J609" s="248"/>
      <c r="K609" s="248"/>
      <c r="L609" s="248"/>
      <c r="M609" s="248"/>
      <c r="N609" s="248"/>
      <c r="P609" s="248"/>
      <c r="Q609" s="248"/>
    </row>
    <row r="610">
      <c r="A610" s="248"/>
      <c r="B610" s="248"/>
      <c r="C610" s="248"/>
      <c r="D610" s="248"/>
      <c r="E610" s="248"/>
      <c r="F610" s="248"/>
      <c r="G610" s="248"/>
      <c r="I610" s="248"/>
      <c r="J610" s="248"/>
      <c r="K610" s="248"/>
      <c r="L610" s="248"/>
      <c r="M610" s="248"/>
      <c r="N610" s="248"/>
      <c r="P610" s="248"/>
      <c r="Q610" s="248"/>
    </row>
    <row r="611">
      <c r="A611" s="248"/>
      <c r="B611" s="248"/>
      <c r="C611" s="248"/>
      <c r="D611" s="248"/>
      <c r="E611" s="248"/>
      <c r="F611" s="248"/>
      <c r="G611" s="248"/>
      <c r="I611" s="248"/>
      <c r="J611" s="248"/>
      <c r="K611" s="248"/>
      <c r="L611" s="248"/>
      <c r="M611" s="248"/>
      <c r="N611" s="248"/>
      <c r="P611" s="248"/>
      <c r="Q611" s="248"/>
    </row>
    <row r="612">
      <c r="A612" s="248"/>
      <c r="B612" s="248"/>
      <c r="C612" s="248"/>
      <c r="D612" s="248"/>
      <c r="E612" s="248"/>
      <c r="F612" s="248"/>
      <c r="G612" s="248"/>
      <c r="I612" s="248"/>
      <c r="J612" s="248"/>
      <c r="K612" s="248"/>
      <c r="L612" s="248"/>
      <c r="M612" s="248"/>
      <c r="N612" s="248"/>
      <c r="P612" s="248"/>
      <c r="Q612" s="248"/>
    </row>
    <row r="613">
      <c r="A613" s="248"/>
      <c r="B613" s="248"/>
      <c r="C613" s="248"/>
      <c r="D613" s="248"/>
      <c r="E613" s="248"/>
      <c r="F613" s="248"/>
      <c r="G613" s="248"/>
      <c r="I613" s="248"/>
      <c r="J613" s="248"/>
      <c r="K613" s="248"/>
      <c r="L613" s="248"/>
      <c r="M613" s="248"/>
      <c r="N613" s="248"/>
      <c r="P613" s="248"/>
      <c r="Q613" s="248"/>
    </row>
    <row r="614">
      <c r="A614" s="248"/>
      <c r="B614" s="248"/>
      <c r="C614" s="248"/>
      <c r="D614" s="248"/>
      <c r="E614" s="248"/>
      <c r="F614" s="248"/>
      <c r="G614" s="248"/>
      <c r="I614" s="248"/>
      <c r="J614" s="248"/>
      <c r="K614" s="248"/>
      <c r="L614" s="248"/>
      <c r="M614" s="248"/>
      <c r="N614" s="248"/>
      <c r="P614" s="248"/>
      <c r="Q614" s="248"/>
    </row>
    <row r="615">
      <c r="A615" s="248"/>
      <c r="B615" s="248"/>
      <c r="C615" s="248"/>
      <c r="D615" s="248"/>
      <c r="E615" s="248"/>
      <c r="F615" s="248"/>
      <c r="G615" s="248"/>
      <c r="I615" s="248"/>
      <c r="J615" s="248"/>
      <c r="K615" s="248"/>
      <c r="L615" s="248"/>
      <c r="M615" s="248"/>
      <c r="N615" s="248"/>
      <c r="P615" s="248"/>
      <c r="Q615" s="248"/>
    </row>
    <row r="616">
      <c r="A616" s="248"/>
      <c r="B616" s="248"/>
      <c r="C616" s="248"/>
      <c r="D616" s="248"/>
      <c r="E616" s="248"/>
      <c r="F616" s="248"/>
      <c r="G616" s="248"/>
      <c r="I616" s="248"/>
      <c r="J616" s="248"/>
      <c r="K616" s="248"/>
      <c r="L616" s="248"/>
      <c r="M616" s="248"/>
      <c r="N616" s="248"/>
      <c r="P616" s="248"/>
      <c r="Q616" s="248"/>
    </row>
    <row r="617">
      <c r="A617" s="248"/>
      <c r="B617" s="248"/>
      <c r="C617" s="248"/>
      <c r="D617" s="248"/>
      <c r="E617" s="248"/>
      <c r="F617" s="248"/>
      <c r="G617" s="248"/>
      <c r="I617" s="248"/>
      <c r="J617" s="248"/>
      <c r="K617" s="248"/>
      <c r="L617" s="248"/>
      <c r="M617" s="248"/>
      <c r="N617" s="248"/>
      <c r="P617" s="248"/>
      <c r="Q617" s="248"/>
    </row>
    <row r="618">
      <c r="A618" s="248"/>
      <c r="B618" s="248"/>
      <c r="C618" s="248"/>
      <c r="D618" s="248"/>
      <c r="E618" s="248"/>
      <c r="F618" s="248"/>
      <c r="G618" s="248"/>
      <c r="I618" s="248"/>
      <c r="J618" s="248"/>
      <c r="K618" s="248"/>
      <c r="L618" s="248"/>
      <c r="M618" s="248"/>
      <c r="N618" s="248"/>
      <c r="P618" s="248"/>
      <c r="Q618" s="248"/>
    </row>
    <row r="619">
      <c r="A619" s="248"/>
      <c r="B619" s="248"/>
      <c r="C619" s="248"/>
      <c r="D619" s="248"/>
      <c r="E619" s="248"/>
      <c r="F619" s="248"/>
      <c r="G619" s="248"/>
      <c r="I619" s="248"/>
      <c r="J619" s="248"/>
      <c r="K619" s="248"/>
      <c r="L619" s="248"/>
      <c r="M619" s="248"/>
      <c r="N619" s="248"/>
      <c r="P619" s="248"/>
      <c r="Q619" s="248"/>
    </row>
    <row r="620">
      <c r="A620" s="248"/>
      <c r="B620" s="248"/>
      <c r="C620" s="248"/>
      <c r="D620" s="248"/>
      <c r="E620" s="248"/>
      <c r="F620" s="248"/>
      <c r="G620" s="248"/>
      <c r="I620" s="248"/>
      <c r="J620" s="248"/>
      <c r="K620" s="248"/>
      <c r="L620" s="248"/>
      <c r="M620" s="248"/>
      <c r="N620" s="248"/>
      <c r="P620" s="248"/>
      <c r="Q620" s="248"/>
    </row>
    <row r="621">
      <c r="A621" s="248"/>
      <c r="B621" s="248"/>
      <c r="C621" s="248"/>
      <c r="D621" s="248"/>
      <c r="E621" s="248"/>
      <c r="F621" s="248"/>
      <c r="G621" s="248"/>
      <c r="I621" s="248"/>
      <c r="J621" s="248"/>
      <c r="K621" s="248"/>
      <c r="L621" s="248"/>
      <c r="M621" s="248"/>
      <c r="N621" s="248"/>
      <c r="P621" s="248"/>
      <c r="Q621" s="248"/>
    </row>
    <row r="622">
      <c r="A622" s="248"/>
      <c r="B622" s="248"/>
      <c r="C622" s="248"/>
      <c r="D622" s="248"/>
      <c r="E622" s="248"/>
      <c r="F622" s="248"/>
      <c r="G622" s="248"/>
      <c r="I622" s="248"/>
      <c r="J622" s="248"/>
      <c r="K622" s="248"/>
      <c r="L622" s="248"/>
      <c r="M622" s="248"/>
      <c r="N622" s="248"/>
      <c r="P622" s="248"/>
      <c r="Q622" s="248"/>
    </row>
    <row r="623">
      <c r="A623" s="248"/>
      <c r="B623" s="248"/>
      <c r="C623" s="248"/>
      <c r="D623" s="248"/>
      <c r="E623" s="248"/>
      <c r="F623" s="248"/>
      <c r="G623" s="248"/>
      <c r="I623" s="248"/>
      <c r="J623" s="248"/>
      <c r="K623" s="248"/>
      <c r="L623" s="248"/>
      <c r="M623" s="248"/>
      <c r="N623" s="248"/>
      <c r="P623" s="248"/>
      <c r="Q623" s="248"/>
    </row>
    <row r="624">
      <c r="A624" s="248"/>
      <c r="B624" s="248"/>
      <c r="C624" s="248"/>
      <c r="D624" s="248"/>
      <c r="E624" s="248"/>
      <c r="F624" s="248"/>
      <c r="G624" s="248"/>
      <c r="I624" s="248"/>
      <c r="J624" s="248"/>
      <c r="K624" s="248"/>
      <c r="L624" s="248"/>
      <c r="M624" s="248"/>
      <c r="N624" s="248"/>
      <c r="P624" s="248"/>
      <c r="Q624" s="248"/>
    </row>
    <row r="625">
      <c r="A625" s="248"/>
      <c r="B625" s="248"/>
      <c r="C625" s="248"/>
      <c r="D625" s="248"/>
      <c r="E625" s="248"/>
      <c r="F625" s="248"/>
      <c r="G625" s="248"/>
      <c r="I625" s="248"/>
      <c r="J625" s="248"/>
      <c r="K625" s="248"/>
      <c r="L625" s="248"/>
      <c r="M625" s="248"/>
      <c r="N625" s="248"/>
      <c r="P625" s="248"/>
      <c r="Q625" s="248"/>
    </row>
    <row r="626">
      <c r="A626" s="248"/>
      <c r="B626" s="248"/>
      <c r="C626" s="248"/>
      <c r="D626" s="248"/>
      <c r="E626" s="248"/>
      <c r="F626" s="248"/>
      <c r="G626" s="248"/>
      <c r="I626" s="248"/>
      <c r="J626" s="248"/>
      <c r="K626" s="248"/>
      <c r="L626" s="248"/>
      <c r="M626" s="248"/>
      <c r="N626" s="248"/>
      <c r="P626" s="248"/>
      <c r="Q626" s="248"/>
    </row>
    <row r="627">
      <c r="A627" s="248"/>
      <c r="B627" s="248"/>
      <c r="C627" s="248"/>
      <c r="D627" s="248"/>
      <c r="E627" s="248"/>
      <c r="F627" s="248"/>
      <c r="G627" s="248"/>
      <c r="I627" s="248"/>
      <c r="J627" s="248"/>
      <c r="K627" s="248"/>
      <c r="L627" s="248"/>
      <c r="M627" s="248"/>
      <c r="N627" s="248"/>
      <c r="P627" s="248"/>
      <c r="Q627" s="248"/>
    </row>
    <row r="628">
      <c r="A628" s="248"/>
      <c r="B628" s="248"/>
      <c r="C628" s="248"/>
      <c r="D628" s="248"/>
      <c r="E628" s="248"/>
      <c r="F628" s="248"/>
      <c r="G628" s="248"/>
      <c r="I628" s="248"/>
      <c r="J628" s="248"/>
      <c r="K628" s="248"/>
      <c r="L628" s="248"/>
      <c r="M628" s="248"/>
      <c r="N628" s="248"/>
      <c r="P628" s="248"/>
      <c r="Q628" s="248"/>
    </row>
    <row r="629">
      <c r="A629" s="248"/>
      <c r="B629" s="248"/>
      <c r="C629" s="248"/>
      <c r="D629" s="248"/>
      <c r="E629" s="248"/>
      <c r="F629" s="248"/>
      <c r="G629" s="248"/>
      <c r="I629" s="248"/>
      <c r="J629" s="248"/>
      <c r="K629" s="248"/>
      <c r="L629" s="248"/>
      <c r="M629" s="248"/>
      <c r="N629" s="248"/>
      <c r="P629" s="248"/>
      <c r="Q629" s="248"/>
    </row>
    <row r="630">
      <c r="A630" s="248"/>
      <c r="B630" s="248"/>
      <c r="C630" s="248"/>
      <c r="D630" s="248"/>
      <c r="E630" s="248"/>
      <c r="F630" s="248"/>
      <c r="G630" s="248"/>
      <c r="I630" s="248"/>
      <c r="J630" s="248"/>
      <c r="K630" s="248"/>
      <c r="L630" s="248"/>
      <c r="M630" s="248"/>
      <c r="N630" s="248"/>
      <c r="P630" s="248"/>
      <c r="Q630" s="248"/>
    </row>
    <row r="631">
      <c r="A631" s="248"/>
      <c r="B631" s="248"/>
      <c r="C631" s="248"/>
      <c r="D631" s="248"/>
      <c r="E631" s="248"/>
      <c r="F631" s="248"/>
      <c r="G631" s="248"/>
      <c r="I631" s="248"/>
      <c r="J631" s="248"/>
      <c r="K631" s="248"/>
      <c r="L631" s="248"/>
      <c r="M631" s="248"/>
      <c r="N631" s="248"/>
      <c r="P631" s="248"/>
      <c r="Q631" s="248"/>
    </row>
    <row r="632">
      <c r="A632" s="248"/>
      <c r="B632" s="248"/>
      <c r="C632" s="248"/>
      <c r="D632" s="248"/>
      <c r="E632" s="248"/>
      <c r="F632" s="248"/>
      <c r="G632" s="248"/>
      <c r="I632" s="248"/>
      <c r="J632" s="248"/>
      <c r="K632" s="248"/>
      <c r="L632" s="248"/>
      <c r="M632" s="248"/>
      <c r="N632" s="248"/>
      <c r="P632" s="248"/>
      <c r="Q632" s="248"/>
    </row>
    <row r="633">
      <c r="A633" s="248"/>
      <c r="B633" s="248"/>
      <c r="C633" s="248"/>
      <c r="D633" s="248"/>
      <c r="E633" s="248"/>
      <c r="F633" s="248"/>
      <c r="G633" s="248"/>
      <c r="I633" s="248"/>
      <c r="J633" s="248"/>
      <c r="K633" s="248"/>
      <c r="L633" s="248"/>
      <c r="M633" s="248"/>
      <c r="N633" s="248"/>
      <c r="P633" s="248"/>
      <c r="Q633" s="248"/>
    </row>
    <row r="634">
      <c r="A634" s="248"/>
      <c r="B634" s="248"/>
      <c r="C634" s="248"/>
      <c r="D634" s="248"/>
      <c r="E634" s="248"/>
      <c r="F634" s="248"/>
      <c r="G634" s="248"/>
      <c r="I634" s="248"/>
      <c r="J634" s="248"/>
      <c r="K634" s="248"/>
      <c r="L634" s="248"/>
      <c r="M634" s="248"/>
      <c r="N634" s="248"/>
      <c r="P634" s="248"/>
      <c r="Q634" s="248"/>
    </row>
    <row r="635">
      <c r="A635" s="248"/>
      <c r="B635" s="248"/>
      <c r="C635" s="248"/>
      <c r="D635" s="248"/>
      <c r="E635" s="248"/>
      <c r="F635" s="248"/>
      <c r="G635" s="248"/>
      <c r="I635" s="248"/>
      <c r="J635" s="248"/>
      <c r="K635" s="248"/>
      <c r="L635" s="248"/>
      <c r="M635" s="248"/>
      <c r="N635" s="248"/>
      <c r="P635" s="248"/>
      <c r="Q635" s="248"/>
    </row>
    <row r="636">
      <c r="A636" s="248"/>
      <c r="B636" s="248"/>
      <c r="C636" s="248"/>
      <c r="D636" s="248"/>
      <c r="E636" s="248"/>
      <c r="F636" s="248"/>
      <c r="G636" s="248"/>
      <c r="I636" s="248"/>
      <c r="J636" s="248"/>
      <c r="K636" s="248"/>
      <c r="L636" s="248"/>
      <c r="M636" s="248"/>
      <c r="N636" s="248"/>
      <c r="P636" s="248"/>
      <c r="Q636" s="248"/>
    </row>
    <row r="637">
      <c r="A637" s="248"/>
      <c r="B637" s="248"/>
      <c r="C637" s="248"/>
      <c r="D637" s="248"/>
      <c r="E637" s="248"/>
      <c r="F637" s="248"/>
      <c r="G637" s="248"/>
      <c r="I637" s="248"/>
      <c r="J637" s="248"/>
      <c r="K637" s="248"/>
      <c r="L637" s="248"/>
      <c r="M637" s="248"/>
      <c r="N637" s="248"/>
      <c r="P637" s="248"/>
      <c r="Q637" s="248"/>
    </row>
    <row r="638">
      <c r="A638" s="248"/>
      <c r="B638" s="248"/>
      <c r="C638" s="248"/>
      <c r="D638" s="248"/>
      <c r="E638" s="248"/>
      <c r="F638" s="248"/>
      <c r="G638" s="248"/>
      <c r="I638" s="248"/>
      <c r="J638" s="248"/>
      <c r="K638" s="248"/>
      <c r="L638" s="248"/>
      <c r="M638" s="248"/>
      <c r="N638" s="248"/>
      <c r="P638" s="248"/>
      <c r="Q638" s="248"/>
    </row>
    <row r="639">
      <c r="A639" s="248"/>
      <c r="B639" s="248"/>
      <c r="C639" s="248"/>
      <c r="D639" s="248"/>
      <c r="E639" s="248"/>
      <c r="F639" s="248"/>
      <c r="G639" s="248"/>
      <c r="I639" s="248"/>
      <c r="J639" s="248"/>
      <c r="K639" s="248"/>
      <c r="L639" s="248"/>
      <c r="M639" s="248"/>
      <c r="N639" s="248"/>
      <c r="P639" s="248"/>
      <c r="Q639" s="248"/>
    </row>
    <row r="640">
      <c r="A640" s="248"/>
      <c r="B640" s="248"/>
      <c r="C640" s="248"/>
      <c r="D640" s="248"/>
      <c r="E640" s="248"/>
      <c r="F640" s="248"/>
      <c r="G640" s="248"/>
      <c r="I640" s="248"/>
      <c r="J640" s="248"/>
      <c r="K640" s="248"/>
      <c r="L640" s="248"/>
      <c r="M640" s="248"/>
      <c r="N640" s="248"/>
      <c r="P640" s="248"/>
      <c r="Q640" s="248"/>
    </row>
    <row r="641">
      <c r="A641" s="248"/>
      <c r="B641" s="248"/>
      <c r="C641" s="248"/>
      <c r="D641" s="248"/>
      <c r="E641" s="248"/>
      <c r="F641" s="248"/>
      <c r="G641" s="248"/>
      <c r="I641" s="248"/>
      <c r="J641" s="248"/>
      <c r="K641" s="248"/>
      <c r="L641" s="248"/>
      <c r="M641" s="248"/>
      <c r="N641" s="248"/>
      <c r="P641" s="248"/>
      <c r="Q641" s="248"/>
    </row>
    <row r="642">
      <c r="A642" s="248"/>
      <c r="B642" s="248"/>
      <c r="C642" s="248"/>
      <c r="D642" s="248"/>
      <c r="E642" s="248"/>
      <c r="F642" s="248"/>
      <c r="G642" s="248"/>
      <c r="I642" s="248"/>
      <c r="J642" s="248"/>
      <c r="K642" s="248"/>
      <c r="L642" s="248"/>
      <c r="M642" s="248"/>
      <c r="N642" s="248"/>
      <c r="P642" s="248"/>
      <c r="Q642" s="248"/>
    </row>
    <row r="643">
      <c r="A643" s="248"/>
      <c r="B643" s="248"/>
      <c r="C643" s="248"/>
      <c r="D643" s="248"/>
      <c r="E643" s="248"/>
      <c r="F643" s="248"/>
      <c r="G643" s="248"/>
      <c r="I643" s="248"/>
      <c r="J643" s="248"/>
      <c r="K643" s="248"/>
      <c r="L643" s="248"/>
      <c r="M643" s="248"/>
      <c r="N643" s="248"/>
      <c r="P643" s="248"/>
      <c r="Q643" s="248"/>
    </row>
    <row r="644">
      <c r="A644" s="248"/>
      <c r="B644" s="248"/>
      <c r="C644" s="248"/>
      <c r="D644" s="248"/>
      <c r="E644" s="248"/>
      <c r="F644" s="248"/>
      <c r="G644" s="248"/>
      <c r="I644" s="248"/>
      <c r="J644" s="248"/>
      <c r="K644" s="248"/>
      <c r="L644" s="248"/>
      <c r="M644" s="248"/>
      <c r="N644" s="248"/>
      <c r="P644" s="248"/>
      <c r="Q644" s="248"/>
    </row>
    <row r="645">
      <c r="A645" s="248"/>
      <c r="B645" s="248"/>
      <c r="C645" s="248"/>
      <c r="D645" s="248"/>
      <c r="E645" s="248"/>
      <c r="F645" s="248"/>
      <c r="G645" s="248"/>
      <c r="I645" s="248"/>
      <c r="J645" s="248"/>
      <c r="K645" s="248"/>
      <c r="L645" s="248"/>
      <c r="M645" s="248"/>
      <c r="N645" s="248"/>
      <c r="P645" s="248"/>
      <c r="Q645" s="248"/>
    </row>
    <row r="646">
      <c r="A646" s="248"/>
      <c r="B646" s="248"/>
      <c r="C646" s="248"/>
      <c r="D646" s="248"/>
      <c r="E646" s="248"/>
      <c r="F646" s="248"/>
      <c r="G646" s="248"/>
      <c r="I646" s="248"/>
      <c r="J646" s="248"/>
      <c r="K646" s="248"/>
      <c r="L646" s="248"/>
      <c r="M646" s="248"/>
      <c r="N646" s="248"/>
      <c r="P646" s="248"/>
      <c r="Q646" s="248"/>
    </row>
    <row r="647">
      <c r="A647" s="248"/>
      <c r="B647" s="248"/>
      <c r="C647" s="248"/>
      <c r="D647" s="248"/>
      <c r="E647" s="248"/>
      <c r="F647" s="248"/>
      <c r="G647" s="248"/>
      <c r="I647" s="248"/>
      <c r="J647" s="248"/>
      <c r="K647" s="248"/>
      <c r="L647" s="248"/>
      <c r="M647" s="248"/>
      <c r="N647" s="248"/>
      <c r="P647" s="248"/>
      <c r="Q647" s="248"/>
    </row>
    <row r="648">
      <c r="A648" s="248"/>
      <c r="B648" s="248"/>
      <c r="C648" s="248"/>
      <c r="D648" s="248"/>
      <c r="E648" s="248"/>
      <c r="F648" s="248"/>
      <c r="G648" s="248"/>
      <c r="I648" s="248"/>
      <c r="J648" s="248"/>
      <c r="K648" s="248"/>
      <c r="L648" s="248"/>
      <c r="M648" s="248"/>
      <c r="N648" s="248"/>
      <c r="P648" s="248"/>
      <c r="Q648" s="248"/>
    </row>
    <row r="649">
      <c r="A649" s="248"/>
      <c r="B649" s="248"/>
      <c r="C649" s="248"/>
      <c r="D649" s="248"/>
      <c r="E649" s="248"/>
      <c r="F649" s="248"/>
      <c r="G649" s="248"/>
      <c r="I649" s="248"/>
      <c r="J649" s="248"/>
      <c r="K649" s="248"/>
      <c r="L649" s="248"/>
      <c r="M649" s="248"/>
      <c r="N649" s="248"/>
      <c r="P649" s="248"/>
      <c r="Q649" s="248"/>
    </row>
    <row r="650">
      <c r="A650" s="248"/>
      <c r="B650" s="248"/>
      <c r="C650" s="248"/>
      <c r="D650" s="248"/>
      <c r="E650" s="248"/>
      <c r="F650" s="248"/>
      <c r="G650" s="248"/>
      <c r="I650" s="248"/>
      <c r="J650" s="248"/>
      <c r="K650" s="248"/>
      <c r="L650" s="248"/>
      <c r="M650" s="248"/>
      <c r="N650" s="248"/>
      <c r="P650" s="248"/>
      <c r="Q650" s="248"/>
    </row>
    <row r="651">
      <c r="A651" s="248"/>
      <c r="B651" s="248"/>
      <c r="C651" s="248"/>
      <c r="D651" s="248"/>
      <c r="E651" s="248"/>
      <c r="F651" s="248"/>
      <c r="G651" s="248"/>
      <c r="I651" s="248"/>
      <c r="J651" s="248"/>
      <c r="K651" s="248"/>
      <c r="L651" s="248"/>
      <c r="M651" s="248"/>
      <c r="N651" s="248"/>
      <c r="P651" s="248"/>
      <c r="Q651" s="248"/>
    </row>
    <row r="652">
      <c r="A652" s="248"/>
      <c r="B652" s="248"/>
      <c r="C652" s="248"/>
      <c r="D652" s="248"/>
      <c r="E652" s="248"/>
      <c r="F652" s="248"/>
      <c r="G652" s="248"/>
      <c r="I652" s="248"/>
      <c r="J652" s="248"/>
      <c r="K652" s="248"/>
      <c r="L652" s="248"/>
      <c r="M652" s="248"/>
      <c r="N652" s="248"/>
      <c r="P652" s="248"/>
      <c r="Q652" s="248"/>
    </row>
    <row r="653">
      <c r="A653" s="248"/>
      <c r="B653" s="248"/>
      <c r="C653" s="248"/>
      <c r="D653" s="248"/>
      <c r="E653" s="248"/>
      <c r="F653" s="248"/>
      <c r="G653" s="248"/>
      <c r="I653" s="248"/>
      <c r="J653" s="248"/>
      <c r="K653" s="248"/>
      <c r="L653" s="248"/>
      <c r="M653" s="248"/>
      <c r="N653" s="248"/>
      <c r="P653" s="248"/>
      <c r="Q653" s="248"/>
    </row>
    <row r="654">
      <c r="A654" s="248"/>
      <c r="B654" s="248"/>
      <c r="C654" s="248"/>
      <c r="D654" s="248"/>
      <c r="E654" s="248"/>
      <c r="F654" s="248"/>
      <c r="G654" s="248"/>
      <c r="I654" s="248"/>
      <c r="J654" s="248"/>
      <c r="K654" s="248"/>
      <c r="L654" s="248"/>
      <c r="M654" s="248"/>
      <c r="N654" s="248"/>
      <c r="P654" s="248"/>
      <c r="Q654" s="248"/>
    </row>
    <row r="655">
      <c r="A655" s="248"/>
      <c r="B655" s="248"/>
      <c r="C655" s="248"/>
      <c r="D655" s="248"/>
      <c r="E655" s="248"/>
      <c r="F655" s="248"/>
      <c r="G655" s="248"/>
      <c r="I655" s="248"/>
      <c r="J655" s="248"/>
      <c r="K655" s="248"/>
      <c r="L655" s="248"/>
      <c r="M655" s="248"/>
      <c r="N655" s="248"/>
      <c r="P655" s="248"/>
      <c r="Q655" s="248"/>
    </row>
    <row r="656">
      <c r="A656" s="248"/>
      <c r="B656" s="248"/>
      <c r="C656" s="248"/>
      <c r="D656" s="248"/>
      <c r="E656" s="248"/>
      <c r="F656" s="248"/>
      <c r="G656" s="248"/>
      <c r="I656" s="248"/>
      <c r="J656" s="248"/>
      <c r="K656" s="248"/>
      <c r="L656" s="248"/>
      <c r="M656" s="248"/>
      <c r="N656" s="248"/>
      <c r="P656" s="248"/>
      <c r="Q656" s="248"/>
    </row>
    <row r="657">
      <c r="A657" s="248"/>
      <c r="B657" s="248"/>
      <c r="C657" s="248"/>
      <c r="D657" s="248"/>
      <c r="E657" s="248"/>
      <c r="F657" s="248"/>
      <c r="G657" s="248"/>
      <c r="I657" s="248"/>
      <c r="J657" s="248"/>
      <c r="K657" s="248"/>
      <c r="L657" s="248"/>
      <c r="M657" s="248"/>
      <c r="N657" s="248"/>
      <c r="P657" s="248"/>
      <c r="Q657" s="248"/>
    </row>
    <row r="658">
      <c r="A658" s="248"/>
      <c r="B658" s="248"/>
      <c r="C658" s="248"/>
      <c r="D658" s="248"/>
      <c r="E658" s="248"/>
      <c r="F658" s="248"/>
      <c r="G658" s="248"/>
      <c r="I658" s="248"/>
      <c r="J658" s="248"/>
      <c r="K658" s="248"/>
      <c r="L658" s="248"/>
      <c r="M658" s="248"/>
      <c r="N658" s="248"/>
      <c r="P658" s="248"/>
      <c r="Q658" s="248"/>
    </row>
    <row r="659">
      <c r="A659" s="248"/>
      <c r="B659" s="248"/>
      <c r="C659" s="248"/>
      <c r="D659" s="248"/>
      <c r="E659" s="248"/>
      <c r="F659" s="248"/>
      <c r="G659" s="248"/>
      <c r="I659" s="248"/>
      <c r="J659" s="248"/>
      <c r="K659" s="248"/>
      <c r="L659" s="248"/>
      <c r="M659" s="248"/>
      <c r="N659" s="248"/>
      <c r="P659" s="248"/>
      <c r="Q659" s="248"/>
    </row>
    <row r="660">
      <c r="A660" s="248"/>
      <c r="B660" s="248"/>
      <c r="C660" s="248"/>
      <c r="D660" s="248"/>
      <c r="E660" s="248"/>
      <c r="F660" s="248"/>
      <c r="G660" s="248"/>
      <c r="I660" s="248"/>
      <c r="J660" s="248"/>
      <c r="K660" s="248"/>
      <c r="L660" s="248"/>
      <c r="M660" s="248"/>
      <c r="N660" s="248"/>
      <c r="P660" s="248"/>
      <c r="Q660" s="248"/>
    </row>
    <row r="661">
      <c r="A661" s="248"/>
      <c r="B661" s="248"/>
      <c r="C661" s="248"/>
      <c r="D661" s="248"/>
      <c r="E661" s="248"/>
      <c r="F661" s="248"/>
      <c r="G661" s="248"/>
      <c r="I661" s="248"/>
      <c r="J661" s="248"/>
      <c r="K661" s="248"/>
      <c r="L661" s="248"/>
      <c r="M661" s="248"/>
      <c r="N661" s="248"/>
      <c r="P661" s="248"/>
      <c r="Q661" s="248"/>
    </row>
    <row r="662">
      <c r="A662" s="248"/>
      <c r="B662" s="248"/>
      <c r="C662" s="248"/>
      <c r="D662" s="248"/>
      <c r="E662" s="248"/>
      <c r="F662" s="248"/>
      <c r="G662" s="248"/>
      <c r="I662" s="248"/>
      <c r="J662" s="248"/>
      <c r="K662" s="248"/>
      <c r="L662" s="248"/>
      <c r="M662" s="248"/>
      <c r="N662" s="248"/>
      <c r="P662" s="248"/>
      <c r="Q662" s="248"/>
    </row>
    <row r="663">
      <c r="A663" s="248"/>
      <c r="B663" s="248"/>
      <c r="C663" s="248"/>
      <c r="D663" s="248"/>
      <c r="E663" s="248"/>
      <c r="F663" s="248"/>
      <c r="G663" s="248"/>
      <c r="I663" s="248"/>
      <c r="J663" s="248"/>
      <c r="K663" s="248"/>
      <c r="L663" s="248"/>
      <c r="M663" s="248"/>
      <c r="N663" s="248"/>
      <c r="P663" s="248"/>
      <c r="Q663" s="248"/>
    </row>
    <row r="664">
      <c r="A664" s="248"/>
      <c r="B664" s="248"/>
      <c r="C664" s="248"/>
      <c r="D664" s="248"/>
      <c r="E664" s="248"/>
      <c r="F664" s="248"/>
      <c r="G664" s="248"/>
      <c r="I664" s="248"/>
      <c r="J664" s="248"/>
      <c r="K664" s="248"/>
      <c r="L664" s="248"/>
      <c r="M664" s="248"/>
      <c r="N664" s="248"/>
      <c r="P664" s="248"/>
      <c r="Q664" s="248"/>
    </row>
    <row r="665">
      <c r="A665" s="248"/>
      <c r="B665" s="248"/>
      <c r="C665" s="248"/>
      <c r="D665" s="248"/>
      <c r="E665" s="248"/>
      <c r="F665" s="248"/>
      <c r="G665" s="248"/>
      <c r="I665" s="248"/>
      <c r="J665" s="248"/>
      <c r="K665" s="248"/>
      <c r="L665" s="248"/>
      <c r="M665" s="248"/>
      <c r="N665" s="248"/>
      <c r="P665" s="248"/>
      <c r="Q665" s="248"/>
    </row>
    <row r="666">
      <c r="A666" s="248"/>
      <c r="B666" s="248"/>
      <c r="C666" s="248"/>
      <c r="D666" s="248"/>
      <c r="E666" s="248"/>
      <c r="F666" s="248"/>
      <c r="G666" s="248"/>
      <c r="I666" s="248"/>
      <c r="J666" s="248"/>
      <c r="K666" s="248"/>
      <c r="L666" s="248"/>
      <c r="M666" s="248"/>
      <c r="N666" s="248"/>
      <c r="P666" s="248"/>
      <c r="Q666" s="248"/>
    </row>
    <row r="667">
      <c r="A667" s="248"/>
      <c r="B667" s="248"/>
      <c r="C667" s="248"/>
      <c r="D667" s="248"/>
      <c r="E667" s="248"/>
      <c r="F667" s="248"/>
      <c r="G667" s="248"/>
      <c r="I667" s="248"/>
      <c r="J667" s="248"/>
      <c r="K667" s="248"/>
      <c r="L667" s="248"/>
      <c r="M667" s="248"/>
      <c r="N667" s="248"/>
      <c r="P667" s="248"/>
      <c r="Q667" s="248"/>
    </row>
    <row r="668">
      <c r="A668" s="248"/>
      <c r="B668" s="248"/>
      <c r="C668" s="248"/>
      <c r="D668" s="248"/>
      <c r="E668" s="248"/>
      <c r="F668" s="248"/>
      <c r="G668" s="248"/>
      <c r="I668" s="248"/>
      <c r="J668" s="248"/>
      <c r="K668" s="248"/>
      <c r="L668" s="248"/>
      <c r="M668" s="248"/>
      <c r="N668" s="248"/>
      <c r="P668" s="248"/>
      <c r="Q668" s="248"/>
    </row>
    <row r="669">
      <c r="A669" s="248"/>
      <c r="B669" s="248"/>
      <c r="C669" s="248"/>
      <c r="D669" s="248"/>
      <c r="E669" s="248"/>
      <c r="F669" s="248"/>
      <c r="G669" s="248"/>
      <c r="I669" s="248"/>
      <c r="J669" s="248"/>
      <c r="K669" s="248"/>
      <c r="L669" s="248"/>
      <c r="M669" s="248"/>
      <c r="N669" s="248"/>
      <c r="P669" s="248"/>
      <c r="Q669" s="248"/>
    </row>
    <row r="670">
      <c r="A670" s="248"/>
      <c r="B670" s="248"/>
      <c r="C670" s="248"/>
      <c r="D670" s="248"/>
      <c r="E670" s="248"/>
      <c r="F670" s="248"/>
      <c r="G670" s="248"/>
      <c r="I670" s="248"/>
      <c r="J670" s="248"/>
      <c r="K670" s="248"/>
      <c r="L670" s="248"/>
      <c r="M670" s="248"/>
      <c r="N670" s="248"/>
      <c r="P670" s="248"/>
      <c r="Q670" s="248"/>
    </row>
    <row r="671">
      <c r="A671" s="248"/>
      <c r="B671" s="248"/>
      <c r="C671" s="248"/>
      <c r="D671" s="248"/>
      <c r="E671" s="248"/>
      <c r="F671" s="248"/>
      <c r="G671" s="248"/>
      <c r="I671" s="248"/>
      <c r="J671" s="248"/>
      <c r="K671" s="248"/>
      <c r="L671" s="248"/>
      <c r="M671" s="248"/>
      <c r="N671" s="248"/>
      <c r="P671" s="248"/>
      <c r="Q671" s="248"/>
    </row>
    <row r="672">
      <c r="A672" s="248"/>
      <c r="B672" s="248"/>
      <c r="C672" s="248"/>
      <c r="D672" s="248"/>
      <c r="E672" s="248"/>
      <c r="F672" s="248"/>
      <c r="G672" s="248"/>
      <c r="I672" s="248"/>
      <c r="J672" s="248"/>
      <c r="K672" s="248"/>
      <c r="L672" s="248"/>
      <c r="M672" s="248"/>
      <c r="N672" s="248"/>
      <c r="P672" s="248"/>
      <c r="Q672" s="248"/>
    </row>
    <row r="673">
      <c r="A673" s="248"/>
      <c r="B673" s="248"/>
      <c r="C673" s="248"/>
      <c r="D673" s="248"/>
      <c r="E673" s="248"/>
      <c r="F673" s="248"/>
      <c r="G673" s="248"/>
      <c r="I673" s="248"/>
      <c r="J673" s="248"/>
      <c r="K673" s="248"/>
      <c r="L673" s="248"/>
      <c r="M673" s="248"/>
      <c r="N673" s="248"/>
      <c r="P673" s="248"/>
      <c r="Q673" s="248"/>
    </row>
    <row r="674">
      <c r="A674" s="248"/>
      <c r="B674" s="248"/>
      <c r="C674" s="248"/>
      <c r="D674" s="248"/>
      <c r="E674" s="248"/>
      <c r="F674" s="248"/>
      <c r="G674" s="248"/>
      <c r="I674" s="248"/>
      <c r="J674" s="248"/>
      <c r="K674" s="248"/>
      <c r="L674" s="248"/>
      <c r="M674" s="248"/>
      <c r="N674" s="248"/>
      <c r="P674" s="248"/>
      <c r="Q674" s="248"/>
    </row>
    <row r="675">
      <c r="A675" s="248"/>
      <c r="B675" s="248"/>
      <c r="C675" s="248"/>
      <c r="D675" s="248"/>
      <c r="E675" s="248"/>
      <c r="F675" s="248"/>
      <c r="G675" s="248"/>
      <c r="I675" s="248"/>
      <c r="J675" s="248"/>
      <c r="K675" s="248"/>
      <c r="L675" s="248"/>
      <c r="M675" s="248"/>
      <c r="N675" s="248"/>
      <c r="P675" s="248"/>
      <c r="Q675" s="248"/>
    </row>
    <row r="676">
      <c r="A676" s="248"/>
      <c r="B676" s="248"/>
      <c r="C676" s="248"/>
      <c r="D676" s="248"/>
      <c r="E676" s="248"/>
      <c r="F676" s="248"/>
      <c r="G676" s="248"/>
      <c r="I676" s="248"/>
      <c r="J676" s="248"/>
      <c r="K676" s="248"/>
      <c r="L676" s="248"/>
      <c r="M676" s="248"/>
      <c r="N676" s="248"/>
      <c r="P676" s="248"/>
      <c r="Q676" s="248"/>
    </row>
    <row r="677">
      <c r="A677" s="248"/>
      <c r="B677" s="248"/>
      <c r="C677" s="248"/>
      <c r="D677" s="248"/>
      <c r="E677" s="248"/>
      <c r="F677" s="248"/>
      <c r="G677" s="248"/>
      <c r="I677" s="248"/>
      <c r="J677" s="248"/>
      <c r="K677" s="248"/>
      <c r="L677" s="248"/>
      <c r="M677" s="248"/>
      <c r="N677" s="248"/>
      <c r="P677" s="248"/>
      <c r="Q677" s="248"/>
    </row>
    <row r="678">
      <c r="A678" s="248"/>
      <c r="B678" s="248"/>
      <c r="C678" s="248"/>
      <c r="D678" s="248"/>
      <c r="E678" s="248"/>
      <c r="F678" s="248"/>
      <c r="G678" s="248"/>
      <c r="I678" s="248"/>
      <c r="J678" s="248"/>
      <c r="K678" s="248"/>
      <c r="L678" s="248"/>
      <c r="M678" s="248"/>
      <c r="N678" s="248"/>
      <c r="P678" s="248"/>
      <c r="Q678" s="248"/>
    </row>
    <row r="679">
      <c r="A679" s="248"/>
      <c r="B679" s="248"/>
      <c r="C679" s="248"/>
      <c r="D679" s="248"/>
      <c r="E679" s="248"/>
      <c r="F679" s="248"/>
      <c r="G679" s="248"/>
      <c r="I679" s="248"/>
      <c r="J679" s="248"/>
      <c r="K679" s="248"/>
      <c r="L679" s="248"/>
      <c r="M679" s="248"/>
      <c r="N679" s="248"/>
      <c r="P679" s="248"/>
      <c r="Q679" s="248"/>
    </row>
    <row r="680">
      <c r="A680" s="248"/>
      <c r="B680" s="248"/>
      <c r="C680" s="248"/>
      <c r="D680" s="248"/>
      <c r="E680" s="248"/>
      <c r="F680" s="248"/>
      <c r="G680" s="248"/>
      <c r="I680" s="248"/>
      <c r="J680" s="248"/>
      <c r="K680" s="248"/>
      <c r="L680" s="248"/>
      <c r="M680" s="248"/>
      <c r="N680" s="248"/>
      <c r="P680" s="248"/>
      <c r="Q680" s="248"/>
    </row>
    <row r="681">
      <c r="A681" s="248"/>
      <c r="B681" s="248"/>
      <c r="C681" s="248"/>
      <c r="D681" s="248"/>
      <c r="E681" s="248"/>
      <c r="F681" s="248"/>
      <c r="G681" s="248"/>
      <c r="I681" s="248"/>
      <c r="J681" s="248"/>
      <c r="K681" s="248"/>
      <c r="L681" s="248"/>
      <c r="M681" s="248"/>
      <c r="N681" s="248"/>
      <c r="P681" s="248"/>
      <c r="Q681" s="248"/>
    </row>
    <row r="682">
      <c r="A682" s="248"/>
      <c r="B682" s="248"/>
      <c r="C682" s="248"/>
      <c r="D682" s="248"/>
      <c r="E682" s="248"/>
      <c r="F682" s="248"/>
      <c r="G682" s="248"/>
      <c r="I682" s="248"/>
      <c r="J682" s="248"/>
      <c r="K682" s="248"/>
      <c r="L682" s="248"/>
      <c r="M682" s="248"/>
      <c r="N682" s="248"/>
      <c r="P682" s="248"/>
      <c r="Q682" s="248"/>
    </row>
    <row r="683">
      <c r="A683" s="248"/>
      <c r="B683" s="248"/>
      <c r="C683" s="248"/>
      <c r="D683" s="248"/>
      <c r="E683" s="248"/>
      <c r="F683" s="248"/>
      <c r="G683" s="248"/>
      <c r="I683" s="248"/>
      <c r="J683" s="248"/>
      <c r="K683" s="248"/>
      <c r="L683" s="248"/>
      <c r="M683" s="248"/>
      <c r="N683" s="248"/>
      <c r="P683" s="248"/>
      <c r="Q683" s="248"/>
    </row>
    <row r="684">
      <c r="A684" s="248"/>
      <c r="B684" s="248"/>
      <c r="C684" s="248"/>
      <c r="D684" s="248"/>
      <c r="E684" s="248"/>
      <c r="F684" s="248"/>
      <c r="G684" s="248"/>
      <c r="I684" s="248"/>
      <c r="J684" s="248"/>
      <c r="K684" s="248"/>
      <c r="L684" s="248"/>
      <c r="M684" s="248"/>
      <c r="N684" s="248"/>
      <c r="P684" s="248"/>
      <c r="Q684" s="248"/>
    </row>
    <row r="685">
      <c r="A685" s="248"/>
      <c r="B685" s="248"/>
      <c r="C685" s="248"/>
      <c r="D685" s="248"/>
      <c r="E685" s="248"/>
      <c r="F685" s="248"/>
      <c r="G685" s="248"/>
      <c r="I685" s="248"/>
      <c r="J685" s="248"/>
      <c r="K685" s="248"/>
      <c r="L685" s="248"/>
      <c r="M685" s="248"/>
      <c r="N685" s="248"/>
      <c r="P685" s="248"/>
      <c r="Q685" s="248"/>
    </row>
    <row r="686">
      <c r="A686" s="248"/>
      <c r="B686" s="248"/>
      <c r="C686" s="248"/>
      <c r="D686" s="248"/>
      <c r="E686" s="248"/>
      <c r="F686" s="248"/>
      <c r="G686" s="248"/>
      <c r="I686" s="248"/>
      <c r="J686" s="248"/>
      <c r="K686" s="248"/>
      <c r="L686" s="248"/>
      <c r="M686" s="248"/>
      <c r="N686" s="248"/>
      <c r="P686" s="248"/>
      <c r="Q686" s="248"/>
    </row>
    <row r="687">
      <c r="A687" s="248"/>
      <c r="B687" s="248"/>
      <c r="C687" s="248"/>
      <c r="D687" s="248"/>
      <c r="E687" s="248"/>
      <c r="F687" s="248"/>
      <c r="G687" s="248"/>
      <c r="I687" s="248"/>
      <c r="J687" s="248"/>
      <c r="K687" s="248"/>
      <c r="L687" s="248"/>
      <c r="M687" s="248"/>
      <c r="N687" s="248"/>
      <c r="P687" s="248"/>
      <c r="Q687" s="248"/>
    </row>
    <row r="688">
      <c r="A688" s="248"/>
      <c r="B688" s="248"/>
      <c r="C688" s="248"/>
      <c r="D688" s="248"/>
      <c r="E688" s="248"/>
      <c r="F688" s="248"/>
      <c r="G688" s="248"/>
      <c r="I688" s="248"/>
      <c r="J688" s="248"/>
      <c r="K688" s="248"/>
      <c r="L688" s="248"/>
      <c r="M688" s="248"/>
      <c r="N688" s="248"/>
      <c r="P688" s="248"/>
      <c r="Q688" s="248"/>
    </row>
    <row r="689">
      <c r="A689" s="248"/>
      <c r="B689" s="248"/>
      <c r="C689" s="248"/>
      <c r="D689" s="248"/>
      <c r="E689" s="248"/>
      <c r="F689" s="248"/>
      <c r="G689" s="248"/>
      <c r="I689" s="248"/>
      <c r="J689" s="248"/>
      <c r="K689" s="248"/>
      <c r="L689" s="248"/>
      <c r="M689" s="248"/>
      <c r="N689" s="248"/>
      <c r="P689" s="248"/>
      <c r="Q689" s="248"/>
    </row>
    <row r="690">
      <c r="A690" s="248"/>
      <c r="B690" s="248"/>
      <c r="C690" s="248"/>
      <c r="D690" s="248"/>
      <c r="E690" s="248"/>
      <c r="F690" s="248"/>
      <c r="G690" s="248"/>
      <c r="I690" s="248"/>
      <c r="J690" s="248"/>
      <c r="K690" s="248"/>
      <c r="L690" s="248"/>
      <c r="M690" s="248"/>
      <c r="N690" s="248"/>
      <c r="P690" s="248"/>
      <c r="Q690" s="248"/>
    </row>
    <row r="691">
      <c r="A691" s="248"/>
      <c r="B691" s="248"/>
      <c r="C691" s="248"/>
      <c r="D691" s="248"/>
      <c r="E691" s="248"/>
      <c r="F691" s="248"/>
      <c r="G691" s="248"/>
      <c r="I691" s="248"/>
      <c r="J691" s="248"/>
      <c r="K691" s="248"/>
      <c r="L691" s="248"/>
      <c r="M691" s="248"/>
      <c r="N691" s="248"/>
      <c r="P691" s="248"/>
      <c r="Q691" s="248"/>
    </row>
    <row r="692">
      <c r="A692" s="248"/>
      <c r="B692" s="248"/>
      <c r="C692" s="248"/>
      <c r="D692" s="248"/>
      <c r="E692" s="248"/>
      <c r="F692" s="248"/>
      <c r="G692" s="248"/>
      <c r="I692" s="248"/>
      <c r="J692" s="248"/>
      <c r="K692" s="248"/>
      <c r="L692" s="248"/>
      <c r="M692" s="248"/>
      <c r="N692" s="248"/>
      <c r="P692" s="248"/>
      <c r="Q692" s="248"/>
    </row>
    <row r="693">
      <c r="A693" s="248"/>
      <c r="B693" s="248"/>
      <c r="C693" s="248"/>
      <c r="D693" s="248"/>
      <c r="E693" s="248"/>
      <c r="F693" s="248"/>
      <c r="G693" s="248"/>
      <c r="I693" s="248"/>
      <c r="J693" s="248"/>
      <c r="K693" s="248"/>
      <c r="L693" s="248"/>
      <c r="M693" s="248"/>
      <c r="N693" s="248"/>
      <c r="P693" s="248"/>
      <c r="Q693" s="248"/>
    </row>
    <row r="694">
      <c r="A694" s="248"/>
      <c r="B694" s="248"/>
      <c r="C694" s="248"/>
      <c r="D694" s="248"/>
      <c r="E694" s="248"/>
      <c r="F694" s="248"/>
      <c r="G694" s="248"/>
      <c r="I694" s="248"/>
      <c r="J694" s="248"/>
      <c r="K694" s="248"/>
      <c r="L694" s="248"/>
      <c r="M694" s="248"/>
      <c r="N694" s="248"/>
      <c r="P694" s="248"/>
      <c r="Q694" s="248"/>
    </row>
    <row r="695">
      <c r="A695" s="248"/>
      <c r="B695" s="248"/>
      <c r="C695" s="248"/>
      <c r="D695" s="248"/>
      <c r="E695" s="248"/>
      <c r="F695" s="248"/>
      <c r="G695" s="248"/>
      <c r="I695" s="248"/>
      <c r="J695" s="248"/>
      <c r="K695" s="248"/>
      <c r="L695" s="248"/>
      <c r="M695" s="248"/>
      <c r="N695" s="248"/>
      <c r="P695" s="248"/>
      <c r="Q695" s="248"/>
    </row>
    <row r="696">
      <c r="A696" s="248"/>
      <c r="B696" s="248"/>
      <c r="C696" s="248"/>
      <c r="D696" s="248"/>
      <c r="E696" s="248"/>
      <c r="F696" s="248"/>
      <c r="G696" s="248"/>
      <c r="I696" s="248"/>
      <c r="J696" s="248"/>
      <c r="K696" s="248"/>
      <c r="L696" s="248"/>
      <c r="M696" s="248"/>
      <c r="N696" s="248"/>
      <c r="P696" s="248"/>
      <c r="Q696" s="248"/>
    </row>
    <row r="697">
      <c r="A697" s="248"/>
      <c r="B697" s="248"/>
      <c r="C697" s="248"/>
      <c r="D697" s="248"/>
      <c r="E697" s="248"/>
      <c r="F697" s="248"/>
      <c r="G697" s="248"/>
      <c r="I697" s="248"/>
      <c r="J697" s="248"/>
      <c r="K697" s="248"/>
      <c r="L697" s="248"/>
      <c r="M697" s="248"/>
      <c r="N697" s="248"/>
      <c r="P697" s="248"/>
      <c r="Q697" s="248"/>
    </row>
    <row r="698">
      <c r="A698" s="248"/>
      <c r="B698" s="248"/>
      <c r="C698" s="248"/>
      <c r="D698" s="248"/>
      <c r="E698" s="248"/>
      <c r="F698" s="248"/>
      <c r="G698" s="248"/>
      <c r="I698" s="248"/>
      <c r="J698" s="248"/>
      <c r="K698" s="248"/>
      <c r="L698" s="248"/>
      <c r="M698" s="248"/>
      <c r="N698" s="248"/>
      <c r="P698" s="248"/>
      <c r="Q698" s="248"/>
    </row>
    <row r="699">
      <c r="A699" s="248"/>
      <c r="B699" s="248"/>
      <c r="C699" s="248"/>
      <c r="D699" s="248"/>
      <c r="E699" s="248"/>
      <c r="F699" s="248"/>
      <c r="G699" s="248"/>
      <c r="I699" s="248"/>
      <c r="J699" s="248"/>
      <c r="K699" s="248"/>
      <c r="L699" s="248"/>
      <c r="M699" s="248"/>
      <c r="N699" s="248"/>
      <c r="P699" s="248"/>
      <c r="Q699" s="248"/>
    </row>
    <row r="700">
      <c r="A700" s="248"/>
      <c r="B700" s="248"/>
      <c r="C700" s="248"/>
      <c r="D700" s="248"/>
      <c r="E700" s="248"/>
      <c r="F700" s="248"/>
      <c r="G700" s="248"/>
      <c r="I700" s="248"/>
      <c r="J700" s="248"/>
      <c r="K700" s="248"/>
      <c r="L700" s="248"/>
      <c r="M700" s="248"/>
      <c r="N700" s="248"/>
      <c r="P700" s="248"/>
      <c r="Q700" s="248"/>
    </row>
    <row r="701">
      <c r="A701" s="248"/>
      <c r="B701" s="248"/>
      <c r="C701" s="248"/>
      <c r="D701" s="248"/>
      <c r="E701" s="248"/>
      <c r="F701" s="248"/>
      <c r="G701" s="248"/>
      <c r="I701" s="248"/>
      <c r="J701" s="248"/>
      <c r="K701" s="248"/>
      <c r="L701" s="248"/>
      <c r="M701" s="248"/>
      <c r="N701" s="248"/>
      <c r="P701" s="248"/>
      <c r="Q701" s="248"/>
    </row>
    <row r="702">
      <c r="A702" s="248"/>
      <c r="B702" s="248"/>
      <c r="C702" s="248"/>
      <c r="D702" s="248"/>
      <c r="E702" s="248"/>
      <c r="F702" s="248"/>
      <c r="G702" s="248"/>
      <c r="I702" s="248"/>
      <c r="J702" s="248"/>
      <c r="K702" s="248"/>
      <c r="L702" s="248"/>
      <c r="M702" s="248"/>
      <c r="N702" s="248"/>
      <c r="P702" s="248"/>
      <c r="Q702" s="248"/>
    </row>
    <row r="703">
      <c r="A703" s="248"/>
      <c r="B703" s="248"/>
      <c r="C703" s="248"/>
      <c r="D703" s="248"/>
      <c r="E703" s="248"/>
      <c r="F703" s="248"/>
      <c r="G703" s="248"/>
      <c r="I703" s="248"/>
      <c r="J703" s="248"/>
      <c r="K703" s="248"/>
      <c r="L703" s="248"/>
      <c r="M703" s="248"/>
      <c r="N703" s="248"/>
      <c r="P703" s="248"/>
      <c r="Q703" s="248"/>
    </row>
    <row r="704">
      <c r="A704" s="248"/>
      <c r="B704" s="248"/>
      <c r="C704" s="248"/>
      <c r="D704" s="248"/>
      <c r="E704" s="248"/>
      <c r="F704" s="248"/>
      <c r="G704" s="248"/>
      <c r="I704" s="248"/>
      <c r="J704" s="248"/>
      <c r="K704" s="248"/>
      <c r="L704" s="248"/>
      <c r="M704" s="248"/>
      <c r="N704" s="248"/>
      <c r="P704" s="248"/>
      <c r="Q704" s="248"/>
    </row>
    <row r="705">
      <c r="A705" s="248"/>
      <c r="B705" s="248"/>
      <c r="C705" s="248"/>
      <c r="D705" s="248"/>
      <c r="E705" s="248"/>
      <c r="F705" s="248"/>
      <c r="G705" s="248"/>
      <c r="I705" s="248"/>
      <c r="J705" s="248"/>
      <c r="K705" s="248"/>
      <c r="L705" s="248"/>
      <c r="M705" s="248"/>
      <c r="N705" s="248"/>
      <c r="P705" s="248"/>
      <c r="Q705" s="248"/>
    </row>
    <row r="706">
      <c r="A706" s="248"/>
      <c r="B706" s="248"/>
      <c r="C706" s="248"/>
      <c r="D706" s="248"/>
      <c r="E706" s="248"/>
      <c r="F706" s="248"/>
      <c r="G706" s="248"/>
      <c r="I706" s="248"/>
      <c r="J706" s="248"/>
      <c r="K706" s="248"/>
      <c r="L706" s="248"/>
      <c r="M706" s="248"/>
      <c r="N706" s="248"/>
      <c r="P706" s="248"/>
      <c r="Q706" s="248"/>
    </row>
    <row r="707">
      <c r="A707" s="248"/>
      <c r="B707" s="248"/>
      <c r="C707" s="248"/>
      <c r="D707" s="248"/>
      <c r="E707" s="248"/>
      <c r="F707" s="248"/>
      <c r="G707" s="248"/>
      <c r="I707" s="248"/>
      <c r="J707" s="248"/>
      <c r="K707" s="248"/>
      <c r="L707" s="248"/>
      <c r="M707" s="248"/>
      <c r="N707" s="248"/>
      <c r="P707" s="248"/>
      <c r="Q707" s="248"/>
    </row>
    <row r="708">
      <c r="A708" s="248"/>
      <c r="B708" s="248"/>
      <c r="C708" s="248"/>
      <c r="D708" s="248"/>
      <c r="E708" s="248"/>
      <c r="F708" s="248"/>
      <c r="G708" s="248"/>
      <c r="I708" s="248"/>
      <c r="J708" s="248"/>
      <c r="K708" s="248"/>
      <c r="L708" s="248"/>
      <c r="M708" s="248"/>
      <c r="N708" s="248"/>
      <c r="P708" s="248"/>
      <c r="Q708" s="248"/>
    </row>
    <row r="709">
      <c r="A709" s="248"/>
      <c r="B709" s="248"/>
      <c r="C709" s="248"/>
      <c r="D709" s="248"/>
      <c r="E709" s="248"/>
      <c r="F709" s="248"/>
      <c r="G709" s="248"/>
      <c r="I709" s="248"/>
      <c r="J709" s="248"/>
      <c r="K709" s="248"/>
      <c r="L709" s="248"/>
      <c r="M709" s="248"/>
      <c r="N709" s="248"/>
      <c r="P709" s="248"/>
      <c r="Q709" s="248"/>
    </row>
    <row r="710">
      <c r="A710" s="248"/>
      <c r="B710" s="248"/>
      <c r="C710" s="248"/>
      <c r="D710" s="248"/>
      <c r="E710" s="248"/>
      <c r="F710" s="248"/>
      <c r="G710" s="248"/>
      <c r="I710" s="248"/>
      <c r="J710" s="248"/>
      <c r="K710" s="248"/>
      <c r="L710" s="248"/>
      <c r="M710" s="248"/>
      <c r="N710" s="248"/>
      <c r="P710" s="248"/>
      <c r="Q710" s="248"/>
    </row>
    <row r="711">
      <c r="A711" s="248"/>
      <c r="B711" s="248"/>
      <c r="C711" s="248"/>
      <c r="D711" s="248"/>
      <c r="E711" s="248"/>
      <c r="F711" s="248"/>
      <c r="G711" s="248"/>
      <c r="I711" s="248"/>
      <c r="J711" s="248"/>
      <c r="K711" s="248"/>
      <c r="L711" s="248"/>
      <c r="M711" s="248"/>
      <c r="N711" s="248"/>
      <c r="P711" s="248"/>
      <c r="Q711" s="248"/>
    </row>
    <row r="712">
      <c r="A712" s="248"/>
      <c r="B712" s="248"/>
      <c r="C712" s="248"/>
      <c r="D712" s="248"/>
      <c r="E712" s="248"/>
      <c r="F712" s="248"/>
      <c r="G712" s="248"/>
      <c r="I712" s="248"/>
      <c r="J712" s="248"/>
      <c r="K712" s="248"/>
      <c r="L712" s="248"/>
      <c r="M712" s="248"/>
      <c r="N712" s="248"/>
      <c r="P712" s="248"/>
      <c r="Q712" s="248"/>
    </row>
    <row r="713">
      <c r="A713" s="248"/>
      <c r="B713" s="248"/>
      <c r="C713" s="248"/>
      <c r="D713" s="248"/>
      <c r="E713" s="248"/>
      <c r="F713" s="248"/>
      <c r="G713" s="248"/>
      <c r="I713" s="248"/>
      <c r="J713" s="248"/>
      <c r="K713" s="248"/>
      <c r="L713" s="248"/>
      <c r="M713" s="248"/>
      <c r="N713" s="248"/>
      <c r="P713" s="248"/>
      <c r="Q713" s="248"/>
    </row>
    <row r="714">
      <c r="A714" s="248"/>
      <c r="B714" s="248"/>
      <c r="C714" s="248"/>
      <c r="D714" s="248"/>
      <c r="E714" s="248"/>
      <c r="F714" s="248"/>
      <c r="G714" s="248"/>
      <c r="I714" s="248"/>
      <c r="J714" s="248"/>
      <c r="K714" s="248"/>
      <c r="L714" s="248"/>
      <c r="M714" s="248"/>
      <c r="N714" s="248"/>
      <c r="P714" s="248"/>
      <c r="Q714" s="248"/>
    </row>
    <row r="715">
      <c r="A715" s="248"/>
      <c r="B715" s="248"/>
      <c r="C715" s="248"/>
      <c r="D715" s="248"/>
      <c r="E715" s="248"/>
      <c r="F715" s="248"/>
      <c r="G715" s="248"/>
      <c r="I715" s="248"/>
      <c r="J715" s="248"/>
      <c r="K715" s="248"/>
      <c r="L715" s="248"/>
      <c r="M715" s="248"/>
      <c r="N715" s="248"/>
      <c r="P715" s="248"/>
      <c r="Q715" s="248"/>
    </row>
    <row r="716">
      <c r="A716" s="248"/>
      <c r="B716" s="248"/>
      <c r="C716" s="248"/>
      <c r="D716" s="248"/>
      <c r="E716" s="248"/>
      <c r="F716" s="248"/>
      <c r="G716" s="248"/>
      <c r="I716" s="248"/>
      <c r="J716" s="248"/>
      <c r="K716" s="248"/>
      <c r="L716" s="248"/>
      <c r="M716" s="248"/>
      <c r="N716" s="248"/>
      <c r="P716" s="248"/>
      <c r="Q716" s="248"/>
    </row>
    <row r="717">
      <c r="A717" s="248"/>
      <c r="B717" s="248"/>
      <c r="C717" s="248"/>
      <c r="D717" s="248"/>
      <c r="E717" s="248"/>
      <c r="F717" s="248"/>
      <c r="G717" s="248"/>
      <c r="I717" s="248"/>
      <c r="J717" s="248"/>
      <c r="K717" s="248"/>
      <c r="L717" s="248"/>
      <c r="M717" s="248"/>
      <c r="N717" s="248"/>
      <c r="P717" s="248"/>
      <c r="Q717" s="248"/>
    </row>
    <row r="718">
      <c r="A718" s="248"/>
      <c r="B718" s="248"/>
      <c r="C718" s="248"/>
      <c r="D718" s="248"/>
      <c r="E718" s="248"/>
      <c r="F718" s="248"/>
      <c r="G718" s="248"/>
      <c r="I718" s="248"/>
      <c r="J718" s="248"/>
      <c r="K718" s="248"/>
      <c r="L718" s="248"/>
      <c r="M718" s="248"/>
      <c r="N718" s="248"/>
      <c r="P718" s="248"/>
      <c r="Q718" s="248"/>
    </row>
    <row r="719">
      <c r="A719" s="248"/>
      <c r="B719" s="248"/>
      <c r="C719" s="248"/>
      <c r="D719" s="248"/>
      <c r="E719" s="248"/>
      <c r="F719" s="248"/>
      <c r="G719" s="248"/>
      <c r="I719" s="248"/>
      <c r="J719" s="248"/>
      <c r="K719" s="248"/>
      <c r="L719" s="248"/>
      <c r="M719" s="248"/>
      <c r="N719" s="248"/>
      <c r="P719" s="248"/>
      <c r="Q719" s="248"/>
    </row>
    <row r="720">
      <c r="A720" s="248"/>
      <c r="B720" s="248"/>
      <c r="C720" s="248"/>
      <c r="D720" s="248"/>
      <c r="E720" s="248"/>
      <c r="F720" s="248"/>
      <c r="G720" s="248"/>
      <c r="I720" s="248"/>
      <c r="J720" s="248"/>
      <c r="K720" s="248"/>
      <c r="L720" s="248"/>
      <c r="M720" s="248"/>
      <c r="N720" s="248"/>
      <c r="P720" s="248"/>
      <c r="Q720" s="248"/>
    </row>
    <row r="721">
      <c r="A721" s="248"/>
      <c r="B721" s="248"/>
      <c r="C721" s="248"/>
      <c r="D721" s="248"/>
      <c r="E721" s="248"/>
      <c r="F721" s="248"/>
      <c r="G721" s="248"/>
      <c r="I721" s="248"/>
      <c r="J721" s="248"/>
      <c r="K721" s="248"/>
      <c r="L721" s="248"/>
      <c r="M721" s="248"/>
      <c r="N721" s="248"/>
      <c r="P721" s="248"/>
      <c r="Q721" s="248"/>
    </row>
    <row r="722">
      <c r="A722" s="248"/>
      <c r="B722" s="248"/>
      <c r="C722" s="248"/>
      <c r="D722" s="248"/>
      <c r="E722" s="248"/>
      <c r="F722" s="248"/>
      <c r="G722" s="248"/>
      <c r="I722" s="248"/>
      <c r="J722" s="248"/>
      <c r="K722" s="248"/>
      <c r="L722" s="248"/>
      <c r="M722" s="248"/>
      <c r="N722" s="248"/>
      <c r="P722" s="248"/>
      <c r="Q722" s="248"/>
    </row>
    <row r="723">
      <c r="A723" s="248"/>
      <c r="B723" s="248"/>
      <c r="C723" s="248"/>
      <c r="D723" s="248"/>
      <c r="E723" s="248"/>
      <c r="F723" s="248"/>
      <c r="G723" s="248"/>
      <c r="I723" s="248"/>
      <c r="J723" s="248"/>
      <c r="K723" s="248"/>
      <c r="L723" s="248"/>
      <c r="M723" s="248"/>
      <c r="N723" s="248"/>
      <c r="P723" s="248"/>
      <c r="Q723" s="248"/>
    </row>
    <row r="724">
      <c r="A724" s="248"/>
      <c r="B724" s="248"/>
      <c r="C724" s="248"/>
      <c r="D724" s="248"/>
      <c r="E724" s="248"/>
      <c r="F724" s="248"/>
      <c r="G724" s="248"/>
      <c r="I724" s="248"/>
      <c r="J724" s="248"/>
      <c r="K724" s="248"/>
      <c r="L724" s="248"/>
      <c r="M724" s="248"/>
      <c r="N724" s="248"/>
      <c r="P724" s="248"/>
      <c r="Q724" s="248"/>
    </row>
    <row r="725">
      <c r="A725" s="248"/>
      <c r="B725" s="248"/>
      <c r="C725" s="248"/>
      <c r="D725" s="248"/>
      <c r="E725" s="248"/>
      <c r="F725" s="248"/>
      <c r="G725" s="248"/>
      <c r="I725" s="248"/>
      <c r="J725" s="248"/>
      <c r="K725" s="248"/>
      <c r="L725" s="248"/>
      <c r="M725" s="248"/>
      <c r="N725" s="248"/>
      <c r="P725" s="248"/>
      <c r="Q725" s="248"/>
    </row>
    <row r="726">
      <c r="A726" s="248"/>
      <c r="B726" s="248"/>
      <c r="C726" s="248"/>
      <c r="D726" s="248"/>
      <c r="E726" s="248"/>
      <c r="F726" s="248"/>
      <c r="G726" s="248"/>
      <c r="I726" s="248"/>
      <c r="J726" s="248"/>
      <c r="K726" s="248"/>
      <c r="L726" s="248"/>
      <c r="M726" s="248"/>
      <c r="N726" s="248"/>
      <c r="P726" s="248"/>
      <c r="Q726" s="248"/>
    </row>
    <row r="727">
      <c r="A727" s="248"/>
      <c r="B727" s="248"/>
      <c r="C727" s="248"/>
      <c r="D727" s="248"/>
      <c r="E727" s="248"/>
      <c r="F727" s="248"/>
      <c r="G727" s="248"/>
      <c r="I727" s="248"/>
      <c r="J727" s="248"/>
      <c r="K727" s="248"/>
      <c r="L727" s="248"/>
      <c r="M727" s="248"/>
      <c r="N727" s="248"/>
      <c r="P727" s="248"/>
      <c r="Q727" s="248"/>
    </row>
    <row r="728">
      <c r="A728" s="248"/>
      <c r="B728" s="248"/>
      <c r="C728" s="248"/>
      <c r="D728" s="248"/>
      <c r="E728" s="248"/>
      <c r="F728" s="248"/>
      <c r="G728" s="248"/>
      <c r="I728" s="248"/>
      <c r="J728" s="248"/>
      <c r="K728" s="248"/>
      <c r="L728" s="248"/>
      <c r="M728" s="248"/>
      <c r="N728" s="248"/>
      <c r="P728" s="248"/>
      <c r="Q728" s="248"/>
    </row>
    <row r="729">
      <c r="A729" s="248"/>
      <c r="B729" s="248"/>
      <c r="C729" s="248"/>
      <c r="D729" s="248"/>
      <c r="E729" s="248"/>
      <c r="F729" s="248"/>
      <c r="G729" s="248"/>
      <c r="I729" s="248"/>
      <c r="J729" s="248"/>
      <c r="K729" s="248"/>
      <c r="L729" s="248"/>
      <c r="M729" s="248"/>
      <c r="N729" s="248"/>
      <c r="P729" s="248"/>
      <c r="Q729" s="248"/>
    </row>
    <row r="730">
      <c r="A730" s="248"/>
      <c r="B730" s="248"/>
      <c r="C730" s="248"/>
      <c r="D730" s="248"/>
      <c r="E730" s="248"/>
      <c r="F730" s="248"/>
      <c r="G730" s="248"/>
      <c r="I730" s="248"/>
      <c r="J730" s="248"/>
      <c r="K730" s="248"/>
      <c r="L730" s="248"/>
      <c r="M730" s="248"/>
      <c r="N730" s="248"/>
      <c r="P730" s="248"/>
      <c r="Q730" s="248"/>
    </row>
    <row r="731">
      <c r="A731" s="248"/>
      <c r="B731" s="248"/>
      <c r="C731" s="248"/>
      <c r="D731" s="248"/>
      <c r="E731" s="248"/>
      <c r="F731" s="248"/>
      <c r="G731" s="248"/>
      <c r="I731" s="248"/>
      <c r="J731" s="248"/>
      <c r="K731" s="248"/>
      <c r="L731" s="248"/>
      <c r="M731" s="248"/>
      <c r="N731" s="248"/>
      <c r="P731" s="248"/>
      <c r="Q731" s="248"/>
    </row>
    <row r="732">
      <c r="A732" s="248"/>
      <c r="B732" s="248"/>
      <c r="C732" s="248"/>
      <c r="D732" s="248"/>
      <c r="E732" s="248"/>
      <c r="F732" s="248"/>
      <c r="G732" s="248"/>
      <c r="I732" s="248"/>
      <c r="J732" s="248"/>
      <c r="K732" s="248"/>
      <c r="L732" s="248"/>
      <c r="M732" s="248"/>
      <c r="N732" s="248"/>
      <c r="P732" s="248"/>
      <c r="Q732" s="248"/>
    </row>
    <row r="733">
      <c r="A733" s="248"/>
      <c r="B733" s="248"/>
      <c r="C733" s="248"/>
      <c r="D733" s="248"/>
      <c r="E733" s="248"/>
      <c r="F733" s="248"/>
      <c r="G733" s="248"/>
      <c r="I733" s="248"/>
      <c r="J733" s="248"/>
      <c r="K733" s="248"/>
      <c r="L733" s="248"/>
      <c r="M733" s="248"/>
      <c r="N733" s="248"/>
      <c r="P733" s="248"/>
      <c r="Q733" s="248"/>
    </row>
    <row r="734">
      <c r="A734" s="248"/>
      <c r="B734" s="248"/>
      <c r="C734" s="248"/>
      <c r="D734" s="248"/>
      <c r="E734" s="248"/>
      <c r="F734" s="248"/>
      <c r="G734" s="248"/>
      <c r="I734" s="248"/>
      <c r="J734" s="248"/>
      <c r="K734" s="248"/>
      <c r="L734" s="248"/>
      <c r="M734" s="248"/>
      <c r="N734" s="248"/>
      <c r="P734" s="248"/>
      <c r="Q734" s="248"/>
    </row>
    <row r="735">
      <c r="A735" s="248"/>
      <c r="B735" s="248"/>
      <c r="C735" s="248"/>
      <c r="D735" s="248"/>
      <c r="E735" s="248"/>
      <c r="F735" s="248"/>
      <c r="G735" s="248"/>
      <c r="I735" s="248"/>
      <c r="J735" s="248"/>
      <c r="K735" s="248"/>
      <c r="L735" s="248"/>
      <c r="M735" s="248"/>
      <c r="N735" s="248"/>
      <c r="P735" s="248"/>
      <c r="Q735" s="248"/>
    </row>
    <row r="736">
      <c r="A736" s="248"/>
      <c r="B736" s="248"/>
      <c r="C736" s="248"/>
      <c r="D736" s="248"/>
      <c r="E736" s="248"/>
      <c r="F736" s="248"/>
      <c r="G736" s="248"/>
      <c r="I736" s="248"/>
      <c r="J736" s="248"/>
      <c r="K736" s="248"/>
      <c r="L736" s="248"/>
      <c r="M736" s="248"/>
      <c r="N736" s="248"/>
      <c r="P736" s="248"/>
      <c r="Q736" s="248"/>
    </row>
    <row r="737">
      <c r="A737" s="248"/>
      <c r="B737" s="248"/>
      <c r="C737" s="248"/>
      <c r="D737" s="248"/>
      <c r="E737" s="248"/>
      <c r="F737" s="248"/>
      <c r="G737" s="248"/>
      <c r="I737" s="248"/>
      <c r="J737" s="248"/>
      <c r="K737" s="248"/>
      <c r="L737" s="248"/>
      <c r="M737" s="248"/>
      <c r="N737" s="248"/>
      <c r="P737" s="248"/>
      <c r="Q737" s="248"/>
    </row>
    <row r="738">
      <c r="A738" s="248"/>
      <c r="B738" s="248"/>
      <c r="C738" s="248"/>
      <c r="D738" s="248"/>
      <c r="E738" s="248"/>
      <c r="F738" s="248"/>
      <c r="G738" s="248"/>
      <c r="I738" s="248"/>
      <c r="J738" s="248"/>
      <c r="K738" s="248"/>
      <c r="L738" s="248"/>
      <c r="M738" s="248"/>
      <c r="N738" s="248"/>
      <c r="P738" s="248"/>
      <c r="Q738" s="248"/>
    </row>
    <row r="739">
      <c r="A739" s="248"/>
      <c r="B739" s="248"/>
      <c r="C739" s="248"/>
      <c r="D739" s="248"/>
      <c r="E739" s="248"/>
      <c r="F739" s="248"/>
      <c r="G739" s="248"/>
      <c r="I739" s="248"/>
      <c r="J739" s="248"/>
      <c r="K739" s="248"/>
      <c r="L739" s="248"/>
      <c r="M739" s="248"/>
      <c r="N739" s="248"/>
      <c r="P739" s="248"/>
      <c r="Q739" s="248"/>
    </row>
    <row r="740">
      <c r="A740" s="248"/>
      <c r="B740" s="248"/>
      <c r="C740" s="248"/>
      <c r="D740" s="248"/>
      <c r="E740" s="248"/>
      <c r="F740" s="248"/>
      <c r="G740" s="248"/>
      <c r="I740" s="248"/>
      <c r="J740" s="248"/>
      <c r="K740" s="248"/>
      <c r="L740" s="248"/>
      <c r="M740" s="248"/>
      <c r="N740" s="248"/>
      <c r="P740" s="248"/>
      <c r="Q740" s="248"/>
    </row>
    <row r="741">
      <c r="A741" s="248"/>
      <c r="B741" s="248"/>
      <c r="C741" s="248"/>
      <c r="D741" s="248"/>
      <c r="E741" s="248"/>
      <c r="F741" s="248"/>
      <c r="G741" s="248"/>
      <c r="I741" s="248"/>
      <c r="J741" s="248"/>
      <c r="K741" s="248"/>
      <c r="L741" s="248"/>
      <c r="M741" s="248"/>
      <c r="N741" s="248"/>
      <c r="P741" s="248"/>
      <c r="Q741" s="248"/>
    </row>
    <row r="742">
      <c r="A742" s="248"/>
      <c r="B742" s="248"/>
      <c r="C742" s="248"/>
      <c r="D742" s="248"/>
      <c r="E742" s="248"/>
      <c r="F742" s="248"/>
      <c r="G742" s="248"/>
      <c r="I742" s="248"/>
      <c r="J742" s="248"/>
      <c r="K742" s="248"/>
      <c r="L742" s="248"/>
      <c r="M742" s="248"/>
      <c r="N742" s="248"/>
      <c r="P742" s="248"/>
      <c r="Q742" s="248"/>
    </row>
    <row r="743">
      <c r="A743" s="248"/>
      <c r="B743" s="248"/>
      <c r="C743" s="248"/>
      <c r="D743" s="248"/>
      <c r="E743" s="248"/>
      <c r="F743" s="248"/>
      <c r="G743" s="248"/>
      <c r="I743" s="248"/>
      <c r="J743" s="248"/>
      <c r="K743" s="248"/>
      <c r="L743" s="248"/>
      <c r="M743" s="248"/>
      <c r="N743" s="248"/>
      <c r="P743" s="248"/>
      <c r="Q743" s="248"/>
    </row>
    <row r="744">
      <c r="A744" s="248"/>
      <c r="B744" s="248"/>
      <c r="C744" s="248"/>
      <c r="D744" s="248"/>
      <c r="E744" s="248"/>
      <c r="F744" s="248"/>
      <c r="G744" s="248"/>
      <c r="I744" s="248"/>
      <c r="J744" s="248"/>
      <c r="K744" s="248"/>
      <c r="L744" s="248"/>
      <c r="M744" s="248"/>
      <c r="N744" s="248"/>
      <c r="P744" s="248"/>
      <c r="Q744" s="248"/>
    </row>
    <row r="745">
      <c r="A745" s="248"/>
      <c r="B745" s="248"/>
      <c r="C745" s="248"/>
      <c r="D745" s="248"/>
      <c r="E745" s="248"/>
      <c r="F745" s="248"/>
      <c r="G745" s="248"/>
      <c r="I745" s="248"/>
      <c r="J745" s="248"/>
      <c r="K745" s="248"/>
      <c r="L745" s="248"/>
      <c r="M745" s="248"/>
      <c r="N745" s="248"/>
      <c r="P745" s="248"/>
      <c r="Q745" s="248"/>
    </row>
    <row r="746">
      <c r="A746" s="248"/>
      <c r="B746" s="248"/>
      <c r="C746" s="248"/>
      <c r="D746" s="248"/>
      <c r="E746" s="248"/>
      <c r="F746" s="248"/>
      <c r="G746" s="248"/>
      <c r="I746" s="248"/>
      <c r="J746" s="248"/>
      <c r="K746" s="248"/>
      <c r="L746" s="248"/>
      <c r="M746" s="248"/>
      <c r="N746" s="248"/>
      <c r="P746" s="248"/>
      <c r="Q746" s="248"/>
    </row>
    <row r="747">
      <c r="A747" s="248"/>
      <c r="B747" s="248"/>
      <c r="C747" s="248"/>
      <c r="D747" s="248"/>
      <c r="E747" s="248"/>
      <c r="F747" s="248"/>
      <c r="G747" s="248"/>
      <c r="I747" s="248"/>
      <c r="J747" s="248"/>
      <c r="K747" s="248"/>
      <c r="L747" s="248"/>
      <c r="M747" s="248"/>
      <c r="N747" s="248"/>
      <c r="P747" s="248"/>
      <c r="Q747" s="248"/>
    </row>
    <row r="748">
      <c r="A748" s="248"/>
      <c r="B748" s="248"/>
      <c r="C748" s="248"/>
      <c r="D748" s="248"/>
      <c r="E748" s="248"/>
      <c r="F748" s="248"/>
      <c r="G748" s="248"/>
      <c r="I748" s="248"/>
      <c r="J748" s="248"/>
      <c r="K748" s="248"/>
      <c r="L748" s="248"/>
      <c r="M748" s="248"/>
      <c r="N748" s="248"/>
      <c r="P748" s="248"/>
      <c r="Q748" s="248"/>
    </row>
    <row r="749">
      <c r="A749" s="248"/>
      <c r="B749" s="248"/>
      <c r="C749" s="248"/>
      <c r="D749" s="248"/>
      <c r="E749" s="248"/>
      <c r="F749" s="248"/>
      <c r="G749" s="248"/>
      <c r="I749" s="248"/>
      <c r="J749" s="248"/>
      <c r="K749" s="248"/>
      <c r="L749" s="248"/>
      <c r="M749" s="248"/>
      <c r="N749" s="248"/>
      <c r="P749" s="248"/>
      <c r="Q749" s="248"/>
    </row>
    <row r="750">
      <c r="A750" s="248"/>
      <c r="B750" s="248"/>
      <c r="C750" s="248"/>
      <c r="D750" s="248"/>
      <c r="E750" s="248"/>
      <c r="F750" s="248"/>
      <c r="G750" s="248"/>
      <c r="I750" s="248"/>
      <c r="J750" s="248"/>
      <c r="K750" s="248"/>
      <c r="L750" s="248"/>
      <c r="M750" s="248"/>
      <c r="N750" s="248"/>
      <c r="P750" s="248"/>
      <c r="Q750" s="248"/>
    </row>
    <row r="751">
      <c r="A751" s="248"/>
      <c r="B751" s="248"/>
      <c r="C751" s="248"/>
      <c r="D751" s="248"/>
      <c r="E751" s="248"/>
      <c r="F751" s="248"/>
      <c r="G751" s="248"/>
      <c r="I751" s="248"/>
      <c r="J751" s="248"/>
      <c r="K751" s="248"/>
      <c r="L751" s="248"/>
      <c r="M751" s="248"/>
      <c r="N751" s="248"/>
      <c r="P751" s="248"/>
      <c r="Q751" s="248"/>
    </row>
    <row r="752">
      <c r="A752" s="248"/>
      <c r="B752" s="248"/>
      <c r="C752" s="248"/>
      <c r="D752" s="248"/>
      <c r="E752" s="248"/>
      <c r="F752" s="248"/>
      <c r="G752" s="248"/>
      <c r="I752" s="248"/>
      <c r="J752" s="248"/>
      <c r="K752" s="248"/>
      <c r="L752" s="248"/>
      <c r="M752" s="248"/>
      <c r="N752" s="248"/>
      <c r="P752" s="248"/>
      <c r="Q752" s="248"/>
    </row>
    <row r="753">
      <c r="A753" s="248"/>
      <c r="B753" s="248"/>
      <c r="C753" s="248"/>
      <c r="D753" s="248"/>
      <c r="E753" s="248"/>
      <c r="F753" s="248"/>
      <c r="G753" s="248"/>
      <c r="I753" s="248"/>
      <c r="J753" s="248"/>
      <c r="K753" s="248"/>
      <c r="L753" s="248"/>
      <c r="M753" s="248"/>
      <c r="N753" s="248"/>
      <c r="P753" s="248"/>
      <c r="Q753" s="248"/>
    </row>
    <row r="754">
      <c r="A754" s="248"/>
      <c r="B754" s="248"/>
      <c r="C754" s="248"/>
      <c r="D754" s="248"/>
      <c r="E754" s="248"/>
      <c r="F754" s="248"/>
      <c r="G754" s="248"/>
      <c r="I754" s="248"/>
      <c r="J754" s="248"/>
      <c r="K754" s="248"/>
      <c r="L754" s="248"/>
      <c r="M754" s="248"/>
      <c r="N754" s="248"/>
      <c r="P754" s="248"/>
      <c r="Q754" s="248"/>
    </row>
    <row r="755">
      <c r="A755" s="248"/>
      <c r="B755" s="248"/>
      <c r="C755" s="248"/>
      <c r="D755" s="248"/>
      <c r="E755" s="248"/>
      <c r="F755" s="248"/>
      <c r="G755" s="248"/>
      <c r="I755" s="248"/>
      <c r="J755" s="248"/>
      <c r="K755" s="248"/>
      <c r="L755" s="248"/>
      <c r="M755" s="248"/>
      <c r="N755" s="248"/>
      <c r="P755" s="248"/>
      <c r="Q755" s="248"/>
    </row>
    <row r="756">
      <c r="A756" s="248"/>
      <c r="B756" s="248"/>
      <c r="C756" s="248"/>
      <c r="D756" s="248"/>
      <c r="E756" s="248"/>
      <c r="F756" s="248"/>
      <c r="G756" s="248"/>
      <c r="I756" s="248"/>
      <c r="J756" s="248"/>
      <c r="K756" s="248"/>
      <c r="L756" s="248"/>
      <c r="M756" s="248"/>
      <c r="N756" s="248"/>
      <c r="P756" s="248"/>
      <c r="Q756" s="248"/>
    </row>
    <row r="757">
      <c r="A757" s="248"/>
      <c r="B757" s="248"/>
      <c r="C757" s="248"/>
      <c r="D757" s="248"/>
      <c r="E757" s="248"/>
      <c r="F757" s="248"/>
      <c r="G757" s="248"/>
      <c r="I757" s="248"/>
      <c r="J757" s="248"/>
      <c r="K757" s="248"/>
      <c r="L757" s="248"/>
      <c r="M757" s="248"/>
      <c r="N757" s="248"/>
      <c r="P757" s="248"/>
      <c r="Q757" s="248"/>
    </row>
    <row r="758">
      <c r="A758" s="248"/>
      <c r="B758" s="248"/>
      <c r="C758" s="248"/>
      <c r="D758" s="248"/>
      <c r="E758" s="248"/>
      <c r="F758" s="248"/>
      <c r="G758" s="248"/>
      <c r="I758" s="248"/>
      <c r="J758" s="248"/>
      <c r="K758" s="248"/>
      <c r="L758" s="248"/>
      <c r="M758" s="248"/>
      <c r="N758" s="248"/>
      <c r="P758" s="248"/>
      <c r="Q758" s="248"/>
    </row>
    <row r="759">
      <c r="A759" s="248"/>
      <c r="B759" s="248"/>
      <c r="C759" s="248"/>
      <c r="D759" s="248"/>
      <c r="E759" s="248"/>
      <c r="F759" s="248"/>
      <c r="G759" s="248"/>
      <c r="I759" s="248"/>
      <c r="J759" s="248"/>
      <c r="K759" s="248"/>
      <c r="L759" s="248"/>
      <c r="M759" s="248"/>
      <c r="N759" s="248"/>
      <c r="P759" s="248"/>
      <c r="Q759" s="248"/>
    </row>
    <row r="760">
      <c r="A760" s="248"/>
      <c r="B760" s="248"/>
      <c r="C760" s="248"/>
      <c r="D760" s="248"/>
      <c r="E760" s="248"/>
      <c r="F760" s="248"/>
      <c r="G760" s="248"/>
      <c r="I760" s="248"/>
      <c r="J760" s="248"/>
      <c r="K760" s="248"/>
      <c r="L760" s="248"/>
      <c r="M760" s="248"/>
      <c r="N760" s="248"/>
      <c r="P760" s="248"/>
      <c r="Q760" s="248"/>
    </row>
    <row r="761">
      <c r="A761" s="248"/>
      <c r="B761" s="248"/>
      <c r="C761" s="248"/>
      <c r="D761" s="248"/>
      <c r="E761" s="248"/>
      <c r="F761" s="248"/>
      <c r="G761" s="248"/>
      <c r="I761" s="248"/>
      <c r="J761" s="248"/>
      <c r="K761" s="248"/>
      <c r="L761" s="248"/>
      <c r="M761" s="248"/>
      <c r="N761" s="248"/>
      <c r="P761" s="248"/>
      <c r="Q761" s="248"/>
    </row>
    <row r="762">
      <c r="A762" s="248"/>
      <c r="B762" s="248"/>
      <c r="C762" s="248"/>
      <c r="D762" s="248"/>
      <c r="E762" s="248"/>
      <c r="F762" s="248"/>
      <c r="G762" s="248"/>
      <c r="I762" s="248"/>
      <c r="J762" s="248"/>
      <c r="K762" s="248"/>
      <c r="L762" s="248"/>
      <c r="M762" s="248"/>
      <c r="N762" s="248"/>
      <c r="P762" s="248"/>
      <c r="Q762" s="248"/>
    </row>
    <row r="763">
      <c r="A763" s="248"/>
      <c r="B763" s="248"/>
      <c r="C763" s="248"/>
      <c r="D763" s="248"/>
      <c r="E763" s="248"/>
      <c r="F763" s="248"/>
      <c r="G763" s="248"/>
      <c r="I763" s="248"/>
      <c r="J763" s="248"/>
      <c r="K763" s="248"/>
      <c r="L763" s="248"/>
      <c r="M763" s="248"/>
      <c r="N763" s="248"/>
      <c r="P763" s="248"/>
      <c r="Q763" s="248"/>
    </row>
    <row r="764">
      <c r="A764" s="248"/>
      <c r="B764" s="248"/>
      <c r="C764" s="248"/>
      <c r="D764" s="248"/>
      <c r="E764" s="248"/>
      <c r="F764" s="248"/>
      <c r="G764" s="248"/>
      <c r="I764" s="248"/>
      <c r="J764" s="248"/>
      <c r="K764" s="248"/>
      <c r="L764" s="248"/>
      <c r="M764" s="248"/>
      <c r="N764" s="248"/>
      <c r="P764" s="248"/>
      <c r="Q764" s="248"/>
    </row>
    <row r="765">
      <c r="A765" s="248"/>
      <c r="B765" s="248"/>
      <c r="C765" s="248"/>
      <c r="D765" s="248"/>
      <c r="E765" s="248"/>
      <c r="F765" s="248"/>
      <c r="G765" s="248"/>
      <c r="I765" s="248"/>
      <c r="J765" s="248"/>
      <c r="K765" s="248"/>
      <c r="L765" s="248"/>
      <c r="M765" s="248"/>
      <c r="N765" s="248"/>
      <c r="P765" s="248"/>
      <c r="Q765" s="248"/>
    </row>
    <row r="766">
      <c r="A766" s="248"/>
      <c r="B766" s="248"/>
      <c r="C766" s="248"/>
      <c r="D766" s="248"/>
      <c r="E766" s="248"/>
      <c r="F766" s="248"/>
      <c r="G766" s="248"/>
      <c r="I766" s="248"/>
      <c r="J766" s="248"/>
      <c r="K766" s="248"/>
      <c r="L766" s="248"/>
      <c r="M766" s="248"/>
      <c r="N766" s="248"/>
      <c r="P766" s="248"/>
      <c r="Q766" s="248"/>
    </row>
    <row r="767">
      <c r="A767" s="248"/>
      <c r="B767" s="248"/>
      <c r="C767" s="248"/>
      <c r="D767" s="248"/>
      <c r="E767" s="248"/>
      <c r="F767" s="248"/>
      <c r="G767" s="248"/>
      <c r="I767" s="248"/>
      <c r="J767" s="248"/>
      <c r="K767" s="248"/>
      <c r="L767" s="248"/>
      <c r="M767" s="248"/>
      <c r="N767" s="248"/>
      <c r="P767" s="248"/>
      <c r="Q767" s="248"/>
    </row>
    <row r="768">
      <c r="A768" s="248"/>
      <c r="B768" s="248"/>
      <c r="C768" s="248"/>
      <c r="D768" s="248"/>
      <c r="E768" s="248"/>
      <c r="F768" s="248"/>
      <c r="G768" s="248"/>
      <c r="I768" s="248"/>
      <c r="J768" s="248"/>
      <c r="K768" s="248"/>
      <c r="L768" s="248"/>
      <c r="M768" s="248"/>
      <c r="N768" s="248"/>
      <c r="P768" s="248"/>
      <c r="Q768" s="248"/>
    </row>
    <row r="769">
      <c r="A769" s="248"/>
      <c r="B769" s="248"/>
      <c r="C769" s="248"/>
      <c r="D769" s="248"/>
      <c r="E769" s="248"/>
      <c r="F769" s="248"/>
      <c r="G769" s="248"/>
      <c r="I769" s="248"/>
      <c r="J769" s="248"/>
      <c r="K769" s="248"/>
      <c r="L769" s="248"/>
      <c r="M769" s="248"/>
      <c r="N769" s="248"/>
      <c r="P769" s="248"/>
      <c r="Q769" s="248"/>
    </row>
    <row r="770">
      <c r="A770" s="248"/>
      <c r="B770" s="248"/>
      <c r="C770" s="248"/>
      <c r="D770" s="248"/>
      <c r="E770" s="248"/>
      <c r="F770" s="248"/>
      <c r="G770" s="248"/>
      <c r="I770" s="248"/>
      <c r="J770" s="248"/>
      <c r="K770" s="248"/>
      <c r="L770" s="248"/>
      <c r="M770" s="248"/>
      <c r="N770" s="248"/>
      <c r="P770" s="248"/>
      <c r="Q770" s="248"/>
    </row>
    <row r="771">
      <c r="A771" s="248"/>
      <c r="B771" s="248"/>
      <c r="C771" s="248"/>
      <c r="D771" s="248"/>
      <c r="E771" s="248"/>
      <c r="F771" s="248"/>
      <c r="G771" s="248"/>
      <c r="I771" s="248"/>
      <c r="J771" s="248"/>
      <c r="K771" s="248"/>
      <c r="L771" s="248"/>
      <c r="M771" s="248"/>
      <c r="N771" s="248"/>
      <c r="P771" s="248"/>
      <c r="Q771" s="248"/>
    </row>
    <row r="772">
      <c r="A772" s="248"/>
      <c r="B772" s="248"/>
      <c r="C772" s="248"/>
      <c r="D772" s="248"/>
      <c r="E772" s="248"/>
      <c r="F772" s="248"/>
      <c r="G772" s="248"/>
      <c r="I772" s="248"/>
      <c r="J772" s="248"/>
      <c r="K772" s="248"/>
      <c r="L772" s="248"/>
      <c r="M772" s="248"/>
      <c r="N772" s="248"/>
      <c r="P772" s="248"/>
      <c r="Q772" s="248"/>
    </row>
    <row r="773">
      <c r="A773" s="248"/>
      <c r="B773" s="248"/>
      <c r="C773" s="248"/>
      <c r="D773" s="248"/>
      <c r="E773" s="248"/>
      <c r="F773" s="248"/>
      <c r="G773" s="248"/>
      <c r="I773" s="248"/>
      <c r="J773" s="248"/>
      <c r="K773" s="248"/>
      <c r="L773" s="248"/>
      <c r="M773" s="248"/>
      <c r="N773" s="248"/>
      <c r="P773" s="248"/>
      <c r="Q773" s="248"/>
    </row>
    <row r="774">
      <c r="A774" s="248"/>
      <c r="B774" s="248"/>
      <c r="C774" s="248"/>
      <c r="D774" s="248"/>
      <c r="E774" s="248"/>
      <c r="F774" s="248"/>
      <c r="G774" s="248"/>
      <c r="I774" s="248"/>
      <c r="J774" s="248"/>
      <c r="K774" s="248"/>
      <c r="L774" s="248"/>
      <c r="M774" s="248"/>
      <c r="N774" s="248"/>
      <c r="P774" s="248"/>
      <c r="Q774" s="248"/>
    </row>
    <row r="775">
      <c r="A775" s="248"/>
      <c r="B775" s="248"/>
      <c r="C775" s="248"/>
      <c r="D775" s="248"/>
      <c r="E775" s="248"/>
      <c r="F775" s="248"/>
      <c r="G775" s="248"/>
      <c r="I775" s="248"/>
      <c r="J775" s="248"/>
      <c r="K775" s="248"/>
      <c r="L775" s="248"/>
      <c r="M775" s="248"/>
      <c r="N775" s="248"/>
      <c r="P775" s="248"/>
      <c r="Q775" s="248"/>
    </row>
    <row r="776">
      <c r="A776" s="248"/>
      <c r="B776" s="248"/>
      <c r="C776" s="248"/>
      <c r="D776" s="248"/>
      <c r="E776" s="248"/>
      <c r="F776" s="248"/>
      <c r="G776" s="248"/>
      <c r="I776" s="248"/>
      <c r="J776" s="248"/>
      <c r="K776" s="248"/>
      <c r="L776" s="248"/>
      <c r="M776" s="248"/>
      <c r="N776" s="248"/>
      <c r="P776" s="248"/>
      <c r="Q776" s="248"/>
    </row>
    <row r="777">
      <c r="A777" s="248"/>
      <c r="B777" s="248"/>
      <c r="C777" s="248"/>
      <c r="D777" s="248"/>
      <c r="E777" s="248"/>
      <c r="F777" s="248"/>
      <c r="G777" s="248"/>
      <c r="I777" s="248"/>
      <c r="J777" s="248"/>
      <c r="K777" s="248"/>
      <c r="L777" s="248"/>
      <c r="M777" s="248"/>
      <c r="N777" s="248"/>
      <c r="P777" s="248"/>
      <c r="Q777" s="248"/>
    </row>
    <row r="778">
      <c r="A778" s="248"/>
      <c r="B778" s="248"/>
      <c r="C778" s="248"/>
      <c r="D778" s="248"/>
      <c r="E778" s="248"/>
      <c r="F778" s="248"/>
      <c r="G778" s="248"/>
      <c r="I778" s="248"/>
      <c r="J778" s="248"/>
      <c r="K778" s="248"/>
      <c r="L778" s="248"/>
      <c r="M778" s="248"/>
      <c r="N778" s="248"/>
      <c r="P778" s="248"/>
      <c r="Q778" s="248"/>
    </row>
    <row r="779">
      <c r="A779" s="248"/>
      <c r="B779" s="248"/>
      <c r="C779" s="248"/>
      <c r="D779" s="248"/>
      <c r="E779" s="248"/>
      <c r="F779" s="248"/>
      <c r="G779" s="248"/>
      <c r="I779" s="248"/>
      <c r="J779" s="248"/>
      <c r="K779" s="248"/>
      <c r="L779" s="248"/>
      <c r="M779" s="248"/>
      <c r="N779" s="248"/>
      <c r="P779" s="248"/>
      <c r="Q779" s="248"/>
    </row>
    <row r="780">
      <c r="A780" s="248"/>
      <c r="B780" s="248"/>
      <c r="C780" s="248"/>
      <c r="D780" s="248"/>
      <c r="E780" s="248"/>
      <c r="F780" s="248"/>
      <c r="G780" s="248"/>
      <c r="I780" s="248"/>
      <c r="J780" s="248"/>
      <c r="K780" s="248"/>
      <c r="L780" s="248"/>
      <c r="M780" s="248"/>
      <c r="N780" s="248"/>
      <c r="P780" s="248"/>
      <c r="Q780" s="248"/>
    </row>
    <row r="781">
      <c r="A781" s="248"/>
      <c r="B781" s="248"/>
      <c r="C781" s="248"/>
      <c r="D781" s="248"/>
      <c r="E781" s="248"/>
      <c r="F781" s="248"/>
      <c r="G781" s="248"/>
      <c r="I781" s="248"/>
      <c r="J781" s="248"/>
      <c r="K781" s="248"/>
      <c r="L781" s="248"/>
      <c r="M781" s="248"/>
      <c r="N781" s="248"/>
      <c r="P781" s="248"/>
      <c r="Q781" s="248"/>
    </row>
    <row r="782">
      <c r="A782" s="248"/>
      <c r="B782" s="248"/>
      <c r="C782" s="248"/>
      <c r="D782" s="248"/>
      <c r="E782" s="248"/>
      <c r="F782" s="248"/>
      <c r="G782" s="248"/>
      <c r="I782" s="248"/>
      <c r="J782" s="248"/>
      <c r="K782" s="248"/>
      <c r="L782" s="248"/>
      <c r="M782" s="248"/>
      <c r="N782" s="248"/>
      <c r="P782" s="248"/>
      <c r="Q782" s="248"/>
    </row>
    <row r="783">
      <c r="A783" s="248"/>
      <c r="B783" s="248"/>
      <c r="C783" s="248"/>
      <c r="D783" s="248"/>
      <c r="E783" s="248"/>
      <c r="F783" s="248"/>
      <c r="G783" s="248"/>
      <c r="I783" s="248"/>
      <c r="J783" s="248"/>
      <c r="K783" s="248"/>
      <c r="L783" s="248"/>
      <c r="M783" s="248"/>
      <c r="N783" s="248"/>
      <c r="P783" s="248"/>
      <c r="Q783" s="248"/>
    </row>
    <row r="784">
      <c r="A784" s="248"/>
      <c r="B784" s="248"/>
      <c r="C784" s="248"/>
      <c r="D784" s="248"/>
      <c r="E784" s="248"/>
      <c r="F784" s="248"/>
      <c r="G784" s="248"/>
      <c r="I784" s="248"/>
      <c r="J784" s="248"/>
      <c r="K784" s="248"/>
      <c r="L784" s="248"/>
      <c r="M784" s="248"/>
      <c r="N784" s="248"/>
      <c r="P784" s="248"/>
      <c r="Q784" s="248"/>
    </row>
    <row r="785">
      <c r="A785" s="248"/>
      <c r="B785" s="248"/>
      <c r="C785" s="248"/>
      <c r="D785" s="248"/>
      <c r="E785" s="248"/>
      <c r="F785" s="248"/>
      <c r="G785" s="248"/>
      <c r="I785" s="248"/>
      <c r="J785" s="248"/>
      <c r="K785" s="248"/>
      <c r="L785" s="248"/>
      <c r="M785" s="248"/>
      <c r="N785" s="248"/>
      <c r="P785" s="248"/>
      <c r="Q785" s="248"/>
    </row>
    <row r="786">
      <c r="A786" s="248"/>
      <c r="B786" s="248"/>
      <c r="C786" s="248"/>
      <c r="D786" s="248"/>
      <c r="E786" s="248"/>
      <c r="F786" s="248"/>
      <c r="G786" s="248"/>
      <c r="I786" s="248"/>
      <c r="J786" s="248"/>
      <c r="K786" s="248"/>
      <c r="L786" s="248"/>
      <c r="M786" s="248"/>
      <c r="N786" s="248"/>
      <c r="P786" s="248"/>
      <c r="Q786" s="248"/>
    </row>
    <row r="787">
      <c r="A787" s="248"/>
      <c r="B787" s="248"/>
      <c r="C787" s="248"/>
      <c r="D787" s="248"/>
      <c r="E787" s="248"/>
      <c r="F787" s="248"/>
      <c r="G787" s="248"/>
      <c r="I787" s="248"/>
      <c r="J787" s="248"/>
      <c r="K787" s="248"/>
      <c r="L787" s="248"/>
      <c r="M787" s="248"/>
      <c r="N787" s="248"/>
      <c r="P787" s="248"/>
      <c r="Q787" s="248"/>
    </row>
    <row r="788">
      <c r="A788" s="248"/>
      <c r="B788" s="248"/>
      <c r="C788" s="248"/>
      <c r="D788" s="248"/>
      <c r="E788" s="248"/>
      <c r="F788" s="248"/>
      <c r="G788" s="248"/>
      <c r="I788" s="248"/>
      <c r="J788" s="248"/>
      <c r="K788" s="248"/>
      <c r="L788" s="248"/>
      <c r="M788" s="248"/>
      <c r="N788" s="248"/>
      <c r="P788" s="248"/>
      <c r="Q788" s="248"/>
    </row>
    <row r="789">
      <c r="A789" s="248"/>
      <c r="B789" s="248"/>
      <c r="C789" s="248"/>
      <c r="D789" s="248"/>
      <c r="E789" s="248"/>
      <c r="F789" s="248"/>
      <c r="G789" s="248"/>
      <c r="I789" s="248"/>
      <c r="J789" s="248"/>
      <c r="K789" s="248"/>
      <c r="L789" s="248"/>
      <c r="M789" s="248"/>
      <c r="N789" s="248"/>
      <c r="P789" s="248"/>
      <c r="Q789" s="248"/>
    </row>
    <row r="790">
      <c r="A790" s="248"/>
      <c r="B790" s="248"/>
      <c r="C790" s="248"/>
      <c r="D790" s="248"/>
      <c r="E790" s="248"/>
      <c r="F790" s="248"/>
      <c r="G790" s="248"/>
      <c r="I790" s="248"/>
      <c r="J790" s="248"/>
      <c r="K790" s="248"/>
      <c r="L790" s="248"/>
      <c r="M790" s="248"/>
      <c r="N790" s="248"/>
      <c r="P790" s="248"/>
      <c r="Q790" s="248"/>
    </row>
    <row r="791">
      <c r="A791" s="248"/>
      <c r="B791" s="248"/>
      <c r="C791" s="248"/>
      <c r="D791" s="248"/>
      <c r="E791" s="248"/>
      <c r="F791" s="248"/>
      <c r="G791" s="248"/>
      <c r="I791" s="248"/>
      <c r="J791" s="248"/>
      <c r="K791" s="248"/>
      <c r="L791" s="248"/>
      <c r="M791" s="248"/>
      <c r="N791" s="248"/>
      <c r="P791" s="248"/>
      <c r="Q791" s="248"/>
    </row>
    <row r="792">
      <c r="A792" s="248"/>
      <c r="B792" s="248"/>
      <c r="C792" s="248"/>
      <c r="D792" s="248"/>
      <c r="E792" s="248"/>
      <c r="F792" s="248"/>
      <c r="G792" s="248"/>
      <c r="I792" s="248"/>
      <c r="J792" s="248"/>
      <c r="K792" s="248"/>
      <c r="L792" s="248"/>
      <c r="M792" s="248"/>
      <c r="N792" s="248"/>
      <c r="P792" s="248"/>
      <c r="Q792" s="248"/>
    </row>
    <row r="793">
      <c r="A793" s="248"/>
      <c r="B793" s="248"/>
      <c r="C793" s="248"/>
      <c r="D793" s="248"/>
      <c r="E793" s="248"/>
      <c r="F793" s="248"/>
      <c r="G793" s="248"/>
      <c r="I793" s="248"/>
      <c r="J793" s="248"/>
      <c r="K793" s="248"/>
      <c r="L793" s="248"/>
      <c r="M793" s="248"/>
      <c r="N793" s="248"/>
      <c r="P793" s="248"/>
      <c r="Q793" s="248"/>
    </row>
    <row r="794">
      <c r="A794" s="248"/>
      <c r="B794" s="248"/>
      <c r="C794" s="248"/>
      <c r="D794" s="248"/>
      <c r="E794" s="248"/>
      <c r="F794" s="248"/>
      <c r="G794" s="248"/>
      <c r="I794" s="248"/>
      <c r="J794" s="248"/>
      <c r="K794" s="248"/>
      <c r="L794" s="248"/>
      <c r="M794" s="248"/>
      <c r="N794" s="248"/>
      <c r="P794" s="248"/>
      <c r="Q794" s="248"/>
    </row>
    <row r="795">
      <c r="A795" s="248"/>
      <c r="B795" s="248"/>
      <c r="C795" s="248"/>
      <c r="D795" s="248"/>
      <c r="E795" s="248"/>
      <c r="F795" s="248"/>
      <c r="G795" s="248"/>
      <c r="I795" s="248"/>
      <c r="J795" s="248"/>
      <c r="K795" s="248"/>
      <c r="L795" s="248"/>
      <c r="M795" s="248"/>
      <c r="N795" s="248"/>
      <c r="P795" s="248"/>
      <c r="Q795" s="248"/>
    </row>
    <row r="796">
      <c r="A796" s="248"/>
      <c r="B796" s="248"/>
      <c r="C796" s="248"/>
      <c r="D796" s="248"/>
      <c r="E796" s="248"/>
      <c r="F796" s="248"/>
      <c r="G796" s="248"/>
      <c r="I796" s="248"/>
      <c r="J796" s="248"/>
      <c r="K796" s="248"/>
      <c r="L796" s="248"/>
      <c r="M796" s="248"/>
      <c r="N796" s="248"/>
      <c r="P796" s="248"/>
      <c r="Q796" s="248"/>
    </row>
    <row r="797">
      <c r="A797" s="248"/>
      <c r="B797" s="248"/>
      <c r="C797" s="248"/>
      <c r="D797" s="248"/>
      <c r="E797" s="248"/>
      <c r="F797" s="248"/>
      <c r="G797" s="248"/>
      <c r="I797" s="248"/>
      <c r="J797" s="248"/>
      <c r="K797" s="248"/>
      <c r="L797" s="248"/>
      <c r="M797" s="248"/>
      <c r="N797" s="248"/>
      <c r="P797" s="248"/>
      <c r="Q797" s="248"/>
    </row>
    <row r="798">
      <c r="A798" s="248"/>
      <c r="B798" s="248"/>
      <c r="C798" s="248"/>
      <c r="D798" s="248"/>
      <c r="E798" s="248"/>
      <c r="F798" s="248"/>
      <c r="G798" s="248"/>
      <c r="I798" s="248"/>
      <c r="J798" s="248"/>
      <c r="K798" s="248"/>
      <c r="L798" s="248"/>
      <c r="M798" s="248"/>
      <c r="N798" s="248"/>
      <c r="P798" s="248"/>
      <c r="Q798" s="248"/>
    </row>
    <row r="799">
      <c r="A799" s="248"/>
      <c r="B799" s="248"/>
      <c r="C799" s="248"/>
      <c r="D799" s="248"/>
      <c r="E799" s="248"/>
      <c r="F799" s="248"/>
      <c r="G799" s="248"/>
      <c r="I799" s="248"/>
      <c r="J799" s="248"/>
      <c r="K799" s="248"/>
      <c r="L799" s="248"/>
      <c r="M799" s="248"/>
      <c r="N799" s="248"/>
      <c r="P799" s="248"/>
      <c r="Q799" s="248"/>
    </row>
    <row r="800">
      <c r="A800" s="248"/>
      <c r="B800" s="248"/>
      <c r="C800" s="248"/>
      <c r="D800" s="248"/>
      <c r="E800" s="248"/>
      <c r="F800" s="248"/>
      <c r="G800" s="248"/>
      <c r="I800" s="248"/>
      <c r="J800" s="248"/>
      <c r="K800" s="248"/>
      <c r="L800" s="248"/>
      <c r="M800" s="248"/>
      <c r="N800" s="248"/>
      <c r="P800" s="248"/>
      <c r="Q800" s="248"/>
    </row>
    <row r="801">
      <c r="A801" s="248"/>
      <c r="B801" s="248"/>
      <c r="C801" s="248"/>
      <c r="D801" s="248"/>
      <c r="E801" s="248"/>
      <c r="F801" s="248"/>
      <c r="G801" s="248"/>
      <c r="I801" s="248"/>
      <c r="J801" s="248"/>
      <c r="K801" s="248"/>
      <c r="L801" s="248"/>
      <c r="M801" s="248"/>
      <c r="N801" s="248"/>
      <c r="P801" s="248"/>
      <c r="Q801" s="248"/>
    </row>
    <row r="802">
      <c r="A802" s="248"/>
      <c r="B802" s="248"/>
      <c r="C802" s="248"/>
      <c r="D802" s="248"/>
      <c r="E802" s="248"/>
      <c r="F802" s="248"/>
      <c r="G802" s="248"/>
      <c r="I802" s="248"/>
      <c r="J802" s="248"/>
      <c r="K802" s="248"/>
      <c r="L802" s="248"/>
      <c r="M802" s="248"/>
      <c r="N802" s="248"/>
      <c r="P802" s="248"/>
      <c r="Q802" s="248"/>
    </row>
    <row r="803">
      <c r="A803" s="248"/>
      <c r="B803" s="248"/>
      <c r="C803" s="248"/>
      <c r="D803" s="248"/>
      <c r="E803" s="248"/>
      <c r="F803" s="248"/>
      <c r="G803" s="248"/>
      <c r="I803" s="248"/>
      <c r="J803" s="248"/>
      <c r="K803" s="248"/>
      <c r="L803" s="248"/>
      <c r="M803" s="248"/>
      <c r="N803" s="248"/>
      <c r="P803" s="248"/>
      <c r="Q803" s="248"/>
    </row>
    <row r="804">
      <c r="A804" s="248"/>
      <c r="B804" s="248"/>
      <c r="C804" s="248"/>
      <c r="D804" s="248"/>
      <c r="E804" s="248"/>
      <c r="F804" s="248"/>
      <c r="G804" s="248"/>
      <c r="I804" s="248"/>
      <c r="J804" s="248"/>
      <c r="K804" s="248"/>
      <c r="L804" s="248"/>
      <c r="M804" s="248"/>
      <c r="N804" s="248"/>
      <c r="P804" s="248"/>
      <c r="Q804" s="248"/>
    </row>
    <row r="805">
      <c r="A805" s="248"/>
      <c r="B805" s="248"/>
      <c r="C805" s="248"/>
      <c r="D805" s="248"/>
      <c r="E805" s="248"/>
      <c r="F805" s="248"/>
      <c r="G805" s="248"/>
      <c r="I805" s="248"/>
      <c r="J805" s="248"/>
      <c r="K805" s="248"/>
      <c r="L805" s="248"/>
      <c r="M805" s="248"/>
      <c r="N805" s="248"/>
      <c r="P805" s="248"/>
      <c r="Q805" s="248"/>
    </row>
    <row r="806">
      <c r="A806" s="248"/>
      <c r="B806" s="248"/>
      <c r="C806" s="248"/>
      <c r="D806" s="248"/>
      <c r="E806" s="248"/>
      <c r="F806" s="248"/>
      <c r="G806" s="248"/>
      <c r="I806" s="248"/>
      <c r="J806" s="248"/>
      <c r="K806" s="248"/>
      <c r="L806" s="248"/>
      <c r="M806" s="248"/>
      <c r="N806" s="248"/>
      <c r="P806" s="248"/>
      <c r="Q806" s="248"/>
    </row>
    <row r="807">
      <c r="A807" s="248"/>
      <c r="B807" s="248"/>
      <c r="C807" s="248"/>
      <c r="D807" s="248"/>
      <c r="E807" s="248"/>
      <c r="F807" s="248"/>
      <c r="G807" s="248"/>
      <c r="I807" s="248"/>
      <c r="J807" s="248"/>
      <c r="K807" s="248"/>
      <c r="L807" s="248"/>
      <c r="M807" s="248"/>
      <c r="N807" s="248"/>
      <c r="P807" s="248"/>
      <c r="Q807" s="248"/>
    </row>
    <row r="808">
      <c r="A808" s="248"/>
      <c r="B808" s="248"/>
      <c r="C808" s="248"/>
      <c r="D808" s="248"/>
      <c r="E808" s="248"/>
      <c r="F808" s="248"/>
      <c r="G808" s="248"/>
      <c r="I808" s="248"/>
      <c r="J808" s="248"/>
      <c r="K808" s="248"/>
      <c r="L808" s="248"/>
      <c r="M808" s="248"/>
      <c r="N808" s="248"/>
      <c r="P808" s="248"/>
      <c r="Q808" s="248"/>
    </row>
    <row r="809">
      <c r="A809" s="248"/>
      <c r="B809" s="248"/>
      <c r="C809" s="248"/>
      <c r="D809" s="248"/>
      <c r="E809" s="248"/>
      <c r="F809" s="248"/>
      <c r="G809" s="248"/>
      <c r="I809" s="248"/>
      <c r="J809" s="248"/>
      <c r="K809" s="248"/>
      <c r="L809" s="248"/>
      <c r="M809" s="248"/>
      <c r="N809" s="248"/>
      <c r="P809" s="248"/>
      <c r="Q809" s="248"/>
    </row>
    <row r="810">
      <c r="A810" s="248"/>
      <c r="B810" s="248"/>
      <c r="C810" s="248"/>
      <c r="D810" s="248"/>
      <c r="E810" s="248"/>
      <c r="F810" s="248"/>
      <c r="G810" s="248"/>
      <c r="I810" s="248"/>
      <c r="J810" s="248"/>
      <c r="K810" s="248"/>
      <c r="L810" s="248"/>
      <c r="M810" s="248"/>
      <c r="N810" s="248"/>
      <c r="P810" s="248"/>
      <c r="Q810" s="248"/>
    </row>
    <row r="811">
      <c r="A811" s="248"/>
      <c r="B811" s="248"/>
      <c r="C811" s="248"/>
      <c r="D811" s="248"/>
      <c r="E811" s="248"/>
      <c r="F811" s="248"/>
      <c r="G811" s="248"/>
      <c r="I811" s="248"/>
      <c r="J811" s="248"/>
      <c r="K811" s="248"/>
      <c r="L811" s="248"/>
      <c r="M811" s="248"/>
      <c r="N811" s="248"/>
      <c r="P811" s="248"/>
      <c r="Q811" s="248"/>
    </row>
    <row r="812">
      <c r="A812" s="248"/>
      <c r="B812" s="248"/>
      <c r="C812" s="248"/>
      <c r="D812" s="248"/>
      <c r="E812" s="248"/>
      <c r="F812" s="248"/>
      <c r="G812" s="248"/>
      <c r="I812" s="248"/>
      <c r="J812" s="248"/>
      <c r="K812" s="248"/>
      <c r="L812" s="248"/>
      <c r="M812" s="248"/>
      <c r="N812" s="248"/>
      <c r="P812" s="248"/>
      <c r="Q812" s="248"/>
    </row>
    <row r="813">
      <c r="A813" s="248"/>
      <c r="B813" s="248"/>
      <c r="C813" s="248"/>
      <c r="D813" s="248"/>
      <c r="E813" s="248"/>
      <c r="F813" s="248"/>
      <c r="G813" s="248"/>
      <c r="I813" s="248"/>
      <c r="J813" s="248"/>
      <c r="K813" s="248"/>
      <c r="L813" s="248"/>
      <c r="M813" s="248"/>
      <c r="N813" s="248"/>
      <c r="P813" s="248"/>
      <c r="Q813" s="248"/>
    </row>
    <row r="814">
      <c r="A814" s="248"/>
      <c r="B814" s="248"/>
      <c r="C814" s="248"/>
      <c r="D814" s="248"/>
      <c r="E814" s="248"/>
      <c r="F814" s="248"/>
      <c r="G814" s="248"/>
      <c r="I814" s="248"/>
      <c r="J814" s="248"/>
      <c r="K814" s="248"/>
      <c r="L814" s="248"/>
      <c r="M814" s="248"/>
      <c r="N814" s="248"/>
      <c r="P814" s="248"/>
      <c r="Q814" s="248"/>
    </row>
    <row r="815">
      <c r="A815" s="248"/>
      <c r="B815" s="248"/>
      <c r="C815" s="248"/>
      <c r="D815" s="248"/>
      <c r="E815" s="248"/>
      <c r="F815" s="248"/>
      <c r="G815" s="248"/>
      <c r="I815" s="248"/>
      <c r="J815" s="248"/>
      <c r="K815" s="248"/>
      <c r="L815" s="248"/>
      <c r="M815" s="248"/>
      <c r="N815" s="248"/>
      <c r="P815" s="248"/>
      <c r="Q815" s="248"/>
    </row>
    <row r="816">
      <c r="A816" s="248"/>
      <c r="B816" s="248"/>
      <c r="C816" s="248"/>
      <c r="D816" s="248"/>
      <c r="E816" s="248"/>
      <c r="F816" s="248"/>
      <c r="G816" s="248"/>
      <c r="I816" s="248"/>
      <c r="J816" s="248"/>
      <c r="K816" s="248"/>
      <c r="L816" s="248"/>
      <c r="M816" s="248"/>
      <c r="N816" s="248"/>
      <c r="P816" s="248"/>
      <c r="Q816" s="248"/>
    </row>
    <row r="817">
      <c r="A817" s="248"/>
      <c r="B817" s="248"/>
      <c r="C817" s="248"/>
      <c r="D817" s="248"/>
      <c r="E817" s="248"/>
      <c r="F817" s="248"/>
      <c r="G817" s="248"/>
      <c r="I817" s="248"/>
      <c r="J817" s="248"/>
      <c r="K817" s="248"/>
      <c r="L817" s="248"/>
      <c r="M817" s="248"/>
      <c r="N817" s="248"/>
      <c r="P817" s="248"/>
      <c r="Q817" s="248"/>
    </row>
    <row r="818">
      <c r="A818" s="248"/>
      <c r="B818" s="248"/>
      <c r="C818" s="248"/>
      <c r="D818" s="248"/>
      <c r="E818" s="248"/>
      <c r="F818" s="248"/>
      <c r="G818" s="248"/>
      <c r="I818" s="248"/>
      <c r="J818" s="248"/>
      <c r="K818" s="248"/>
      <c r="L818" s="248"/>
      <c r="M818" s="248"/>
      <c r="N818" s="248"/>
      <c r="P818" s="248"/>
      <c r="Q818" s="248"/>
    </row>
    <row r="819">
      <c r="A819" s="248"/>
      <c r="B819" s="248"/>
      <c r="C819" s="248"/>
      <c r="D819" s="248"/>
      <c r="E819" s="248"/>
      <c r="F819" s="248"/>
      <c r="G819" s="248"/>
      <c r="I819" s="248"/>
      <c r="J819" s="248"/>
      <c r="K819" s="248"/>
      <c r="L819" s="248"/>
      <c r="M819" s="248"/>
      <c r="N819" s="248"/>
      <c r="P819" s="248"/>
      <c r="Q819" s="248"/>
    </row>
    <row r="820">
      <c r="A820" s="248"/>
      <c r="B820" s="248"/>
      <c r="C820" s="248"/>
      <c r="D820" s="248"/>
      <c r="E820" s="248"/>
      <c r="F820" s="248"/>
      <c r="G820" s="248"/>
      <c r="I820" s="248"/>
      <c r="J820" s="248"/>
      <c r="K820" s="248"/>
      <c r="L820" s="248"/>
      <c r="M820" s="248"/>
      <c r="N820" s="248"/>
      <c r="P820" s="248"/>
      <c r="Q820" s="248"/>
    </row>
    <row r="821">
      <c r="A821" s="248"/>
      <c r="B821" s="248"/>
      <c r="C821" s="248"/>
      <c r="D821" s="248"/>
      <c r="E821" s="248"/>
      <c r="F821" s="248"/>
      <c r="G821" s="248"/>
      <c r="I821" s="248"/>
      <c r="J821" s="248"/>
      <c r="K821" s="248"/>
      <c r="L821" s="248"/>
      <c r="M821" s="248"/>
      <c r="N821" s="248"/>
      <c r="P821" s="248"/>
      <c r="Q821" s="248"/>
    </row>
    <row r="822">
      <c r="A822" s="248"/>
      <c r="B822" s="248"/>
      <c r="C822" s="248"/>
      <c r="D822" s="248"/>
      <c r="E822" s="248"/>
      <c r="F822" s="248"/>
      <c r="G822" s="248"/>
      <c r="I822" s="248"/>
      <c r="J822" s="248"/>
      <c r="K822" s="248"/>
      <c r="L822" s="248"/>
      <c r="M822" s="248"/>
      <c r="N822" s="248"/>
      <c r="P822" s="248"/>
      <c r="Q822" s="248"/>
    </row>
    <row r="823">
      <c r="A823" s="248"/>
      <c r="B823" s="248"/>
      <c r="C823" s="248"/>
      <c r="D823" s="248"/>
      <c r="E823" s="248"/>
      <c r="F823" s="248"/>
      <c r="G823" s="248"/>
      <c r="I823" s="248"/>
      <c r="J823" s="248"/>
      <c r="K823" s="248"/>
      <c r="L823" s="248"/>
      <c r="M823" s="248"/>
      <c r="N823" s="248"/>
      <c r="P823" s="248"/>
      <c r="Q823" s="248"/>
    </row>
    <row r="824">
      <c r="A824" s="248"/>
      <c r="B824" s="248"/>
      <c r="C824" s="248"/>
      <c r="D824" s="248"/>
      <c r="E824" s="248"/>
      <c r="F824" s="248"/>
      <c r="G824" s="248"/>
      <c r="I824" s="248"/>
      <c r="J824" s="248"/>
      <c r="K824" s="248"/>
      <c r="L824" s="248"/>
      <c r="M824" s="248"/>
      <c r="N824" s="248"/>
      <c r="P824" s="248"/>
      <c r="Q824" s="248"/>
    </row>
    <row r="825">
      <c r="A825" s="248"/>
      <c r="B825" s="248"/>
      <c r="C825" s="248"/>
      <c r="D825" s="248"/>
      <c r="E825" s="248"/>
      <c r="F825" s="248"/>
      <c r="G825" s="248"/>
      <c r="I825" s="248"/>
      <c r="J825" s="248"/>
      <c r="K825" s="248"/>
      <c r="L825" s="248"/>
      <c r="M825" s="248"/>
      <c r="N825" s="248"/>
      <c r="P825" s="248"/>
      <c r="Q825" s="248"/>
    </row>
    <row r="826">
      <c r="A826" s="248"/>
      <c r="B826" s="248"/>
      <c r="C826" s="248"/>
      <c r="D826" s="248"/>
      <c r="E826" s="248"/>
      <c r="F826" s="248"/>
      <c r="G826" s="248"/>
      <c r="I826" s="248"/>
      <c r="J826" s="248"/>
      <c r="K826" s="248"/>
      <c r="L826" s="248"/>
      <c r="M826" s="248"/>
      <c r="N826" s="248"/>
      <c r="P826" s="248"/>
      <c r="Q826" s="248"/>
    </row>
    <row r="827">
      <c r="A827" s="248"/>
      <c r="B827" s="248"/>
      <c r="C827" s="248"/>
      <c r="D827" s="248"/>
      <c r="E827" s="248"/>
      <c r="F827" s="248"/>
      <c r="G827" s="248"/>
      <c r="I827" s="248"/>
      <c r="J827" s="248"/>
      <c r="K827" s="248"/>
      <c r="L827" s="248"/>
      <c r="M827" s="248"/>
      <c r="N827" s="248"/>
      <c r="P827" s="248"/>
      <c r="Q827" s="248"/>
    </row>
    <row r="828">
      <c r="A828" s="248"/>
      <c r="B828" s="248"/>
      <c r="C828" s="248"/>
      <c r="D828" s="248"/>
      <c r="E828" s="248"/>
      <c r="F828" s="248"/>
      <c r="G828" s="248"/>
      <c r="I828" s="248"/>
      <c r="J828" s="248"/>
      <c r="K828" s="248"/>
      <c r="L828" s="248"/>
      <c r="M828" s="248"/>
      <c r="N828" s="248"/>
      <c r="P828" s="248"/>
      <c r="Q828" s="248"/>
    </row>
    <row r="829">
      <c r="A829" s="248"/>
      <c r="B829" s="248"/>
      <c r="C829" s="248"/>
      <c r="D829" s="248"/>
      <c r="E829" s="248"/>
      <c r="F829" s="248"/>
      <c r="G829" s="248"/>
      <c r="I829" s="248"/>
      <c r="J829" s="248"/>
      <c r="K829" s="248"/>
      <c r="L829" s="248"/>
      <c r="M829" s="248"/>
      <c r="N829" s="248"/>
      <c r="P829" s="248"/>
      <c r="Q829" s="248"/>
    </row>
    <row r="830">
      <c r="A830" s="248"/>
      <c r="B830" s="248"/>
      <c r="C830" s="248"/>
      <c r="D830" s="248"/>
      <c r="E830" s="248"/>
      <c r="F830" s="248"/>
      <c r="G830" s="248"/>
      <c r="I830" s="248"/>
      <c r="J830" s="248"/>
      <c r="K830" s="248"/>
      <c r="L830" s="248"/>
      <c r="M830" s="248"/>
      <c r="N830" s="248"/>
      <c r="P830" s="248"/>
      <c r="Q830" s="248"/>
    </row>
    <row r="831">
      <c r="A831" s="248"/>
      <c r="B831" s="248"/>
      <c r="C831" s="248"/>
      <c r="D831" s="248"/>
      <c r="E831" s="248"/>
      <c r="F831" s="248"/>
      <c r="G831" s="248"/>
      <c r="I831" s="248"/>
      <c r="J831" s="248"/>
      <c r="K831" s="248"/>
      <c r="L831" s="248"/>
      <c r="M831" s="248"/>
      <c r="N831" s="248"/>
      <c r="P831" s="248"/>
      <c r="Q831" s="248"/>
    </row>
    <row r="832">
      <c r="A832" s="248"/>
      <c r="B832" s="248"/>
      <c r="C832" s="248"/>
      <c r="D832" s="248"/>
      <c r="E832" s="248"/>
      <c r="F832" s="248"/>
      <c r="G832" s="248"/>
      <c r="I832" s="248"/>
      <c r="J832" s="248"/>
      <c r="K832" s="248"/>
      <c r="L832" s="248"/>
      <c r="M832" s="248"/>
      <c r="N832" s="248"/>
      <c r="P832" s="248"/>
      <c r="Q832" s="248"/>
    </row>
    <row r="833">
      <c r="A833" s="248"/>
      <c r="B833" s="248"/>
      <c r="C833" s="248"/>
      <c r="D833" s="248"/>
      <c r="E833" s="248"/>
      <c r="F833" s="248"/>
      <c r="G833" s="248"/>
      <c r="I833" s="248"/>
      <c r="J833" s="248"/>
      <c r="K833" s="248"/>
      <c r="L833" s="248"/>
      <c r="M833" s="248"/>
      <c r="N833" s="248"/>
      <c r="P833" s="248"/>
      <c r="Q833" s="248"/>
    </row>
    <row r="834">
      <c r="A834" s="248"/>
      <c r="B834" s="248"/>
      <c r="C834" s="248"/>
      <c r="D834" s="248"/>
      <c r="E834" s="248"/>
      <c r="F834" s="248"/>
      <c r="G834" s="248"/>
      <c r="I834" s="248"/>
      <c r="J834" s="248"/>
      <c r="K834" s="248"/>
      <c r="L834" s="248"/>
      <c r="M834" s="248"/>
      <c r="N834" s="248"/>
      <c r="P834" s="248"/>
      <c r="Q834" s="248"/>
    </row>
    <row r="835">
      <c r="A835" s="248"/>
      <c r="B835" s="248"/>
      <c r="C835" s="248"/>
      <c r="D835" s="248"/>
      <c r="E835" s="248"/>
      <c r="F835" s="248"/>
      <c r="G835" s="248"/>
      <c r="I835" s="248"/>
      <c r="J835" s="248"/>
      <c r="K835" s="248"/>
      <c r="L835" s="248"/>
      <c r="M835" s="248"/>
      <c r="N835" s="248"/>
      <c r="P835" s="248"/>
      <c r="Q835" s="248"/>
    </row>
    <row r="836">
      <c r="A836" s="248"/>
      <c r="B836" s="248"/>
      <c r="C836" s="248"/>
      <c r="D836" s="248"/>
      <c r="E836" s="248"/>
      <c r="F836" s="248"/>
      <c r="G836" s="248"/>
      <c r="I836" s="248"/>
      <c r="J836" s="248"/>
      <c r="K836" s="248"/>
      <c r="L836" s="248"/>
      <c r="M836" s="248"/>
      <c r="N836" s="248"/>
      <c r="P836" s="248"/>
      <c r="Q836" s="248"/>
    </row>
    <row r="837">
      <c r="A837" s="248"/>
      <c r="B837" s="248"/>
      <c r="C837" s="248"/>
      <c r="D837" s="248"/>
      <c r="E837" s="248"/>
      <c r="F837" s="248"/>
      <c r="G837" s="248"/>
      <c r="I837" s="248"/>
      <c r="J837" s="248"/>
      <c r="K837" s="248"/>
      <c r="L837" s="248"/>
      <c r="M837" s="248"/>
      <c r="N837" s="248"/>
      <c r="P837" s="248"/>
      <c r="Q837" s="248"/>
    </row>
    <row r="838">
      <c r="A838" s="248"/>
      <c r="B838" s="248"/>
      <c r="C838" s="248"/>
      <c r="D838" s="248"/>
      <c r="E838" s="248"/>
      <c r="F838" s="248"/>
      <c r="G838" s="248"/>
      <c r="I838" s="248"/>
      <c r="J838" s="248"/>
      <c r="K838" s="248"/>
      <c r="L838" s="248"/>
      <c r="M838" s="248"/>
      <c r="N838" s="248"/>
      <c r="P838" s="248"/>
      <c r="Q838" s="248"/>
    </row>
    <row r="839">
      <c r="A839" s="248"/>
      <c r="B839" s="248"/>
      <c r="C839" s="248"/>
      <c r="D839" s="248"/>
      <c r="E839" s="248"/>
      <c r="F839" s="248"/>
      <c r="G839" s="248"/>
      <c r="I839" s="248"/>
      <c r="J839" s="248"/>
      <c r="K839" s="248"/>
      <c r="L839" s="248"/>
      <c r="M839" s="248"/>
      <c r="N839" s="248"/>
      <c r="P839" s="248"/>
      <c r="Q839" s="248"/>
    </row>
    <row r="840">
      <c r="A840" s="248"/>
      <c r="B840" s="248"/>
      <c r="C840" s="248"/>
      <c r="D840" s="248"/>
      <c r="E840" s="248"/>
      <c r="F840" s="248"/>
      <c r="G840" s="248"/>
      <c r="I840" s="248"/>
      <c r="J840" s="248"/>
      <c r="K840" s="248"/>
      <c r="L840" s="248"/>
      <c r="M840" s="248"/>
      <c r="N840" s="248"/>
      <c r="P840" s="248"/>
      <c r="Q840" s="248"/>
    </row>
    <row r="841">
      <c r="A841" s="248"/>
      <c r="B841" s="248"/>
      <c r="C841" s="248"/>
      <c r="D841" s="248"/>
      <c r="E841" s="248"/>
      <c r="F841" s="248"/>
      <c r="G841" s="248"/>
      <c r="I841" s="248"/>
      <c r="J841" s="248"/>
      <c r="K841" s="248"/>
      <c r="L841" s="248"/>
      <c r="M841" s="248"/>
      <c r="N841" s="248"/>
      <c r="P841" s="248"/>
      <c r="Q841" s="248"/>
    </row>
    <row r="842">
      <c r="A842" s="248"/>
      <c r="B842" s="248"/>
      <c r="C842" s="248"/>
      <c r="D842" s="248"/>
      <c r="E842" s="248"/>
      <c r="F842" s="248"/>
      <c r="G842" s="248"/>
      <c r="I842" s="248"/>
      <c r="J842" s="248"/>
      <c r="K842" s="248"/>
      <c r="L842" s="248"/>
      <c r="M842" s="248"/>
      <c r="N842" s="248"/>
      <c r="P842" s="248"/>
      <c r="Q842" s="248"/>
    </row>
    <row r="843">
      <c r="A843" s="248"/>
      <c r="B843" s="248"/>
      <c r="C843" s="248"/>
      <c r="D843" s="248"/>
      <c r="E843" s="248"/>
      <c r="F843" s="248"/>
      <c r="G843" s="248"/>
      <c r="I843" s="248"/>
      <c r="J843" s="248"/>
      <c r="K843" s="248"/>
      <c r="L843" s="248"/>
      <c r="M843" s="248"/>
      <c r="N843" s="248"/>
      <c r="P843" s="248"/>
      <c r="Q843" s="248"/>
    </row>
    <row r="844">
      <c r="A844" s="248"/>
      <c r="B844" s="248"/>
      <c r="C844" s="248"/>
      <c r="D844" s="248"/>
      <c r="E844" s="248"/>
      <c r="F844" s="248"/>
      <c r="G844" s="248"/>
      <c r="I844" s="248"/>
      <c r="J844" s="248"/>
      <c r="K844" s="248"/>
      <c r="L844" s="248"/>
      <c r="M844" s="248"/>
      <c r="N844" s="248"/>
      <c r="P844" s="248"/>
      <c r="Q844" s="248"/>
    </row>
    <row r="845">
      <c r="A845" s="248"/>
      <c r="B845" s="248"/>
      <c r="C845" s="248"/>
      <c r="D845" s="248"/>
      <c r="E845" s="248"/>
      <c r="F845" s="248"/>
      <c r="G845" s="248"/>
      <c r="I845" s="248"/>
      <c r="J845" s="248"/>
      <c r="K845" s="248"/>
      <c r="L845" s="248"/>
      <c r="M845" s="248"/>
      <c r="N845" s="248"/>
      <c r="P845" s="248"/>
      <c r="Q845" s="248"/>
    </row>
    <row r="846">
      <c r="A846" s="248"/>
      <c r="B846" s="248"/>
      <c r="C846" s="248"/>
      <c r="D846" s="248"/>
      <c r="E846" s="248"/>
      <c r="F846" s="248"/>
      <c r="G846" s="248"/>
      <c r="I846" s="248"/>
      <c r="J846" s="248"/>
      <c r="K846" s="248"/>
      <c r="L846" s="248"/>
      <c r="M846" s="248"/>
      <c r="N846" s="248"/>
      <c r="P846" s="248"/>
      <c r="Q846" s="248"/>
    </row>
    <row r="847">
      <c r="A847" s="248"/>
      <c r="B847" s="248"/>
      <c r="C847" s="248"/>
      <c r="D847" s="248"/>
      <c r="E847" s="248"/>
      <c r="F847" s="248"/>
      <c r="G847" s="248"/>
      <c r="I847" s="248"/>
      <c r="J847" s="248"/>
      <c r="K847" s="248"/>
      <c r="L847" s="248"/>
      <c r="M847" s="248"/>
      <c r="N847" s="248"/>
      <c r="P847" s="248"/>
      <c r="Q847" s="248"/>
    </row>
    <row r="848">
      <c r="A848" s="248"/>
      <c r="B848" s="248"/>
      <c r="C848" s="248"/>
      <c r="D848" s="248"/>
      <c r="E848" s="248"/>
      <c r="F848" s="248"/>
      <c r="G848" s="248"/>
      <c r="I848" s="248"/>
      <c r="J848" s="248"/>
      <c r="K848" s="248"/>
      <c r="L848" s="248"/>
      <c r="M848" s="248"/>
      <c r="N848" s="248"/>
      <c r="P848" s="248"/>
      <c r="Q848" s="248"/>
    </row>
    <row r="849">
      <c r="A849" s="248"/>
      <c r="B849" s="248"/>
      <c r="C849" s="248"/>
      <c r="D849" s="248"/>
      <c r="E849" s="248"/>
      <c r="F849" s="248"/>
      <c r="G849" s="248"/>
      <c r="I849" s="248"/>
      <c r="J849" s="248"/>
      <c r="K849" s="248"/>
      <c r="L849" s="248"/>
      <c r="M849" s="248"/>
      <c r="N849" s="248"/>
      <c r="P849" s="248"/>
      <c r="Q849" s="248"/>
    </row>
    <row r="850">
      <c r="A850" s="248"/>
      <c r="B850" s="248"/>
      <c r="C850" s="248"/>
      <c r="D850" s="248"/>
      <c r="E850" s="248"/>
      <c r="F850" s="248"/>
      <c r="G850" s="248"/>
      <c r="I850" s="248"/>
      <c r="J850" s="248"/>
      <c r="K850" s="248"/>
      <c r="L850" s="248"/>
      <c r="M850" s="248"/>
      <c r="N850" s="248"/>
      <c r="P850" s="248"/>
      <c r="Q850" s="248"/>
    </row>
    <row r="851">
      <c r="A851" s="248"/>
      <c r="B851" s="248"/>
      <c r="C851" s="248"/>
      <c r="D851" s="248"/>
      <c r="E851" s="248"/>
      <c r="F851" s="248"/>
      <c r="G851" s="248"/>
      <c r="I851" s="248"/>
      <c r="J851" s="248"/>
      <c r="K851" s="248"/>
      <c r="L851" s="248"/>
      <c r="M851" s="248"/>
      <c r="N851" s="248"/>
      <c r="P851" s="248"/>
      <c r="Q851" s="248"/>
    </row>
    <row r="852">
      <c r="A852" s="248"/>
      <c r="B852" s="248"/>
      <c r="C852" s="248"/>
      <c r="D852" s="248"/>
      <c r="E852" s="248"/>
      <c r="F852" s="248"/>
      <c r="G852" s="248"/>
      <c r="I852" s="248"/>
      <c r="J852" s="248"/>
      <c r="K852" s="248"/>
      <c r="L852" s="248"/>
      <c r="M852" s="248"/>
      <c r="N852" s="248"/>
      <c r="P852" s="248"/>
      <c r="Q852" s="248"/>
    </row>
    <row r="853">
      <c r="A853" s="248"/>
      <c r="B853" s="248"/>
      <c r="C853" s="248"/>
      <c r="D853" s="248"/>
      <c r="E853" s="248"/>
      <c r="F853" s="248"/>
      <c r="G853" s="248"/>
      <c r="I853" s="248"/>
      <c r="J853" s="248"/>
      <c r="K853" s="248"/>
      <c r="L853" s="248"/>
      <c r="M853" s="248"/>
      <c r="N853" s="248"/>
      <c r="P853" s="248"/>
      <c r="Q853" s="248"/>
    </row>
    <row r="854">
      <c r="A854" s="248"/>
      <c r="B854" s="248"/>
      <c r="C854" s="248"/>
      <c r="D854" s="248"/>
      <c r="E854" s="248"/>
      <c r="F854" s="248"/>
      <c r="G854" s="248"/>
      <c r="I854" s="248"/>
      <c r="J854" s="248"/>
      <c r="K854" s="248"/>
      <c r="L854" s="248"/>
      <c r="M854" s="248"/>
      <c r="N854" s="248"/>
      <c r="P854" s="248"/>
      <c r="Q854" s="248"/>
    </row>
    <row r="855">
      <c r="A855" s="248"/>
      <c r="B855" s="248"/>
      <c r="C855" s="248"/>
      <c r="D855" s="248"/>
      <c r="E855" s="248"/>
      <c r="F855" s="248"/>
      <c r="G855" s="248"/>
      <c r="I855" s="248"/>
      <c r="J855" s="248"/>
      <c r="K855" s="248"/>
      <c r="L855" s="248"/>
      <c r="M855" s="248"/>
      <c r="N855" s="248"/>
      <c r="P855" s="248"/>
      <c r="Q855" s="248"/>
    </row>
    <row r="856">
      <c r="A856" s="248"/>
      <c r="B856" s="248"/>
      <c r="C856" s="248"/>
      <c r="D856" s="248"/>
      <c r="E856" s="248"/>
      <c r="F856" s="248"/>
      <c r="G856" s="248"/>
      <c r="I856" s="248"/>
      <c r="J856" s="248"/>
      <c r="K856" s="248"/>
      <c r="L856" s="248"/>
      <c r="M856" s="248"/>
      <c r="N856" s="248"/>
      <c r="P856" s="248"/>
      <c r="Q856" s="248"/>
    </row>
    <row r="857">
      <c r="A857" s="248"/>
      <c r="B857" s="248"/>
      <c r="C857" s="248"/>
      <c r="D857" s="248"/>
      <c r="E857" s="248"/>
      <c r="F857" s="248"/>
      <c r="G857" s="248"/>
      <c r="I857" s="248"/>
      <c r="J857" s="248"/>
      <c r="K857" s="248"/>
      <c r="L857" s="248"/>
      <c r="M857" s="248"/>
      <c r="N857" s="248"/>
      <c r="P857" s="248"/>
      <c r="Q857" s="248"/>
    </row>
    <row r="858">
      <c r="A858" s="248"/>
      <c r="B858" s="248"/>
      <c r="C858" s="248"/>
      <c r="D858" s="248"/>
      <c r="E858" s="248"/>
      <c r="F858" s="248"/>
      <c r="G858" s="248"/>
      <c r="I858" s="248"/>
      <c r="J858" s="248"/>
      <c r="K858" s="248"/>
      <c r="L858" s="248"/>
      <c r="M858" s="248"/>
      <c r="N858" s="248"/>
      <c r="P858" s="248"/>
      <c r="Q858" s="248"/>
    </row>
    <row r="859">
      <c r="A859" s="248"/>
      <c r="B859" s="248"/>
      <c r="C859" s="248"/>
      <c r="D859" s="248"/>
      <c r="E859" s="248"/>
      <c r="F859" s="248"/>
      <c r="G859" s="248"/>
      <c r="I859" s="248"/>
      <c r="J859" s="248"/>
      <c r="K859" s="248"/>
      <c r="L859" s="248"/>
      <c r="M859" s="248"/>
      <c r="N859" s="248"/>
      <c r="P859" s="248"/>
      <c r="Q859" s="248"/>
    </row>
    <row r="860">
      <c r="A860" s="248"/>
      <c r="B860" s="248"/>
      <c r="C860" s="248"/>
      <c r="D860" s="248"/>
      <c r="E860" s="248"/>
      <c r="F860" s="248"/>
      <c r="G860" s="248"/>
      <c r="I860" s="248"/>
      <c r="J860" s="248"/>
      <c r="K860" s="248"/>
      <c r="L860" s="248"/>
      <c r="M860" s="248"/>
      <c r="N860" s="248"/>
      <c r="P860" s="248"/>
      <c r="Q860" s="248"/>
    </row>
    <row r="861">
      <c r="A861" s="248"/>
      <c r="B861" s="248"/>
      <c r="C861" s="248"/>
      <c r="D861" s="248"/>
      <c r="E861" s="248"/>
      <c r="F861" s="248"/>
      <c r="G861" s="248"/>
      <c r="I861" s="248"/>
      <c r="J861" s="248"/>
      <c r="K861" s="248"/>
      <c r="L861" s="248"/>
      <c r="M861" s="248"/>
      <c r="N861" s="248"/>
      <c r="P861" s="248"/>
      <c r="Q861" s="248"/>
    </row>
    <row r="862">
      <c r="A862" s="248"/>
      <c r="B862" s="248"/>
      <c r="C862" s="248"/>
      <c r="D862" s="248"/>
      <c r="E862" s="248"/>
      <c r="F862" s="248"/>
      <c r="G862" s="248"/>
      <c r="I862" s="248"/>
      <c r="J862" s="248"/>
      <c r="K862" s="248"/>
      <c r="L862" s="248"/>
      <c r="M862" s="248"/>
      <c r="N862" s="248"/>
      <c r="P862" s="248"/>
      <c r="Q862" s="248"/>
    </row>
    <row r="863">
      <c r="A863" s="248"/>
      <c r="B863" s="248"/>
      <c r="C863" s="248"/>
      <c r="D863" s="248"/>
      <c r="E863" s="248"/>
      <c r="F863" s="248"/>
      <c r="G863" s="248"/>
      <c r="I863" s="248"/>
      <c r="J863" s="248"/>
      <c r="K863" s="248"/>
      <c r="L863" s="248"/>
      <c r="M863" s="248"/>
      <c r="N863" s="248"/>
      <c r="P863" s="248"/>
      <c r="Q863" s="248"/>
    </row>
    <row r="864">
      <c r="A864" s="248"/>
      <c r="B864" s="248"/>
      <c r="C864" s="248"/>
      <c r="D864" s="248"/>
      <c r="E864" s="248"/>
      <c r="F864" s="248"/>
      <c r="G864" s="248"/>
      <c r="I864" s="248"/>
      <c r="J864" s="248"/>
      <c r="K864" s="248"/>
      <c r="L864" s="248"/>
      <c r="M864" s="248"/>
      <c r="N864" s="248"/>
      <c r="P864" s="248"/>
      <c r="Q864" s="248"/>
    </row>
    <row r="865">
      <c r="A865" s="248"/>
      <c r="B865" s="248"/>
      <c r="C865" s="248"/>
      <c r="D865" s="248"/>
      <c r="E865" s="248"/>
      <c r="F865" s="248"/>
      <c r="G865" s="248"/>
      <c r="I865" s="248"/>
      <c r="J865" s="248"/>
      <c r="K865" s="248"/>
      <c r="L865" s="248"/>
      <c r="M865" s="248"/>
      <c r="N865" s="248"/>
      <c r="P865" s="248"/>
      <c r="Q865" s="248"/>
    </row>
    <row r="866">
      <c r="A866" s="248"/>
      <c r="B866" s="248"/>
      <c r="C866" s="248"/>
      <c r="D866" s="248"/>
      <c r="E866" s="248"/>
      <c r="F866" s="248"/>
      <c r="G866" s="248"/>
      <c r="I866" s="248"/>
      <c r="J866" s="248"/>
      <c r="K866" s="248"/>
      <c r="L866" s="248"/>
      <c r="M866" s="248"/>
      <c r="N866" s="248"/>
      <c r="P866" s="248"/>
      <c r="Q866" s="248"/>
    </row>
    <row r="867">
      <c r="A867" s="248"/>
      <c r="B867" s="248"/>
      <c r="C867" s="248"/>
      <c r="D867" s="248"/>
      <c r="E867" s="248"/>
      <c r="F867" s="248"/>
      <c r="G867" s="248"/>
      <c r="I867" s="248"/>
      <c r="J867" s="248"/>
      <c r="K867" s="248"/>
      <c r="L867" s="248"/>
      <c r="M867" s="248"/>
      <c r="N867" s="248"/>
      <c r="P867" s="248"/>
      <c r="Q867" s="248"/>
    </row>
    <row r="868">
      <c r="A868" s="248"/>
      <c r="B868" s="248"/>
      <c r="C868" s="248"/>
      <c r="D868" s="248"/>
      <c r="E868" s="248"/>
      <c r="F868" s="248"/>
      <c r="G868" s="248"/>
      <c r="I868" s="248"/>
      <c r="J868" s="248"/>
      <c r="K868" s="248"/>
      <c r="L868" s="248"/>
      <c r="M868" s="248"/>
      <c r="N868" s="248"/>
      <c r="P868" s="248"/>
      <c r="Q868" s="248"/>
    </row>
    <row r="869">
      <c r="A869" s="248"/>
      <c r="B869" s="248"/>
      <c r="C869" s="248"/>
      <c r="D869" s="248"/>
      <c r="E869" s="248"/>
      <c r="F869" s="248"/>
      <c r="G869" s="248"/>
      <c r="I869" s="248"/>
      <c r="J869" s="248"/>
      <c r="K869" s="248"/>
      <c r="L869" s="248"/>
      <c r="M869" s="248"/>
      <c r="N869" s="248"/>
      <c r="P869" s="248"/>
      <c r="Q869" s="248"/>
    </row>
    <row r="870">
      <c r="A870" s="248"/>
      <c r="B870" s="248"/>
      <c r="C870" s="248"/>
      <c r="D870" s="248"/>
      <c r="E870" s="248"/>
      <c r="F870" s="248"/>
      <c r="G870" s="248"/>
      <c r="I870" s="248"/>
      <c r="J870" s="248"/>
      <c r="K870" s="248"/>
      <c r="L870" s="248"/>
      <c r="M870" s="248"/>
      <c r="N870" s="248"/>
      <c r="P870" s="248"/>
      <c r="Q870" s="248"/>
    </row>
    <row r="871">
      <c r="A871" s="248"/>
      <c r="B871" s="248"/>
      <c r="C871" s="248"/>
      <c r="D871" s="248"/>
      <c r="E871" s="248"/>
      <c r="F871" s="248"/>
      <c r="G871" s="248"/>
      <c r="I871" s="248"/>
      <c r="J871" s="248"/>
      <c r="K871" s="248"/>
      <c r="L871" s="248"/>
      <c r="M871" s="248"/>
      <c r="N871" s="248"/>
      <c r="P871" s="248"/>
      <c r="Q871" s="248"/>
    </row>
    <row r="872">
      <c r="A872" s="248"/>
      <c r="B872" s="248"/>
      <c r="C872" s="248"/>
      <c r="D872" s="248"/>
      <c r="E872" s="248"/>
      <c r="F872" s="248"/>
      <c r="G872" s="248"/>
      <c r="I872" s="248"/>
      <c r="J872" s="248"/>
      <c r="K872" s="248"/>
      <c r="L872" s="248"/>
      <c r="M872" s="248"/>
      <c r="N872" s="248"/>
      <c r="P872" s="248"/>
      <c r="Q872" s="248"/>
    </row>
    <row r="873">
      <c r="A873" s="248"/>
      <c r="B873" s="248"/>
      <c r="C873" s="248"/>
      <c r="D873" s="248"/>
      <c r="E873" s="248"/>
      <c r="F873" s="248"/>
      <c r="G873" s="248"/>
      <c r="I873" s="248"/>
      <c r="J873" s="248"/>
      <c r="K873" s="248"/>
      <c r="L873" s="248"/>
      <c r="M873" s="248"/>
      <c r="N873" s="248"/>
      <c r="P873" s="248"/>
      <c r="Q873" s="248"/>
    </row>
    <row r="874">
      <c r="A874" s="248"/>
      <c r="B874" s="248"/>
      <c r="C874" s="248"/>
      <c r="D874" s="248"/>
      <c r="E874" s="248"/>
      <c r="F874" s="248"/>
      <c r="G874" s="248"/>
      <c r="I874" s="248"/>
      <c r="J874" s="248"/>
      <c r="K874" s="248"/>
      <c r="L874" s="248"/>
      <c r="M874" s="248"/>
      <c r="N874" s="248"/>
      <c r="P874" s="248"/>
      <c r="Q874" s="248"/>
    </row>
    <row r="875">
      <c r="A875" s="248"/>
      <c r="B875" s="248"/>
      <c r="C875" s="248"/>
      <c r="D875" s="248"/>
      <c r="E875" s="248"/>
      <c r="F875" s="248"/>
      <c r="G875" s="248"/>
      <c r="I875" s="248"/>
      <c r="J875" s="248"/>
      <c r="K875" s="248"/>
      <c r="L875" s="248"/>
      <c r="M875" s="248"/>
      <c r="N875" s="248"/>
      <c r="P875" s="248"/>
      <c r="Q875" s="248"/>
    </row>
    <row r="876">
      <c r="A876" s="248"/>
      <c r="B876" s="248"/>
      <c r="C876" s="248"/>
      <c r="D876" s="248"/>
      <c r="E876" s="248"/>
      <c r="F876" s="248"/>
      <c r="G876" s="248"/>
      <c r="I876" s="248"/>
      <c r="J876" s="248"/>
      <c r="K876" s="248"/>
      <c r="L876" s="248"/>
      <c r="M876" s="248"/>
      <c r="N876" s="248"/>
      <c r="P876" s="248"/>
      <c r="Q876" s="248"/>
    </row>
    <row r="877">
      <c r="A877" s="248"/>
      <c r="B877" s="248"/>
      <c r="C877" s="248"/>
      <c r="D877" s="248"/>
      <c r="E877" s="248"/>
      <c r="F877" s="248"/>
      <c r="G877" s="248"/>
      <c r="I877" s="248"/>
      <c r="J877" s="248"/>
      <c r="K877" s="248"/>
      <c r="L877" s="248"/>
      <c r="M877" s="248"/>
      <c r="N877" s="248"/>
      <c r="P877" s="248"/>
      <c r="Q877" s="248"/>
    </row>
    <row r="878">
      <c r="A878" s="248"/>
      <c r="B878" s="248"/>
      <c r="C878" s="248"/>
      <c r="D878" s="248"/>
      <c r="E878" s="248"/>
      <c r="F878" s="248"/>
      <c r="G878" s="248"/>
      <c r="I878" s="248"/>
      <c r="J878" s="248"/>
      <c r="K878" s="248"/>
      <c r="L878" s="248"/>
      <c r="M878" s="248"/>
      <c r="N878" s="248"/>
      <c r="P878" s="248"/>
      <c r="Q878" s="248"/>
    </row>
    <row r="879">
      <c r="A879" s="248"/>
      <c r="B879" s="248"/>
      <c r="C879" s="248"/>
      <c r="D879" s="248"/>
      <c r="E879" s="248"/>
      <c r="F879" s="248"/>
      <c r="G879" s="248"/>
      <c r="I879" s="248"/>
      <c r="J879" s="248"/>
      <c r="K879" s="248"/>
      <c r="L879" s="248"/>
      <c r="M879" s="248"/>
      <c r="N879" s="248"/>
      <c r="P879" s="248"/>
      <c r="Q879" s="248"/>
    </row>
    <row r="880">
      <c r="A880" s="248"/>
      <c r="B880" s="248"/>
      <c r="C880" s="248"/>
      <c r="D880" s="248"/>
      <c r="E880" s="248"/>
      <c r="F880" s="248"/>
      <c r="G880" s="248"/>
      <c r="I880" s="248"/>
      <c r="J880" s="248"/>
      <c r="K880" s="248"/>
      <c r="L880" s="248"/>
      <c r="M880" s="248"/>
      <c r="N880" s="248"/>
      <c r="P880" s="248"/>
      <c r="Q880" s="248"/>
    </row>
    <row r="881">
      <c r="A881" s="248"/>
      <c r="B881" s="248"/>
      <c r="C881" s="248"/>
      <c r="D881" s="248"/>
      <c r="E881" s="248"/>
      <c r="F881" s="248"/>
      <c r="G881" s="248"/>
      <c r="I881" s="248"/>
      <c r="J881" s="248"/>
      <c r="K881" s="248"/>
      <c r="L881" s="248"/>
      <c r="M881" s="248"/>
      <c r="N881" s="248"/>
      <c r="P881" s="248"/>
      <c r="Q881" s="248"/>
    </row>
    <row r="882">
      <c r="A882" s="248"/>
      <c r="B882" s="248"/>
      <c r="C882" s="248"/>
      <c r="D882" s="248"/>
      <c r="E882" s="248"/>
      <c r="F882" s="248"/>
      <c r="G882" s="248"/>
      <c r="I882" s="248"/>
      <c r="J882" s="248"/>
      <c r="K882" s="248"/>
      <c r="L882" s="248"/>
      <c r="M882" s="248"/>
      <c r="N882" s="248"/>
      <c r="P882" s="248"/>
      <c r="Q882" s="248"/>
    </row>
    <row r="883">
      <c r="A883" s="248"/>
      <c r="B883" s="248"/>
      <c r="C883" s="248"/>
      <c r="D883" s="248"/>
      <c r="E883" s="248"/>
      <c r="F883" s="248"/>
      <c r="G883" s="248"/>
      <c r="I883" s="248"/>
      <c r="J883" s="248"/>
      <c r="K883" s="248"/>
      <c r="L883" s="248"/>
      <c r="M883" s="248"/>
      <c r="N883" s="248"/>
      <c r="P883" s="248"/>
      <c r="Q883" s="248"/>
    </row>
    <row r="884">
      <c r="A884" s="248"/>
      <c r="B884" s="248"/>
      <c r="C884" s="248"/>
      <c r="D884" s="248"/>
      <c r="E884" s="248"/>
      <c r="F884" s="248"/>
      <c r="G884" s="248"/>
      <c r="I884" s="248"/>
      <c r="J884" s="248"/>
      <c r="K884" s="248"/>
      <c r="L884" s="248"/>
      <c r="M884" s="248"/>
      <c r="N884" s="248"/>
      <c r="P884" s="248"/>
      <c r="Q884" s="248"/>
    </row>
    <row r="885">
      <c r="A885" s="248"/>
      <c r="B885" s="248"/>
      <c r="C885" s="248"/>
      <c r="D885" s="248"/>
      <c r="E885" s="248"/>
      <c r="F885" s="248"/>
      <c r="G885" s="248"/>
      <c r="I885" s="248"/>
      <c r="J885" s="248"/>
      <c r="K885" s="248"/>
      <c r="L885" s="248"/>
      <c r="M885" s="248"/>
      <c r="N885" s="248"/>
      <c r="P885" s="248"/>
      <c r="Q885" s="248"/>
    </row>
    <row r="886">
      <c r="A886" s="248"/>
      <c r="B886" s="248"/>
      <c r="C886" s="248"/>
      <c r="D886" s="248"/>
      <c r="E886" s="248"/>
      <c r="F886" s="248"/>
      <c r="G886" s="248"/>
      <c r="I886" s="248"/>
      <c r="J886" s="248"/>
      <c r="K886" s="248"/>
      <c r="L886" s="248"/>
      <c r="M886" s="248"/>
      <c r="N886" s="248"/>
      <c r="P886" s="248"/>
      <c r="Q886" s="248"/>
    </row>
    <row r="887">
      <c r="A887" s="248"/>
      <c r="B887" s="248"/>
      <c r="C887" s="248"/>
      <c r="D887" s="248"/>
      <c r="E887" s="248"/>
      <c r="F887" s="248"/>
      <c r="G887" s="248"/>
      <c r="I887" s="248"/>
      <c r="J887" s="248"/>
      <c r="K887" s="248"/>
      <c r="L887" s="248"/>
      <c r="M887" s="248"/>
      <c r="N887" s="248"/>
      <c r="P887" s="248"/>
      <c r="Q887" s="248"/>
    </row>
    <row r="888">
      <c r="A888" s="248"/>
      <c r="B888" s="248"/>
      <c r="C888" s="248"/>
      <c r="D888" s="248"/>
      <c r="E888" s="248"/>
      <c r="F888" s="248"/>
      <c r="G888" s="248"/>
      <c r="I888" s="248"/>
      <c r="J888" s="248"/>
      <c r="K888" s="248"/>
      <c r="L888" s="248"/>
      <c r="M888" s="248"/>
      <c r="N888" s="248"/>
      <c r="P888" s="248"/>
      <c r="Q888" s="248"/>
    </row>
    <row r="889">
      <c r="A889" s="248"/>
      <c r="B889" s="248"/>
      <c r="C889" s="248"/>
      <c r="D889" s="248"/>
      <c r="E889" s="248"/>
      <c r="F889" s="248"/>
      <c r="G889" s="248"/>
      <c r="I889" s="248"/>
      <c r="J889" s="248"/>
      <c r="K889" s="248"/>
      <c r="L889" s="248"/>
      <c r="M889" s="248"/>
      <c r="N889" s="248"/>
      <c r="P889" s="248"/>
      <c r="Q889" s="248"/>
    </row>
    <row r="890">
      <c r="A890" s="248"/>
      <c r="B890" s="248"/>
      <c r="C890" s="248"/>
      <c r="D890" s="248"/>
      <c r="E890" s="248"/>
      <c r="F890" s="248"/>
      <c r="G890" s="248"/>
      <c r="I890" s="248"/>
      <c r="J890" s="248"/>
      <c r="K890" s="248"/>
      <c r="L890" s="248"/>
      <c r="M890" s="248"/>
      <c r="N890" s="248"/>
      <c r="P890" s="248"/>
      <c r="Q890" s="248"/>
    </row>
    <row r="891">
      <c r="A891" s="248"/>
      <c r="B891" s="248"/>
      <c r="C891" s="248"/>
      <c r="D891" s="248"/>
      <c r="E891" s="248"/>
      <c r="F891" s="248"/>
      <c r="G891" s="248"/>
      <c r="I891" s="248"/>
      <c r="J891" s="248"/>
      <c r="K891" s="248"/>
      <c r="L891" s="248"/>
      <c r="M891" s="248"/>
      <c r="N891" s="248"/>
      <c r="P891" s="248"/>
      <c r="Q891" s="248"/>
    </row>
    <row r="892">
      <c r="A892" s="248"/>
      <c r="B892" s="248"/>
      <c r="C892" s="248"/>
      <c r="D892" s="248"/>
      <c r="E892" s="248"/>
      <c r="F892" s="248"/>
      <c r="G892" s="248"/>
      <c r="I892" s="248"/>
      <c r="J892" s="248"/>
      <c r="K892" s="248"/>
      <c r="L892" s="248"/>
      <c r="M892" s="248"/>
      <c r="N892" s="248"/>
      <c r="P892" s="248"/>
      <c r="Q892" s="248"/>
    </row>
    <row r="893">
      <c r="A893" s="248"/>
      <c r="B893" s="248"/>
      <c r="C893" s="248"/>
      <c r="D893" s="248"/>
      <c r="E893" s="248"/>
      <c r="F893" s="248"/>
      <c r="G893" s="248"/>
      <c r="I893" s="248"/>
      <c r="J893" s="248"/>
      <c r="K893" s="248"/>
      <c r="L893" s="248"/>
      <c r="M893" s="248"/>
      <c r="N893" s="248"/>
      <c r="P893" s="248"/>
      <c r="Q893" s="248"/>
    </row>
    <row r="894">
      <c r="A894" s="248"/>
      <c r="B894" s="248"/>
      <c r="C894" s="248"/>
      <c r="D894" s="248"/>
      <c r="E894" s="248"/>
      <c r="F894" s="248"/>
      <c r="G894" s="248"/>
      <c r="I894" s="248"/>
      <c r="J894" s="248"/>
      <c r="K894" s="248"/>
      <c r="L894" s="248"/>
      <c r="M894" s="248"/>
      <c r="N894" s="248"/>
      <c r="P894" s="248"/>
      <c r="Q894" s="248"/>
    </row>
    <row r="895">
      <c r="A895" s="248"/>
      <c r="B895" s="248"/>
      <c r="C895" s="248"/>
      <c r="D895" s="248"/>
      <c r="E895" s="248"/>
      <c r="F895" s="248"/>
      <c r="G895" s="248"/>
      <c r="I895" s="248"/>
      <c r="J895" s="248"/>
      <c r="K895" s="248"/>
      <c r="L895" s="248"/>
      <c r="M895" s="248"/>
      <c r="N895" s="248"/>
      <c r="P895" s="248"/>
      <c r="Q895" s="248"/>
    </row>
    <row r="896">
      <c r="A896" s="248"/>
      <c r="B896" s="248"/>
      <c r="C896" s="248"/>
      <c r="D896" s="248"/>
      <c r="E896" s="248"/>
      <c r="F896" s="248"/>
      <c r="G896" s="248"/>
      <c r="I896" s="248"/>
      <c r="J896" s="248"/>
      <c r="K896" s="248"/>
      <c r="L896" s="248"/>
      <c r="M896" s="248"/>
      <c r="N896" s="248"/>
      <c r="P896" s="248"/>
      <c r="Q896" s="248"/>
    </row>
    <row r="897">
      <c r="A897" s="248"/>
      <c r="B897" s="248"/>
      <c r="C897" s="248"/>
      <c r="D897" s="248"/>
      <c r="E897" s="248"/>
      <c r="F897" s="248"/>
      <c r="G897" s="248"/>
      <c r="I897" s="248"/>
      <c r="J897" s="248"/>
      <c r="K897" s="248"/>
      <c r="L897" s="248"/>
      <c r="M897" s="248"/>
      <c r="N897" s="248"/>
      <c r="P897" s="248"/>
      <c r="Q897" s="248"/>
    </row>
    <row r="898">
      <c r="A898" s="248"/>
      <c r="B898" s="248"/>
      <c r="C898" s="248"/>
      <c r="D898" s="248"/>
      <c r="E898" s="248"/>
      <c r="F898" s="248"/>
      <c r="G898" s="248"/>
      <c r="I898" s="248"/>
      <c r="J898" s="248"/>
      <c r="K898" s="248"/>
      <c r="L898" s="248"/>
      <c r="M898" s="248"/>
      <c r="N898" s="248"/>
      <c r="P898" s="248"/>
      <c r="Q898" s="248"/>
    </row>
    <row r="899">
      <c r="A899" s="248"/>
      <c r="B899" s="248"/>
      <c r="C899" s="248"/>
      <c r="D899" s="248"/>
      <c r="E899" s="248"/>
      <c r="F899" s="248"/>
      <c r="G899" s="248"/>
      <c r="I899" s="248"/>
      <c r="J899" s="248"/>
      <c r="K899" s="248"/>
      <c r="L899" s="248"/>
      <c r="M899" s="248"/>
      <c r="N899" s="248"/>
      <c r="P899" s="248"/>
      <c r="Q899" s="248"/>
    </row>
    <row r="900">
      <c r="A900" s="248"/>
      <c r="B900" s="248"/>
      <c r="C900" s="248"/>
      <c r="D900" s="248"/>
      <c r="E900" s="248"/>
      <c r="F900" s="248"/>
      <c r="G900" s="248"/>
      <c r="I900" s="248"/>
      <c r="J900" s="248"/>
      <c r="K900" s="248"/>
      <c r="L900" s="248"/>
      <c r="M900" s="248"/>
      <c r="N900" s="248"/>
      <c r="P900" s="248"/>
      <c r="Q900" s="248"/>
    </row>
    <row r="901">
      <c r="A901" s="248"/>
      <c r="B901" s="248"/>
      <c r="C901" s="248"/>
      <c r="D901" s="248"/>
      <c r="E901" s="248"/>
      <c r="F901" s="248"/>
      <c r="G901" s="248"/>
      <c r="I901" s="248"/>
      <c r="J901" s="248"/>
      <c r="K901" s="248"/>
      <c r="L901" s="248"/>
      <c r="M901" s="248"/>
      <c r="N901" s="248"/>
      <c r="P901" s="248"/>
      <c r="Q901" s="248"/>
    </row>
    <row r="902">
      <c r="A902" s="248"/>
      <c r="B902" s="248"/>
      <c r="C902" s="248"/>
      <c r="D902" s="248"/>
      <c r="E902" s="248"/>
      <c r="F902" s="248"/>
      <c r="G902" s="248"/>
      <c r="I902" s="248"/>
      <c r="J902" s="248"/>
      <c r="K902" s="248"/>
      <c r="L902" s="248"/>
      <c r="M902" s="248"/>
      <c r="N902" s="248"/>
      <c r="P902" s="248"/>
      <c r="Q902" s="248"/>
    </row>
    <row r="903">
      <c r="A903" s="248"/>
      <c r="B903" s="248"/>
      <c r="C903" s="248"/>
      <c r="D903" s="248"/>
      <c r="E903" s="248"/>
      <c r="F903" s="248"/>
      <c r="G903" s="248"/>
      <c r="I903" s="248"/>
      <c r="J903" s="248"/>
      <c r="K903" s="248"/>
      <c r="L903" s="248"/>
      <c r="M903" s="248"/>
      <c r="N903" s="248"/>
      <c r="P903" s="248"/>
      <c r="Q903" s="248"/>
    </row>
    <row r="904">
      <c r="A904" s="248"/>
      <c r="B904" s="248"/>
      <c r="C904" s="248"/>
      <c r="D904" s="248"/>
      <c r="E904" s="248"/>
      <c r="F904" s="248"/>
      <c r="G904" s="248"/>
      <c r="I904" s="248"/>
      <c r="J904" s="248"/>
      <c r="K904" s="248"/>
      <c r="L904" s="248"/>
      <c r="M904" s="248"/>
      <c r="N904" s="248"/>
      <c r="P904" s="248"/>
      <c r="Q904" s="248"/>
    </row>
    <row r="905">
      <c r="A905" s="248"/>
      <c r="B905" s="248"/>
      <c r="C905" s="248"/>
      <c r="D905" s="248"/>
      <c r="E905" s="248"/>
      <c r="F905" s="248"/>
      <c r="G905" s="248"/>
      <c r="I905" s="248"/>
      <c r="J905" s="248"/>
      <c r="K905" s="248"/>
      <c r="L905" s="248"/>
      <c r="M905" s="248"/>
      <c r="N905" s="248"/>
      <c r="P905" s="248"/>
      <c r="Q905" s="248"/>
    </row>
    <row r="906">
      <c r="A906" s="248"/>
      <c r="B906" s="248"/>
      <c r="C906" s="248"/>
      <c r="D906" s="248"/>
      <c r="E906" s="248"/>
      <c r="F906" s="248"/>
      <c r="G906" s="248"/>
      <c r="I906" s="248"/>
      <c r="J906" s="248"/>
      <c r="K906" s="248"/>
      <c r="L906" s="248"/>
      <c r="M906" s="248"/>
      <c r="N906" s="248"/>
      <c r="P906" s="248"/>
      <c r="Q906" s="248"/>
    </row>
    <row r="907">
      <c r="A907" s="248"/>
      <c r="B907" s="248"/>
      <c r="C907" s="248"/>
      <c r="D907" s="248"/>
      <c r="E907" s="248"/>
      <c r="F907" s="248"/>
      <c r="G907" s="248"/>
      <c r="I907" s="248"/>
      <c r="J907" s="248"/>
      <c r="K907" s="248"/>
      <c r="L907" s="248"/>
      <c r="M907" s="248"/>
      <c r="N907" s="248"/>
      <c r="P907" s="248"/>
      <c r="Q907" s="248"/>
    </row>
    <row r="908">
      <c r="A908" s="248"/>
      <c r="B908" s="248"/>
      <c r="C908" s="248"/>
      <c r="D908" s="248"/>
      <c r="E908" s="248"/>
      <c r="F908" s="248"/>
      <c r="G908" s="248"/>
      <c r="I908" s="248"/>
      <c r="J908" s="248"/>
      <c r="K908" s="248"/>
      <c r="L908" s="248"/>
      <c r="M908" s="248"/>
      <c r="N908" s="248"/>
      <c r="P908" s="248"/>
      <c r="Q908" s="248"/>
    </row>
    <row r="909">
      <c r="A909" s="248"/>
      <c r="B909" s="248"/>
      <c r="C909" s="248"/>
      <c r="D909" s="248"/>
      <c r="E909" s="248"/>
      <c r="F909" s="248"/>
      <c r="G909" s="248"/>
      <c r="I909" s="248"/>
      <c r="J909" s="248"/>
      <c r="K909" s="248"/>
      <c r="L909" s="248"/>
      <c r="M909" s="248"/>
      <c r="N909" s="248"/>
      <c r="P909" s="248"/>
      <c r="Q909" s="248"/>
    </row>
    <row r="910">
      <c r="A910" s="248"/>
      <c r="B910" s="248"/>
      <c r="C910" s="248"/>
      <c r="D910" s="248"/>
      <c r="E910" s="248"/>
      <c r="F910" s="248"/>
      <c r="G910" s="248"/>
      <c r="I910" s="248"/>
      <c r="J910" s="248"/>
      <c r="K910" s="248"/>
      <c r="L910" s="248"/>
      <c r="M910" s="248"/>
      <c r="N910" s="248"/>
      <c r="P910" s="248"/>
      <c r="Q910" s="248"/>
    </row>
    <row r="911">
      <c r="A911" s="248"/>
      <c r="B911" s="248"/>
      <c r="C911" s="248"/>
      <c r="D911" s="248"/>
      <c r="E911" s="248"/>
      <c r="F911" s="248"/>
      <c r="G911" s="248"/>
      <c r="I911" s="248"/>
      <c r="J911" s="248"/>
      <c r="K911" s="248"/>
      <c r="L911" s="248"/>
      <c r="M911" s="248"/>
      <c r="N911" s="248"/>
      <c r="P911" s="248"/>
      <c r="Q911" s="248"/>
    </row>
    <row r="912">
      <c r="A912" s="248"/>
      <c r="B912" s="248"/>
      <c r="C912" s="248"/>
      <c r="D912" s="248"/>
      <c r="E912" s="248"/>
      <c r="F912" s="248"/>
      <c r="G912" s="248"/>
      <c r="I912" s="248"/>
      <c r="J912" s="248"/>
      <c r="K912" s="248"/>
      <c r="L912" s="248"/>
      <c r="M912" s="248"/>
      <c r="N912" s="248"/>
      <c r="P912" s="248"/>
      <c r="Q912" s="248"/>
    </row>
    <row r="913">
      <c r="A913" s="248"/>
      <c r="B913" s="248"/>
      <c r="C913" s="248"/>
      <c r="D913" s="248"/>
      <c r="E913" s="248"/>
      <c r="F913" s="248"/>
      <c r="G913" s="248"/>
      <c r="I913" s="248"/>
      <c r="J913" s="248"/>
      <c r="K913" s="248"/>
      <c r="L913" s="248"/>
      <c r="M913" s="248"/>
      <c r="N913" s="248"/>
      <c r="P913" s="248"/>
      <c r="Q913" s="248"/>
    </row>
    <row r="914">
      <c r="A914" s="248"/>
      <c r="B914" s="248"/>
      <c r="C914" s="248"/>
      <c r="D914" s="248"/>
      <c r="E914" s="248"/>
      <c r="F914" s="248"/>
      <c r="G914" s="248"/>
      <c r="I914" s="248"/>
      <c r="J914" s="248"/>
      <c r="K914" s="248"/>
      <c r="L914" s="248"/>
      <c r="M914" s="248"/>
      <c r="N914" s="248"/>
      <c r="P914" s="248"/>
      <c r="Q914" s="248"/>
    </row>
    <row r="915">
      <c r="A915" s="248"/>
      <c r="B915" s="248"/>
      <c r="C915" s="248"/>
      <c r="D915" s="248"/>
      <c r="E915" s="248"/>
      <c r="F915" s="248"/>
      <c r="G915" s="248"/>
      <c r="I915" s="248"/>
      <c r="J915" s="248"/>
      <c r="K915" s="248"/>
      <c r="L915" s="248"/>
      <c r="M915" s="248"/>
      <c r="N915" s="248"/>
      <c r="P915" s="248"/>
      <c r="Q915" s="248"/>
    </row>
    <row r="916">
      <c r="A916" s="248"/>
      <c r="B916" s="248"/>
      <c r="C916" s="248"/>
      <c r="D916" s="248"/>
      <c r="E916" s="248"/>
      <c r="F916" s="248"/>
      <c r="G916" s="248"/>
      <c r="I916" s="248"/>
      <c r="J916" s="248"/>
      <c r="K916" s="248"/>
      <c r="L916" s="248"/>
      <c r="M916" s="248"/>
      <c r="N916" s="248"/>
      <c r="P916" s="248"/>
      <c r="Q916" s="248"/>
    </row>
    <row r="917">
      <c r="A917" s="248"/>
      <c r="B917" s="248"/>
      <c r="C917" s="248"/>
      <c r="D917" s="248"/>
      <c r="E917" s="248"/>
      <c r="F917" s="248"/>
      <c r="G917" s="248"/>
      <c r="I917" s="248"/>
      <c r="J917" s="248"/>
      <c r="K917" s="248"/>
      <c r="L917" s="248"/>
      <c r="M917" s="248"/>
      <c r="N917" s="248"/>
      <c r="P917" s="248"/>
      <c r="Q917" s="248"/>
    </row>
    <row r="918">
      <c r="A918" s="248"/>
      <c r="B918" s="248"/>
      <c r="C918" s="248"/>
      <c r="D918" s="248"/>
      <c r="E918" s="248"/>
      <c r="F918" s="248"/>
      <c r="G918" s="248"/>
      <c r="I918" s="248"/>
      <c r="J918" s="248"/>
      <c r="K918" s="248"/>
      <c r="L918" s="248"/>
      <c r="M918" s="248"/>
      <c r="N918" s="248"/>
      <c r="P918" s="248"/>
      <c r="Q918" s="248"/>
    </row>
    <row r="919">
      <c r="A919" s="248"/>
      <c r="B919" s="248"/>
      <c r="C919" s="248"/>
      <c r="D919" s="248"/>
      <c r="E919" s="248"/>
      <c r="F919" s="248"/>
      <c r="G919" s="248"/>
      <c r="I919" s="248"/>
      <c r="J919" s="248"/>
      <c r="K919" s="248"/>
      <c r="L919" s="248"/>
      <c r="M919" s="248"/>
      <c r="N919" s="248"/>
      <c r="P919" s="248"/>
      <c r="Q919" s="248"/>
    </row>
    <row r="920">
      <c r="A920" s="248"/>
      <c r="B920" s="248"/>
      <c r="C920" s="248"/>
      <c r="D920" s="248"/>
      <c r="E920" s="248"/>
      <c r="F920" s="248"/>
      <c r="G920" s="248"/>
      <c r="I920" s="248"/>
      <c r="J920" s="248"/>
      <c r="K920" s="248"/>
      <c r="L920" s="248"/>
      <c r="M920" s="248"/>
      <c r="N920" s="248"/>
      <c r="P920" s="248"/>
      <c r="Q920" s="248"/>
    </row>
    <row r="921">
      <c r="A921" s="248"/>
      <c r="B921" s="248"/>
      <c r="C921" s="248"/>
      <c r="D921" s="248"/>
      <c r="E921" s="248"/>
      <c r="F921" s="248"/>
      <c r="G921" s="248"/>
      <c r="I921" s="248"/>
      <c r="J921" s="248"/>
      <c r="K921" s="248"/>
      <c r="L921" s="248"/>
      <c r="M921" s="248"/>
      <c r="N921" s="248"/>
      <c r="P921" s="248"/>
      <c r="Q921" s="248"/>
    </row>
    <row r="922">
      <c r="A922" s="248"/>
      <c r="B922" s="248"/>
      <c r="C922" s="248"/>
      <c r="D922" s="248"/>
      <c r="E922" s="248"/>
      <c r="F922" s="248"/>
      <c r="G922" s="248"/>
      <c r="I922" s="248"/>
      <c r="J922" s="248"/>
      <c r="K922" s="248"/>
      <c r="L922" s="248"/>
      <c r="M922" s="248"/>
      <c r="N922" s="248"/>
      <c r="P922" s="248"/>
      <c r="Q922" s="248"/>
    </row>
    <row r="923">
      <c r="A923" s="248"/>
      <c r="B923" s="248"/>
      <c r="C923" s="248"/>
      <c r="D923" s="248"/>
      <c r="E923" s="248"/>
      <c r="F923" s="248"/>
      <c r="G923" s="248"/>
      <c r="I923" s="248"/>
      <c r="J923" s="248"/>
      <c r="K923" s="248"/>
      <c r="L923" s="248"/>
      <c r="M923" s="248"/>
      <c r="N923" s="248"/>
      <c r="P923" s="248"/>
      <c r="Q923" s="248"/>
    </row>
    <row r="924">
      <c r="A924" s="248"/>
      <c r="B924" s="248"/>
      <c r="C924" s="248"/>
      <c r="D924" s="248"/>
      <c r="E924" s="248"/>
      <c r="F924" s="248"/>
      <c r="G924" s="248"/>
      <c r="I924" s="248"/>
      <c r="J924" s="248"/>
      <c r="K924" s="248"/>
      <c r="L924" s="248"/>
      <c r="M924" s="248"/>
      <c r="N924" s="248"/>
      <c r="P924" s="248"/>
      <c r="Q924" s="248"/>
    </row>
    <row r="925">
      <c r="A925" s="248"/>
      <c r="B925" s="248"/>
      <c r="C925" s="248"/>
      <c r="D925" s="248"/>
      <c r="E925" s="248"/>
      <c r="F925" s="248"/>
      <c r="G925" s="248"/>
      <c r="I925" s="248"/>
      <c r="J925" s="248"/>
      <c r="K925" s="248"/>
      <c r="L925" s="248"/>
      <c r="M925" s="248"/>
      <c r="N925" s="248"/>
      <c r="P925" s="248"/>
      <c r="Q925" s="248"/>
    </row>
    <row r="926">
      <c r="A926" s="248"/>
      <c r="B926" s="248"/>
      <c r="C926" s="248"/>
      <c r="D926" s="248"/>
      <c r="E926" s="248"/>
      <c r="F926" s="248"/>
      <c r="G926" s="248"/>
      <c r="I926" s="248"/>
      <c r="J926" s="248"/>
      <c r="K926" s="248"/>
      <c r="L926" s="248"/>
      <c r="M926" s="248"/>
      <c r="N926" s="248"/>
      <c r="P926" s="248"/>
      <c r="Q926" s="248"/>
    </row>
    <row r="927">
      <c r="A927" s="248"/>
      <c r="B927" s="248"/>
      <c r="C927" s="248"/>
      <c r="D927" s="248"/>
      <c r="E927" s="248"/>
      <c r="F927" s="248"/>
      <c r="G927" s="248"/>
      <c r="I927" s="248"/>
      <c r="J927" s="248"/>
      <c r="K927" s="248"/>
      <c r="L927" s="248"/>
      <c r="M927" s="248"/>
      <c r="N927" s="248"/>
      <c r="P927" s="248"/>
      <c r="Q927" s="248"/>
    </row>
    <row r="928">
      <c r="A928" s="248"/>
      <c r="B928" s="248"/>
      <c r="C928" s="248"/>
      <c r="D928" s="248"/>
      <c r="E928" s="248"/>
      <c r="F928" s="248"/>
      <c r="G928" s="248"/>
      <c r="I928" s="248"/>
      <c r="J928" s="248"/>
      <c r="K928" s="248"/>
      <c r="L928" s="248"/>
      <c r="M928" s="248"/>
      <c r="N928" s="248"/>
      <c r="P928" s="248"/>
      <c r="Q928" s="248"/>
    </row>
    <row r="929">
      <c r="A929" s="248"/>
      <c r="B929" s="248"/>
      <c r="C929" s="248"/>
      <c r="D929" s="248"/>
      <c r="E929" s="248"/>
      <c r="F929" s="248"/>
      <c r="G929" s="248"/>
      <c r="I929" s="248"/>
      <c r="J929" s="248"/>
      <c r="K929" s="248"/>
      <c r="L929" s="248"/>
      <c r="M929" s="248"/>
      <c r="N929" s="248"/>
      <c r="P929" s="248"/>
      <c r="Q929" s="248"/>
    </row>
    <row r="930">
      <c r="A930" s="248"/>
      <c r="B930" s="248"/>
      <c r="C930" s="248"/>
      <c r="D930" s="248"/>
      <c r="E930" s="248"/>
      <c r="F930" s="248"/>
      <c r="G930" s="248"/>
      <c r="I930" s="248"/>
      <c r="J930" s="248"/>
      <c r="K930" s="248"/>
      <c r="L930" s="248"/>
      <c r="M930" s="248"/>
      <c r="N930" s="248"/>
      <c r="P930" s="248"/>
      <c r="Q930" s="248"/>
    </row>
    <row r="931">
      <c r="A931" s="248"/>
      <c r="B931" s="248"/>
      <c r="C931" s="248"/>
      <c r="D931" s="248"/>
      <c r="E931" s="248"/>
      <c r="F931" s="248"/>
      <c r="G931" s="248"/>
      <c r="I931" s="248"/>
      <c r="J931" s="248"/>
      <c r="K931" s="248"/>
      <c r="L931" s="248"/>
      <c r="M931" s="248"/>
      <c r="N931" s="248"/>
      <c r="P931" s="248"/>
      <c r="Q931" s="248"/>
    </row>
    <row r="932">
      <c r="A932" s="248"/>
      <c r="B932" s="248"/>
      <c r="C932" s="248"/>
      <c r="D932" s="248"/>
      <c r="E932" s="248"/>
      <c r="F932" s="248"/>
      <c r="G932" s="248"/>
      <c r="I932" s="248"/>
      <c r="J932" s="248"/>
      <c r="K932" s="248"/>
      <c r="L932" s="248"/>
      <c r="M932" s="248"/>
      <c r="N932" s="248"/>
      <c r="P932" s="248"/>
      <c r="Q932" s="248"/>
    </row>
    <row r="933">
      <c r="A933" s="248"/>
      <c r="B933" s="248"/>
      <c r="C933" s="248"/>
      <c r="D933" s="248"/>
      <c r="E933" s="248"/>
      <c r="F933" s="248"/>
      <c r="G933" s="248"/>
      <c r="I933" s="248"/>
      <c r="J933" s="248"/>
      <c r="K933" s="248"/>
      <c r="L933" s="248"/>
      <c r="M933" s="248"/>
      <c r="N933" s="248"/>
      <c r="P933" s="248"/>
      <c r="Q933" s="248"/>
    </row>
    <row r="934">
      <c r="A934" s="248"/>
      <c r="B934" s="248"/>
      <c r="C934" s="248"/>
      <c r="D934" s="248"/>
      <c r="E934" s="248"/>
      <c r="F934" s="248"/>
      <c r="G934" s="248"/>
      <c r="I934" s="248"/>
      <c r="J934" s="248"/>
      <c r="K934" s="248"/>
      <c r="L934" s="248"/>
      <c r="M934" s="248"/>
      <c r="N934" s="248"/>
      <c r="P934" s="248"/>
      <c r="Q934" s="248"/>
    </row>
    <row r="935">
      <c r="A935" s="248"/>
      <c r="B935" s="248"/>
      <c r="C935" s="248"/>
      <c r="D935" s="248"/>
      <c r="E935" s="248"/>
      <c r="F935" s="248"/>
      <c r="G935" s="248"/>
      <c r="I935" s="248"/>
      <c r="J935" s="248"/>
      <c r="K935" s="248"/>
      <c r="L935" s="248"/>
      <c r="M935" s="248"/>
      <c r="N935" s="248"/>
      <c r="P935" s="248"/>
      <c r="Q935" s="248"/>
    </row>
    <row r="936">
      <c r="A936" s="248"/>
      <c r="B936" s="248"/>
      <c r="C936" s="248"/>
      <c r="D936" s="248"/>
      <c r="E936" s="248"/>
      <c r="F936" s="248"/>
      <c r="G936" s="248"/>
      <c r="I936" s="248"/>
      <c r="J936" s="248"/>
      <c r="K936" s="248"/>
      <c r="L936" s="248"/>
      <c r="M936" s="248"/>
      <c r="N936" s="248"/>
      <c r="P936" s="248"/>
      <c r="Q936" s="248"/>
    </row>
    <row r="937">
      <c r="A937" s="248"/>
      <c r="B937" s="248"/>
      <c r="C937" s="248"/>
      <c r="D937" s="248"/>
      <c r="E937" s="248"/>
      <c r="F937" s="248"/>
      <c r="G937" s="248"/>
      <c r="I937" s="248"/>
      <c r="J937" s="248"/>
      <c r="K937" s="248"/>
      <c r="L937" s="248"/>
      <c r="M937" s="248"/>
      <c r="N937" s="248"/>
      <c r="P937" s="248"/>
      <c r="Q937" s="248"/>
    </row>
    <row r="938">
      <c r="A938" s="248"/>
      <c r="B938" s="248"/>
      <c r="C938" s="248"/>
      <c r="D938" s="248"/>
      <c r="E938" s="248"/>
      <c r="F938" s="248"/>
      <c r="G938" s="248"/>
      <c r="I938" s="248"/>
      <c r="J938" s="248"/>
      <c r="K938" s="248"/>
      <c r="L938" s="248"/>
      <c r="M938" s="248"/>
      <c r="N938" s="248"/>
      <c r="P938" s="248"/>
      <c r="Q938" s="248"/>
    </row>
    <row r="939">
      <c r="A939" s="248"/>
      <c r="B939" s="248"/>
      <c r="C939" s="248"/>
      <c r="D939" s="248"/>
      <c r="E939" s="248"/>
      <c r="F939" s="248"/>
      <c r="G939" s="248"/>
      <c r="I939" s="248"/>
      <c r="J939" s="248"/>
      <c r="K939" s="248"/>
      <c r="L939" s="248"/>
      <c r="M939" s="248"/>
      <c r="N939" s="248"/>
      <c r="P939" s="248"/>
      <c r="Q939" s="248"/>
    </row>
    <row r="940">
      <c r="A940" s="248"/>
      <c r="B940" s="248"/>
      <c r="C940" s="248"/>
      <c r="D940" s="248"/>
      <c r="E940" s="248"/>
      <c r="F940" s="248"/>
      <c r="G940" s="248"/>
      <c r="I940" s="248"/>
      <c r="J940" s="248"/>
      <c r="K940" s="248"/>
      <c r="L940" s="248"/>
      <c r="M940" s="248"/>
      <c r="N940" s="248"/>
      <c r="P940" s="248"/>
      <c r="Q940" s="248"/>
    </row>
    <row r="941">
      <c r="A941" s="248"/>
      <c r="B941" s="248"/>
      <c r="C941" s="248"/>
      <c r="D941" s="248"/>
      <c r="E941" s="248"/>
      <c r="F941" s="248"/>
      <c r="G941" s="248"/>
      <c r="I941" s="248"/>
      <c r="J941" s="248"/>
      <c r="K941" s="248"/>
      <c r="L941" s="248"/>
      <c r="M941" s="248"/>
      <c r="N941" s="248"/>
      <c r="P941" s="248"/>
      <c r="Q941" s="248"/>
    </row>
    <row r="942">
      <c r="A942" s="248"/>
      <c r="B942" s="248"/>
      <c r="C942" s="248"/>
      <c r="D942" s="248"/>
      <c r="E942" s="248"/>
      <c r="F942" s="248"/>
      <c r="G942" s="248"/>
      <c r="I942" s="248"/>
      <c r="J942" s="248"/>
      <c r="K942" s="248"/>
      <c r="L942" s="248"/>
      <c r="M942" s="248"/>
      <c r="N942" s="248"/>
      <c r="P942" s="248"/>
      <c r="Q942" s="248"/>
    </row>
    <row r="943">
      <c r="A943" s="248"/>
      <c r="B943" s="248"/>
      <c r="C943" s="248"/>
      <c r="D943" s="248"/>
      <c r="E943" s="248"/>
      <c r="F943" s="248"/>
      <c r="G943" s="248"/>
      <c r="I943" s="248"/>
      <c r="J943" s="248"/>
      <c r="K943" s="248"/>
      <c r="L943" s="248"/>
      <c r="M943" s="248"/>
      <c r="N943" s="248"/>
      <c r="P943" s="248"/>
      <c r="Q943" s="248"/>
    </row>
    <row r="944">
      <c r="A944" s="248"/>
      <c r="B944" s="248"/>
      <c r="C944" s="248"/>
      <c r="D944" s="248"/>
      <c r="E944" s="248"/>
      <c r="F944" s="248"/>
      <c r="G944" s="248"/>
      <c r="I944" s="248"/>
      <c r="J944" s="248"/>
      <c r="K944" s="248"/>
      <c r="L944" s="248"/>
      <c r="M944" s="248"/>
      <c r="N944" s="248"/>
      <c r="P944" s="248"/>
      <c r="Q944" s="248"/>
    </row>
    <row r="945">
      <c r="A945" s="248"/>
      <c r="B945" s="248"/>
      <c r="C945" s="248"/>
      <c r="D945" s="248"/>
      <c r="E945" s="248"/>
      <c r="F945" s="248"/>
      <c r="G945" s="248"/>
      <c r="I945" s="248"/>
      <c r="J945" s="248"/>
      <c r="K945" s="248"/>
      <c r="L945" s="248"/>
      <c r="M945" s="248"/>
      <c r="N945" s="248"/>
      <c r="P945" s="248"/>
      <c r="Q945" s="248"/>
    </row>
    <row r="946">
      <c r="A946" s="248"/>
      <c r="B946" s="248"/>
      <c r="C946" s="248"/>
      <c r="D946" s="248"/>
      <c r="E946" s="248"/>
      <c r="F946" s="248"/>
      <c r="G946" s="248"/>
      <c r="I946" s="248"/>
      <c r="J946" s="248"/>
      <c r="K946" s="248"/>
      <c r="L946" s="248"/>
      <c r="M946" s="248"/>
      <c r="N946" s="248"/>
      <c r="P946" s="248"/>
      <c r="Q946" s="248"/>
    </row>
    <row r="947">
      <c r="A947" s="248"/>
      <c r="B947" s="248"/>
      <c r="C947" s="248"/>
      <c r="D947" s="248"/>
      <c r="E947" s="248"/>
      <c r="F947" s="248"/>
      <c r="G947" s="248"/>
      <c r="I947" s="248"/>
      <c r="J947" s="248"/>
      <c r="K947" s="248"/>
      <c r="L947" s="248"/>
      <c r="M947" s="248"/>
      <c r="N947" s="248"/>
      <c r="P947" s="248"/>
      <c r="Q947" s="248"/>
    </row>
    <row r="948">
      <c r="A948" s="248"/>
      <c r="B948" s="248"/>
      <c r="C948" s="248"/>
      <c r="D948" s="248"/>
      <c r="E948" s="248"/>
      <c r="F948" s="248"/>
      <c r="G948" s="248"/>
      <c r="I948" s="248"/>
      <c r="J948" s="248"/>
      <c r="K948" s="248"/>
      <c r="L948" s="248"/>
      <c r="M948" s="248"/>
      <c r="N948" s="248"/>
      <c r="P948" s="248"/>
      <c r="Q948" s="248"/>
    </row>
    <row r="949">
      <c r="A949" s="248"/>
      <c r="B949" s="248"/>
      <c r="C949" s="248"/>
      <c r="D949" s="248"/>
      <c r="E949" s="248"/>
      <c r="F949" s="248"/>
      <c r="G949" s="248"/>
      <c r="I949" s="248"/>
      <c r="J949" s="248"/>
      <c r="K949" s="248"/>
      <c r="L949" s="248"/>
      <c r="M949" s="248"/>
      <c r="N949" s="248"/>
      <c r="P949" s="248"/>
      <c r="Q949" s="248"/>
    </row>
    <row r="950">
      <c r="A950" s="248"/>
      <c r="B950" s="248"/>
      <c r="C950" s="248"/>
      <c r="D950" s="248"/>
      <c r="E950" s="248"/>
      <c r="F950" s="248"/>
      <c r="G950" s="248"/>
      <c r="I950" s="248"/>
      <c r="J950" s="248"/>
      <c r="K950" s="248"/>
      <c r="L950" s="248"/>
      <c r="M950" s="248"/>
      <c r="N950" s="248"/>
      <c r="P950" s="248"/>
      <c r="Q950" s="248"/>
    </row>
    <row r="951">
      <c r="A951" s="248"/>
      <c r="B951" s="248"/>
      <c r="C951" s="248"/>
      <c r="D951" s="248"/>
      <c r="E951" s="248"/>
      <c r="F951" s="248"/>
      <c r="G951" s="248"/>
      <c r="I951" s="248"/>
      <c r="J951" s="248"/>
      <c r="K951" s="248"/>
      <c r="L951" s="248"/>
      <c r="M951" s="248"/>
      <c r="N951" s="248"/>
      <c r="P951" s="248"/>
      <c r="Q951" s="248"/>
    </row>
    <row r="952">
      <c r="A952" s="248"/>
      <c r="B952" s="248"/>
      <c r="C952" s="248"/>
      <c r="D952" s="248"/>
      <c r="E952" s="248"/>
      <c r="F952" s="248"/>
      <c r="G952" s="248"/>
      <c r="I952" s="248"/>
      <c r="J952" s="248"/>
      <c r="K952" s="248"/>
      <c r="L952" s="248"/>
      <c r="M952" s="248"/>
      <c r="N952" s="248"/>
      <c r="P952" s="248"/>
      <c r="Q952" s="248"/>
    </row>
    <row r="953">
      <c r="A953" s="248"/>
      <c r="B953" s="248"/>
      <c r="C953" s="248"/>
      <c r="D953" s="248"/>
      <c r="E953" s="248"/>
      <c r="F953" s="248"/>
      <c r="G953" s="248"/>
      <c r="I953" s="248"/>
      <c r="J953" s="248"/>
      <c r="K953" s="248"/>
      <c r="L953" s="248"/>
      <c r="M953" s="248"/>
      <c r="N953" s="248"/>
      <c r="P953" s="248"/>
      <c r="Q953" s="248"/>
    </row>
    <row r="954">
      <c r="A954" s="248"/>
      <c r="B954" s="248"/>
      <c r="C954" s="248"/>
      <c r="D954" s="248"/>
      <c r="E954" s="248"/>
      <c r="F954" s="248"/>
      <c r="G954" s="248"/>
      <c r="I954" s="248"/>
      <c r="J954" s="248"/>
      <c r="K954" s="248"/>
      <c r="L954" s="248"/>
      <c r="M954" s="248"/>
      <c r="N954" s="248"/>
      <c r="P954" s="248"/>
      <c r="Q954" s="248"/>
    </row>
    <row r="955">
      <c r="A955" s="248"/>
      <c r="B955" s="248"/>
      <c r="C955" s="248"/>
      <c r="D955" s="248"/>
      <c r="E955" s="248"/>
      <c r="F955" s="248"/>
      <c r="G955" s="248"/>
      <c r="I955" s="248"/>
      <c r="J955" s="248"/>
      <c r="K955" s="248"/>
      <c r="L955" s="248"/>
      <c r="M955" s="248"/>
      <c r="N955" s="248"/>
      <c r="P955" s="248"/>
      <c r="Q955" s="248"/>
    </row>
    <row r="956">
      <c r="A956" s="248"/>
      <c r="B956" s="248"/>
      <c r="C956" s="248"/>
      <c r="D956" s="248"/>
      <c r="E956" s="248"/>
      <c r="F956" s="248"/>
      <c r="G956" s="248"/>
      <c r="I956" s="248"/>
      <c r="J956" s="248"/>
      <c r="K956" s="248"/>
      <c r="L956" s="248"/>
      <c r="M956" s="248"/>
      <c r="N956" s="248"/>
      <c r="P956" s="248"/>
      <c r="Q956" s="248"/>
    </row>
    <row r="957">
      <c r="A957" s="248"/>
      <c r="B957" s="248"/>
      <c r="C957" s="248"/>
      <c r="D957" s="248"/>
      <c r="E957" s="248"/>
      <c r="F957" s="248"/>
      <c r="G957" s="248"/>
      <c r="I957" s="248"/>
      <c r="J957" s="248"/>
      <c r="K957" s="248"/>
      <c r="L957" s="248"/>
      <c r="M957" s="248"/>
      <c r="N957" s="248"/>
      <c r="P957" s="248"/>
      <c r="Q957" s="248"/>
    </row>
    <row r="958">
      <c r="A958" s="248"/>
      <c r="B958" s="248"/>
      <c r="C958" s="248"/>
      <c r="D958" s="248"/>
      <c r="E958" s="248"/>
      <c r="F958" s="248"/>
      <c r="G958" s="248"/>
      <c r="I958" s="248"/>
      <c r="J958" s="248"/>
      <c r="K958" s="248"/>
      <c r="L958" s="248"/>
      <c r="M958" s="248"/>
      <c r="N958" s="248"/>
      <c r="P958" s="248"/>
      <c r="Q958" s="248"/>
    </row>
    <row r="959">
      <c r="A959" s="248"/>
      <c r="B959" s="248"/>
      <c r="C959" s="248"/>
      <c r="D959" s="248"/>
      <c r="E959" s="248"/>
      <c r="F959" s="248"/>
      <c r="G959" s="248"/>
      <c r="I959" s="248"/>
      <c r="J959" s="248"/>
      <c r="K959" s="248"/>
      <c r="L959" s="248"/>
      <c r="M959" s="248"/>
      <c r="N959" s="248"/>
      <c r="P959" s="248"/>
      <c r="Q959" s="248"/>
    </row>
    <row r="960">
      <c r="A960" s="248"/>
      <c r="B960" s="248"/>
      <c r="C960" s="248"/>
      <c r="D960" s="248"/>
      <c r="E960" s="248"/>
      <c r="F960" s="248"/>
      <c r="G960" s="248"/>
      <c r="I960" s="248"/>
      <c r="J960" s="248"/>
      <c r="K960" s="248"/>
      <c r="L960" s="248"/>
      <c r="M960" s="248"/>
      <c r="N960" s="248"/>
      <c r="P960" s="248"/>
      <c r="Q960" s="248"/>
    </row>
    <row r="961">
      <c r="A961" s="248"/>
      <c r="B961" s="248"/>
      <c r="C961" s="248"/>
      <c r="D961" s="248"/>
      <c r="E961" s="248"/>
      <c r="F961" s="248"/>
      <c r="G961" s="248"/>
      <c r="I961" s="248"/>
      <c r="J961" s="248"/>
      <c r="K961" s="248"/>
      <c r="L961" s="248"/>
      <c r="M961" s="248"/>
      <c r="N961" s="248"/>
      <c r="P961" s="248"/>
      <c r="Q961" s="248"/>
    </row>
    <row r="962">
      <c r="A962" s="248"/>
      <c r="B962" s="248"/>
      <c r="C962" s="248"/>
      <c r="D962" s="248"/>
      <c r="E962" s="248"/>
      <c r="F962" s="248"/>
      <c r="G962" s="248"/>
      <c r="I962" s="248"/>
      <c r="J962" s="248"/>
      <c r="K962" s="248"/>
      <c r="L962" s="248"/>
      <c r="M962" s="248"/>
      <c r="N962" s="248"/>
      <c r="P962" s="248"/>
      <c r="Q962" s="248"/>
    </row>
    <row r="963">
      <c r="A963" s="248"/>
      <c r="B963" s="248"/>
      <c r="C963" s="248"/>
      <c r="D963" s="248"/>
      <c r="E963" s="248"/>
      <c r="F963" s="248"/>
      <c r="G963" s="248"/>
      <c r="I963" s="248"/>
      <c r="J963" s="248"/>
      <c r="K963" s="248"/>
      <c r="L963" s="248"/>
      <c r="M963" s="248"/>
      <c r="N963" s="248"/>
      <c r="P963" s="248"/>
      <c r="Q963" s="248"/>
    </row>
    <row r="964">
      <c r="A964" s="248"/>
      <c r="B964" s="248"/>
      <c r="C964" s="248"/>
      <c r="D964" s="248"/>
      <c r="E964" s="248"/>
      <c r="F964" s="248"/>
      <c r="G964" s="248"/>
      <c r="I964" s="248"/>
      <c r="J964" s="248"/>
      <c r="K964" s="248"/>
      <c r="L964" s="248"/>
      <c r="M964" s="248"/>
      <c r="N964" s="248"/>
      <c r="P964" s="248"/>
      <c r="Q964" s="248"/>
    </row>
    <row r="965">
      <c r="A965" s="248"/>
      <c r="B965" s="248"/>
      <c r="C965" s="248"/>
      <c r="D965" s="248"/>
      <c r="E965" s="248"/>
      <c r="F965" s="248"/>
      <c r="G965" s="248"/>
      <c r="I965" s="248"/>
      <c r="J965" s="248"/>
      <c r="K965" s="248"/>
      <c r="L965" s="248"/>
      <c r="M965" s="248"/>
      <c r="N965" s="248"/>
      <c r="P965" s="248"/>
      <c r="Q965" s="248"/>
    </row>
    <row r="966">
      <c r="A966" s="248"/>
      <c r="B966" s="248"/>
      <c r="C966" s="248"/>
      <c r="D966" s="248"/>
      <c r="E966" s="248"/>
      <c r="F966" s="248"/>
      <c r="G966" s="248"/>
      <c r="I966" s="248"/>
      <c r="J966" s="248"/>
      <c r="K966" s="248"/>
      <c r="L966" s="248"/>
      <c r="M966" s="248"/>
      <c r="N966" s="248"/>
      <c r="P966" s="248"/>
      <c r="Q966" s="248"/>
    </row>
    <row r="967">
      <c r="A967" s="248"/>
      <c r="B967" s="248"/>
      <c r="C967" s="248"/>
      <c r="D967" s="248"/>
      <c r="E967" s="248"/>
      <c r="F967" s="248"/>
      <c r="G967" s="248"/>
      <c r="I967" s="248"/>
      <c r="J967" s="248"/>
      <c r="K967" s="248"/>
      <c r="L967" s="248"/>
      <c r="M967" s="248"/>
      <c r="N967" s="248"/>
      <c r="P967" s="248"/>
      <c r="Q967" s="248"/>
    </row>
    <row r="968">
      <c r="A968" s="248"/>
      <c r="B968" s="248"/>
      <c r="C968" s="248"/>
      <c r="D968" s="248"/>
      <c r="E968" s="248"/>
      <c r="F968" s="248"/>
      <c r="G968" s="248"/>
      <c r="I968" s="248"/>
      <c r="J968" s="248"/>
      <c r="K968" s="248"/>
      <c r="L968" s="248"/>
      <c r="M968" s="248"/>
      <c r="N968" s="248"/>
      <c r="P968" s="248"/>
      <c r="Q968" s="248"/>
    </row>
    <row r="969">
      <c r="A969" s="248"/>
      <c r="B969" s="248"/>
      <c r="C969" s="248"/>
      <c r="D969" s="248"/>
      <c r="E969" s="248"/>
      <c r="F969" s="248"/>
      <c r="G969" s="248"/>
      <c r="I969" s="248"/>
      <c r="J969" s="248"/>
      <c r="K969" s="248"/>
      <c r="L969" s="248"/>
      <c r="M969" s="248"/>
      <c r="N969" s="248"/>
      <c r="P969" s="248"/>
      <c r="Q969" s="248"/>
    </row>
    <row r="970">
      <c r="A970" s="248"/>
      <c r="B970" s="248"/>
      <c r="C970" s="248"/>
      <c r="D970" s="248"/>
      <c r="E970" s="248"/>
      <c r="F970" s="248"/>
      <c r="G970" s="248"/>
      <c r="I970" s="248"/>
      <c r="J970" s="248"/>
      <c r="K970" s="248"/>
      <c r="L970" s="248"/>
      <c r="M970" s="248"/>
      <c r="N970" s="248"/>
      <c r="P970" s="248"/>
      <c r="Q970" s="248"/>
    </row>
    <row r="971">
      <c r="A971" s="248"/>
      <c r="B971" s="248"/>
      <c r="C971" s="248"/>
      <c r="D971" s="248"/>
      <c r="E971" s="248"/>
      <c r="F971" s="248"/>
      <c r="G971" s="248"/>
      <c r="I971" s="248"/>
      <c r="J971" s="248"/>
      <c r="K971" s="248"/>
      <c r="L971" s="248"/>
      <c r="M971" s="248"/>
      <c r="N971" s="248"/>
      <c r="P971" s="248"/>
      <c r="Q971" s="248"/>
    </row>
    <row r="972">
      <c r="A972" s="248"/>
      <c r="B972" s="248"/>
      <c r="C972" s="248"/>
      <c r="D972" s="248"/>
      <c r="E972" s="248"/>
      <c r="F972" s="248"/>
      <c r="G972" s="248"/>
      <c r="I972" s="248"/>
      <c r="J972" s="248"/>
      <c r="K972" s="248"/>
      <c r="L972" s="248"/>
      <c r="M972" s="248"/>
      <c r="N972" s="248"/>
      <c r="P972" s="248"/>
      <c r="Q972" s="248"/>
    </row>
    <row r="973">
      <c r="A973" s="248"/>
      <c r="B973" s="248"/>
      <c r="C973" s="248"/>
      <c r="D973" s="248"/>
      <c r="E973" s="248"/>
      <c r="F973" s="248"/>
      <c r="G973" s="248"/>
      <c r="I973" s="248"/>
      <c r="J973" s="248"/>
      <c r="K973" s="248"/>
      <c r="L973" s="248"/>
      <c r="M973" s="248"/>
      <c r="N973" s="248"/>
      <c r="P973" s="248"/>
      <c r="Q973" s="248"/>
    </row>
    <row r="974">
      <c r="A974" s="248"/>
      <c r="B974" s="248"/>
      <c r="C974" s="248"/>
      <c r="D974" s="248"/>
      <c r="E974" s="248"/>
      <c r="F974" s="248"/>
      <c r="G974" s="248"/>
      <c r="I974" s="248"/>
      <c r="J974" s="248"/>
      <c r="K974" s="248"/>
      <c r="L974" s="248"/>
      <c r="M974" s="248"/>
      <c r="N974" s="248"/>
      <c r="P974" s="248"/>
      <c r="Q974" s="248"/>
    </row>
    <row r="975">
      <c r="A975" s="248"/>
      <c r="B975" s="248"/>
      <c r="C975" s="248"/>
      <c r="D975" s="248"/>
      <c r="E975" s="248"/>
      <c r="F975" s="248"/>
      <c r="G975" s="248"/>
      <c r="I975" s="248"/>
      <c r="J975" s="248"/>
      <c r="K975" s="248"/>
      <c r="L975" s="248"/>
      <c r="M975" s="248"/>
      <c r="N975" s="248"/>
      <c r="P975" s="248"/>
      <c r="Q975" s="248"/>
    </row>
    <row r="976">
      <c r="A976" s="248"/>
      <c r="B976" s="248"/>
      <c r="C976" s="248"/>
      <c r="D976" s="248"/>
      <c r="E976" s="248"/>
      <c r="F976" s="248"/>
      <c r="G976" s="248"/>
      <c r="I976" s="248"/>
      <c r="J976" s="248"/>
      <c r="K976" s="248"/>
      <c r="L976" s="248"/>
      <c r="M976" s="248"/>
      <c r="N976" s="248"/>
      <c r="P976" s="248"/>
      <c r="Q976" s="248"/>
    </row>
    <row r="977">
      <c r="A977" s="248"/>
      <c r="B977" s="248"/>
      <c r="C977" s="248"/>
      <c r="D977" s="248"/>
      <c r="E977" s="248"/>
      <c r="F977" s="248"/>
      <c r="G977" s="248"/>
      <c r="I977" s="248"/>
      <c r="J977" s="248"/>
      <c r="K977" s="248"/>
      <c r="L977" s="248"/>
      <c r="M977" s="248"/>
      <c r="N977" s="248"/>
      <c r="P977" s="248"/>
      <c r="Q977" s="248"/>
    </row>
    <row r="978">
      <c r="A978" s="248"/>
      <c r="B978" s="248"/>
      <c r="C978" s="248"/>
      <c r="D978" s="248"/>
      <c r="E978" s="248"/>
      <c r="F978" s="248"/>
      <c r="G978" s="248"/>
      <c r="I978" s="248"/>
      <c r="J978" s="248"/>
      <c r="K978" s="248"/>
      <c r="L978" s="248"/>
      <c r="M978" s="248"/>
      <c r="N978" s="248"/>
      <c r="P978" s="248"/>
      <c r="Q978" s="248"/>
    </row>
    <row r="979">
      <c r="A979" s="248"/>
      <c r="B979" s="248"/>
      <c r="C979" s="248"/>
      <c r="D979" s="248"/>
      <c r="E979" s="248"/>
      <c r="F979" s="248"/>
      <c r="G979" s="248"/>
      <c r="I979" s="248"/>
      <c r="J979" s="248"/>
      <c r="K979" s="248"/>
      <c r="L979" s="248"/>
      <c r="M979" s="248"/>
      <c r="N979" s="248"/>
      <c r="P979" s="248"/>
      <c r="Q979" s="248"/>
    </row>
    <row r="980">
      <c r="A980" s="248"/>
      <c r="B980" s="248"/>
      <c r="C980" s="248"/>
      <c r="D980" s="248"/>
      <c r="E980" s="248"/>
      <c r="F980" s="248"/>
      <c r="G980" s="248"/>
      <c r="I980" s="248"/>
      <c r="J980" s="248"/>
      <c r="K980" s="248"/>
      <c r="L980" s="248"/>
      <c r="M980" s="248"/>
      <c r="N980" s="248"/>
      <c r="P980" s="248"/>
      <c r="Q980" s="248"/>
    </row>
    <row r="981">
      <c r="A981" s="248"/>
      <c r="B981" s="248"/>
      <c r="C981" s="248"/>
      <c r="D981" s="248"/>
      <c r="E981" s="248"/>
      <c r="F981" s="248"/>
      <c r="G981" s="248"/>
      <c r="I981" s="248"/>
      <c r="J981" s="248"/>
      <c r="K981" s="248"/>
      <c r="L981" s="248"/>
      <c r="M981" s="248"/>
      <c r="N981" s="248"/>
      <c r="P981" s="248"/>
      <c r="Q981" s="248"/>
    </row>
    <row r="982">
      <c r="A982" s="248"/>
      <c r="B982" s="248"/>
      <c r="C982" s="248"/>
      <c r="D982" s="248"/>
      <c r="E982" s="248"/>
      <c r="F982" s="248"/>
      <c r="G982" s="248"/>
      <c r="I982" s="248"/>
      <c r="J982" s="248"/>
      <c r="K982" s="248"/>
      <c r="L982" s="248"/>
      <c r="M982" s="248"/>
      <c r="N982" s="248"/>
      <c r="P982" s="248"/>
      <c r="Q982" s="248"/>
    </row>
    <row r="983">
      <c r="A983" s="248"/>
      <c r="B983" s="248"/>
      <c r="C983" s="248"/>
      <c r="D983" s="248"/>
      <c r="E983" s="248"/>
      <c r="F983" s="248"/>
      <c r="G983" s="248"/>
      <c r="I983" s="248"/>
      <c r="J983" s="248"/>
      <c r="K983" s="248"/>
      <c r="L983" s="248"/>
      <c r="M983" s="248"/>
      <c r="N983" s="248"/>
      <c r="P983" s="248"/>
      <c r="Q983" s="248"/>
    </row>
    <row r="984">
      <c r="A984" s="248"/>
      <c r="B984" s="248"/>
      <c r="C984" s="248"/>
      <c r="D984" s="248"/>
      <c r="E984" s="248"/>
      <c r="F984" s="248"/>
      <c r="G984" s="248"/>
      <c r="I984" s="248"/>
      <c r="J984" s="248"/>
      <c r="K984" s="248"/>
      <c r="L984" s="248"/>
      <c r="M984" s="248"/>
      <c r="N984" s="248"/>
      <c r="P984" s="248"/>
      <c r="Q984" s="248"/>
    </row>
    <row r="985">
      <c r="A985" s="248"/>
      <c r="B985" s="248"/>
      <c r="C985" s="248"/>
      <c r="D985" s="248"/>
      <c r="E985" s="248"/>
      <c r="F985" s="248"/>
      <c r="G985" s="248"/>
      <c r="I985" s="248"/>
      <c r="J985" s="248"/>
      <c r="K985" s="248"/>
      <c r="L985" s="248"/>
      <c r="M985" s="248"/>
      <c r="N985" s="248"/>
      <c r="P985" s="248"/>
      <c r="Q985" s="248"/>
    </row>
    <row r="986">
      <c r="A986" s="248"/>
      <c r="B986" s="248"/>
      <c r="C986" s="248"/>
      <c r="D986" s="248"/>
      <c r="E986" s="248"/>
      <c r="F986" s="248"/>
      <c r="G986" s="248"/>
      <c r="I986" s="248"/>
      <c r="J986" s="248"/>
      <c r="K986" s="248"/>
      <c r="L986" s="248"/>
      <c r="M986" s="248"/>
      <c r="N986" s="248"/>
      <c r="P986" s="248"/>
      <c r="Q986" s="248"/>
    </row>
    <row r="987">
      <c r="A987" s="248"/>
      <c r="B987" s="248"/>
      <c r="C987" s="248"/>
      <c r="D987" s="248"/>
      <c r="E987" s="248"/>
      <c r="F987" s="248"/>
      <c r="G987" s="248"/>
      <c r="I987" s="248"/>
      <c r="J987" s="248"/>
      <c r="K987" s="248"/>
      <c r="L987" s="248"/>
      <c r="M987" s="248"/>
      <c r="N987" s="248"/>
      <c r="P987" s="248"/>
      <c r="Q987" s="248"/>
    </row>
    <row r="988">
      <c r="A988" s="248"/>
      <c r="B988" s="248"/>
      <c r="C988" s="248"/>
      <c r="D988" s="248"/>
      <c r="E988" s="248"/>
      <c r="F988" s="248"/>
      <c r="G988" s="248"/>
      <c r="I988" s="248"/>
      <c r="J988" s="248"/>
      <c r="K988" s="248"/>
      <c r="L988" s="248"/>
      <c r="M988" s="248"/>
      <c r="N988" s="248"/>
      <c r="P988" s="248"/>
      <c r="Q988" s="248"/>
    </row>
    <row r="989">
      <c r="A989" s="248"/>
      <c r="B989" s="248"/>
      <c r="C989" s="248"/>
      <c r="D989" s="248"/>
      <c r="E989" s="248"/>
      <c r="F989" s="248"/>
      <c r="G989" s="248"/>
      <c r="I989" s="248"/>
      <c r="J989" s="248"/>
      <c r="K989" s="248"/>
      <c r="L989" s="248"/>
      <c r="M989" s="248"/>
      <c r="N989" s="248"/>
      <c r="P989" s="248"/>
      <c r="Q989" s="248"/>
    </row>
    <row r="990">
      <c r="A990" s="248"/>
      <c r="B990" s="248"/>
      <c r="C990" s="248"/>
      <c r="D990" s="248"/>
      <c r="E990" s="248"/>
      <c r="F990" s="248"/>
      <c r="G990" s="248"/>
      <c r="I990" s="248"/>
      <c r="J990" s="248"/>
      <c r="K990" s="248"/>
      <c r="L990" s="248"/>
      <c r="M990" s="248"/>
      <c r="N990" s="248"/>
      <c r="P990" s="248"/>
      <c r="Q990" s="248"/>
    </row>
    <row r="991">
      <c r="A991" s="248"/>
      <c r="B991" s="248"/>
      <c r="C991" s="248"/>
      <c r="D991" s="248"/>
      <c r="E991" s="248"/>
      <c r="F991" s="248"/>
      <c r="G991" s="248"/>
      <c r="I991" s="248"/>
      <c r="J991" s="248"/>
      <c r="K991" s="248"/>
      <c r="L991" s="248"/>
      <c r="M991" s="248"/>
      <c r="N991" s="248"/>
      <c r="P991" s="248"/>
      <c r="Q991" s="248"/>
    </row>
    <row r="992">
      <c r="A992" s="248"/>
      <c r="B992" s="248"/>
      <c r="C992" s="248"/>
      <c r="D992" s="248"/>
      <c r="E992" s="248"/>
      <c r="F992" s="248"/>
      <c r="G992" s="248"/>
      <c r="I992" s="248"/>
      <c r="J992" s="248"/>
      <c r="K992" s="248"/>
      <c r="L992" s="248"/>
      <c r="M992" s="248"/>
      <c r="N992" s="248"/>
      <c r="P992" s="248"/>
      <c r="Q992" s="248"/>
    </row>
    <row r="993">
      <c r="A993" s="248"/>
      <c r="B993" s="248"/>
      <c r="C993" s="248"/>
      <c r="D993" s="248"/>
      <c r="E993" s="248"/>
      <c r="F993" s="248"/>
      <c r="G993" s="248"/>
      <c r="I993" s="248"/>
      <c r="J993" s="248"/>
      <c r="K993" s="248"/>
      <c r="L993" s="248"/>
      <c r="M993" s="248"/>
      <c r="N993" s="248"/>
      <c r="P993" s="248"/>
      <c r="Q993" s="248"/>
    </row>
    <row r="994">
      <c r="A994" s="248"/>
      <c r="B994" s="248"/>
      <c r="C994" s="248"/>
      <c r="D994" s="248"/>
      <c r="E994" s="248"/>
      <c r="F994" s="248"/>
      <c r="G994" s="248"/>
      <c r="I994" s="248"/>
      <c r="J994" s="248"/>
      <c r="K994" s="248"/>
      <c r="L994" s="248"/>
      <c r="M994" s="248"/>
      <c r="N994" s="248"/>
      <c r="P994" s="248"/>
      <c r="Q994" s="248"/>
    </row>
    <row r="995">
      <c r="A995" s="248"/>
      <c r="B995" s="248"/>
      <c r="C995" s="248"/>
      <c r="D995" s="248"/>
      <c r="E995" s="248"/>
      <c r="F995" s="248"/>
      <c r="G995" s="248"/>
      <c r="I995" s="248"/>
      <c r="J995" s="248"/>
      <c r="K995" s="248"/>
      <c r="L995" s="248"/>
      <c r="M995" s="248"/>
      <c r="N995" s="248"/>
      <c r="P995" s="248"/>
      <c r="Q995" s="248"/>
    </row>
    <row r="996">
      <c r="A996" s="248"/>
      <c r="B996" s="248"/>
      <c r="C996" s="248"/>
      <c r="D996" s="248"/>
      <c r="E996" s="248"/>
      <c r="F996" s="248"/>
      <c r="G996" s="248"/>
      <c r="I996" s="248"/>
      <c r="J996" s="248"/>
      <c r="K996" s="248"/>
      <c r="L996" s="248"/>
      <c r="M996" s="248"/>
      <c r="N996" s="248"/>
      <c r="P996" s="248"/>
      <c r="Q996" s="248"/>
    </row>
    <row r="997">
      <c r="A997" s="248"/>
      <c r="B997" s="248"/>
      <c r="C997" s="248"/>
      <c r="D997" s="248"/>
      <c r="E997" s="248"/>
      <c r="F997" s="248"/>
      <c r="G997" s="248"/>
      <c r="I997" s="248"/>
      <c r="J997" s="248"/>
      <c r="K997" s="248"/>
      <c r="L997" s="248"/>
      <c r="M997" s="248"/>
      <c r="N997" s="248"/>
      <c r="P997" s="248"/>
      <c r="Q997" s="248"/>
    </row>
    <row r="998">
      <c r="A998" s="248"/>
      <c r="B998" s="248"/>
      <c r="C998" s="248"/>
      <c r="D998" s="248"/>
      <c r="E998" s="248"/>
      <c r="F998" s="248"/>
      <c r="G998" s="248"/>
      <c r="I998" s="248"/>
      <c r="J998" s="248"/>
      <c r="K998" s="248"/>
      <c r="L998" s="248"/>
      <c r="M998" s="248"/>
      <c r="N998" s="248"/>
      <c r="P998" s="248"/>
      <c r="Q998" s="248"/>
    </row>
    <row r="999">
      <c r="A999" s="248"/>
      <c r="B999" s="248"/>
      <c r="C999" s="248"/>
      <c r="D999" s="248"/>
      <c r="E999" s="248"/>
      <c r="F999" s="248"/>
      <c r="G999" s="248"/>
      <c r="I999" s="248"/>
      <c r="J999" s="248"/>
      <c r="K999" s="248"/>
      <c r="L999" s="248"/>
      <c r="M999" s="248"/>
      <c r="N999" s="248"/>
      <c r="P999" s="248"/>
      <c r="Q999" s="248"/>
    </row>
    <row r="1000">
      <c r="A1000" s="248"/>
      <c r="B1000" s="248"/>
      <c r="C1000" s="248"/>
      <c r="D1000" s="248"/>
      <c r="E1000" s="248"/>
      <c r="F1000" s="248"/>
      <c r="G1000" s="248"/>
      <c r="I1000" s="248"/>
      <c r="J1000" s="248"/>
      <c r="K1000" s="248"/>
      <c r="L1000" s="248"/>
      <c r="M1000" s="248"/>
      <c r="N1000" s="248"/>
      <c r="P1000" s="248"/>
      <c r="Q1000" s="248"/>
    </row>
    <row r="1001">
      <c r="A1001" s="248"/>
      <c r="B1001" s="248"/>
      <c r="C1001" s="248"/>
      <c r="D1001" s="248"/>
      <c r="E1001" s="248"/>
      <c r="F1001" s="248"/>
      <c r="G1001" s="248"/>
      <c r="I1001" s="248"/>
      <c r="J1001" s="248"/>
      <c r="K1001" s="248"/>
      <c r="L1001" s="248"/>
      <c r="M1001" s="248"/>
      <c r="N1001" s="248"/>
      <c r="P1001" s="248"/>
      <c r="Q1001" s="248"/>
    </row>
    <row r="1002">
      <c r="A1002" s="248"/>
      <c r="B1002" s="248"/>
      <c r="C1002" s="248"/>
      <c r="D1002" s="248"/>
      <c r="E1002" s="248"/>
      <c r="F1002" s="248"/>
      <c r="G1002" s="248"/>
      <c r="I1002" s="248"/>
      <c r="J1002" s="248"/>
      <c r="K1002" s="248"/>
      <c r="L1002" s="248"/>
      <c r="M1002" s="248"/>
      <c r="N1002" s="248"/>
      <c r="P1002" s="248"/>
      <c r="Q1002" s="248"/>
    </row>
    <row r="1003">
      <c r="A1003" s="248"/>
      <c r="B1003" s="248"/>
      <c r="C1003" s="248"/>
      <c r="D1003" s="248"/>
      <c r="E1003" s="248"/>
      <c r="F1003" s="248"/>
      <c r="G1003" s="248"/>
      <c r="I1003" s="248"/>
      <c r="J1003" s="248"/>
      <c r="K1003" s="248"/>
      <c r="L1003" s="248"/>
      <c r="M1003" s="248"/>
      <c r="N1003" s="248"/>
      <c r="P1003" s="248"/>
      <c r="Q1003" s="248"/>
    </row>
    <row r="1004">
      <c r="A1004" s="248"/>
      <c r="B1004" s="248"/>
      <c r="C1004" s="248"/>
      <c r="D1004" s="248"/>
      <c r="E1004" s="248"/>
      <c r="F1004" s="248"/>
      <c r="G1004" s="248"/>
      <c r="I1004" s="248"/>
      <c r="J1004" s="248"/>
      <c r="K1004" s="248"/>
      <c r="L1004" s="248"/>
      <c r="M1004" s="248"/>
      <c r="N1004" s="248"/>
      <c r="P1004" s="248"/>
      <c r="Q1004" s="248"/>
    </row>
    <row r="1005">
      <c r="A1005" s="248"/>
      <c r="B1005" s="248"/>
      <c r="C1005" s="248"/>
      <c r="D1005" s="248"/>
      <c r="E1005" s="248"/>
      <c r="F1005" s="248"/>
      <c r="G1005" s="248"/>
      <c r="I1005" s="248"/>
      <c r="J1005" s="248"/>
      <c r="K1005" s="248"/>
      <c r="L1005" s="248"/>
      <c r="M1005" s="248"/>
      <c r="N1005" s="248"/>
      <c r="P1005" s="248"/>
      <c r="Q1005" s="248"/>
    </row>
    <row r="1006">
      <c r="A1006" s="248"/>
      <c r="B1006" s="248"/>
      <c r="C1006" s="248"/>
      <c r="D1006" s="248"/>
      <c r="E1006" s="248"/>
      <c r="F1006" s="248"/>
      <c r="G1006" s="248"/>
      <c r="I1006" s="248"/>
      <c r="J1006" s="248"/>
      <c r="K1006" s="248"/>
      <c r="L1006" s="248"/>
      <c r="M1006" s="248"/>
      <c r="N1006" s="248"/>
      <c r="P1006" s="248"/>
      <c r="Q1006" s="248"/>
    </row>
    <row r="1007">
      <c r="A1007" s="248"/>
      <c r="B1007" s="248"/>
      <c r="C1007" s="248"/>
      <c r="D1007" s="248"/>
      <c r="E1007" s="248"/>
      <c r="F1007" s="248"/>
      <c r="G1007" s="248"/>
      <c r="I1007" s="248"/>
      <c r="J1007" s="248"/>
      <c r="K1007" s="248"/>
      <c r="L1007" s="248"/>
      <c r="M1007" s="248"/>
      <c r="N1007" s="248"/>
      <c r="P1007" s="248"/>
      <c r="Q1007" s="248"/>
    </row>
    <row r="1008">
      <c r="A1008" s="248"/>
      <c r="B1008" s="248"/>
      <c r="C1008" s="248"/>
      <c r="D1008" s="248"/>
      <c r="E1008" s="248"/>
      <c r="F1008" s="248"/>
      <c r="G1008" s="248"/>
      <c r="I1008" s="248"/>
      <c r="J1008" s="248"/>
      <c r="K1008" s="248"/>
      <c r="L1008" s="248"/>
      <c r="M1008" s="248"/>
      <c r="N1008" s="248"/>
      <c r="P1008" s="248"/>
      <c r="Q1008" s="248"/>
    </row>
    <row r="1009">
      <c r="A1009" s="248"/>
      <c r="B1009" s="248"/>
      <c r="C1009" s="248"/>
      <c r="D1009" s="248"/>
      <c r="E1009" s="248"/>
      <c r="F1009" s="248"/>
      <c r="G1009" s="248"/>
      <c r="I1009" s="248"/>
      <c r="J1009" s="248"/>
      <c r="K1009" s="248"/>
      <c r="L1009" s="248"/>
      <c r="M1009" s="248"/>
      <c r="N1009" s="248"/>
      <c r="P1009" s="248"/>
      <c r="Q1009" s="248"/>
    </row>
    <row r="1010">
      <c r="A1010" s="248"/>
      <c r="B1010" s="248"/>
      <c r="C1010" s="248"/>
      <c r="D1010" s="248"/>
      <c r="E1010" s="248"/>
      <c r="F1010" s="248"/>
      <c r="G1010" s="248"/>
      <c r="I1010" s="248"/>
      <c r="J1010" s="248"/>
      <c r="K1010" s="248"/>
      <c r="L1010" s="248"/>
      <c r="M1010" s="248"/>
      <c r="N1010" s="248"/>
      <c r="P1010" s="248"/>
      <c r="Q1010" s="248"/>
    </row>
    <row r="1011">
      <c r="A1011" s="248"/>
      <c r="B1011" s="248"/>
      <c r="C1011" s="248"/>
      <c r="D1011" s="248"/>
      <c r="E1011" s="248"/>
      <c r="F1011" s="248"/>
      <c r="G1011" s="248"/>
      <c r="I1011" s="248"/>
      <c r="J1011" s="248"/>
      <c r="K1011" s="248"/>
      <c r="L1011" s="248"/>
      <c r="M1011" s="248"/>
      <c r="N1011" s="248"/>
      <c r="P1011" s="248"/>
      <c r="Q1011" s="248"/>
    </row>
    <row r="1012">
      <c r="A1012" s="248"/>
      <c r="B1012" s="248"/>
      <c r="C1012" s="248"/>
      <c r="D1012" s="248"/>
      <c r="E1012" s="248"/>
      <c r="F1012" s="248"/>
      <c r="G1012" s="248"/>
      <c r="I1012" s="248"/>
      <c r="J1012" s="248"/>
      <c r="K1012" s="248"/>
      <c r="L1012" s="248"/>
      <c r="M1012" s="248"/>
      <c r="N1012" s="248"/>
      <c r="P1012" s="248"/>
      <c r="Q1012" s="248"/>
    </row>
    <row r="1013">
      <c r="A1013" s="248"/>
      <c r="B1013" s="248"/>
      <c r="C1013" s="248"/>
      <c r="D1013" s="248"/>
      <c r="E1013" s="248"/>
      <c r="F1013" s="248"/>
      <c r="G1013" s="248"/>
      <c r="I1013" s="248"/>
      <c r="J1013" s="248"/>
      <c r="K1013" s="248"/>
      <c r="L1013" s="248"/>
      <c r="M1013" s="248"/>
      <c r="N1013" s="248"/>
      <c r="P1013" s="248"/>
      <c r="Q1013" s="248"/>
    </row>
    <row r="1014">
      <c r="A1014" s="248"/>
      <c r="B1014" s="248"/>
      <c r="C1014" s="248"/>
      <c r="D1014" s="248"/>
      <c r="E1014" s="248"/>
      <c r="F1014" s="248"/>
      <c r="G1014" s="248"/>
      <c r="I1014" s="248"/>
      <c r="J1014" s="248"/>
      <c r="K1014" s="248"/>
      <c r="L1014" s="248"/>
      <c r="M1014" s="248"/>
      <c r="N1014" s="248"/>
      <c r="P1014" s="248"/>
      <c r="Q1014" s="248"/>
    </row>
    <row r="1015">
      <c r="A1015" s="248"/>
      <c r="B1015" s="248"/>
      <c r="C1015" s="248"/>
      <c r="D1015" s="248"/>
      <c r="E1015" s="248"/>
      <c r="F1015" s="248"/>
      <c r="G1015" s="248"/>
      <c r="I1015" s="248"/>
      <c r="J1015" s="248"/>
      <c r="K1015" s="248"/>
      <c r="L1015" s="248"/>
      <c r="M1015" s="248"/>
      <c r="N1015" s="248"/>
      <c r="P1015" s="248"/>
      <c r="Q1015" s="248"/>
    </row>
    <row r="1016">
      <c r="A1016" s="248"/>
      <c r="B1016" s="248"/>
      <c r="C1016" s="248"/>
      <c r="D1016" s="248"/>
      <c r="E1016" s="248"/>
      <c r="F1016" s="248"/>
      <c r="G1016" s="248"/>
      <c r="I1016" s="248"/>
      <c r="J1016" s="248"/>
      <c r="K1016" s="248"/>
      <c r="L1016" s="248"/>
      <c r="M1016" s="248"/>
      <c r="N1016" s="248"/>
      <c r="P1016" s="248"/>
      <c r="Q1016" s="248"/>
    </row>
    <row r="1017">
      <c r="A1017" s="248"/>
      <c r="B1017" s="248"/>
      <c r="C1017" s="248"/>
      <c r="D1017" s="248"/>
      <c r="E1017" s="248"/>
      <c r="F1017" s="248"/>
      <c r="G1017" s="248"/>
      <c r="I1017" s="248"/>
      <c r="J1017" s="248"/>
      <c r="K1017" s="248"/>
      <c r="L1017" s="248"/>
      <c r="M1017" s="248"/>
      <c r="N1017" s="248"/>
      <c r="P1017" s="248"/>
      <c r="Q1017" s="248"/>
    </row>
    <row r="1018">
      <c r="A1018" s="248"/>
      <c r="B1018" s="248"/>
      <c r="C1018" s="248"/>
      <c r="D1018" s="248"/>
      <c r="E1018" s="248"/>
      <c r="F1018" s="248"/>
      <c r="G1018" s="248"/>
      <c r="I1018" s="248"/>
      <c r="J1018" s="248"/>
      <c r="K1018" s="248"/>
      <c r="L1018" s="248"/>
      <c r="M1018" s="248"/>
      <c r="N1018" s="248"/>
      <c r="P1018" s="248"/>
      <c r="Q1018" s="248"/>
    </row>
    <row r="1019">
      <c r="A1019" s="248"/>
      <c r="B1019" s="248"/>
      <c r="C1019" s="248"/>
      <c r="D1019" s="248"/>
      <c r="E1019" s="248"/>
      <c r="F1019" s="248"/>
      <c r="G1019" s="248"/>
      <c r="I1019" s="248"/>
      <c r="J1019" s="248"/>
      <c r="K1019" s="248"/>
      <c r="L1019" s="248"/>
      <c r="M1019" s="248"/>
      <c r="N1019" s="248"/>
      <c r="P1019" s="248"/>
      <c r="Q1019" s="248"/>
    </row>
    <row r="1020">
      <c r="A1020" s="248"/>
      <c r="B1020" s="248"/>
      <c r="C1020" s="248"/>
      <c r="D1020" s="248"/>
      <c r="E1020" s="248"/>
      <c r="F1020" s="248"/>
      <c r="G1020" s="248"/>
      <c r="I1020" s="248"/>
      <c r="J1020" s="248"/>
      <c r="K1020" s="248"/>
      <c r="L1020" s="248"/>
      <c r="M1020" s="248"/>
      <c r="N1020" s="248"/>
      <c r="P1020" s="248"/>
      <c r="Q1020" s="248"/>
    </row>
    <row r="1021">
      <c r="A1021" s="248"/>
      <c r="B1021" s="248"/>
      <c r="C1021" s="248"/>
      <c r="D1021" s="248"/>
      <c r="E1021" s="248"/>
      <c r="F1021" s="248"/>
      <c r="G1021" s="248"/>
      <c r="I1021" s="248"/>
      <c r="J1021" s="248"/>
      <c r="K1021" s="248"/>
      <c r="L1021" s="248"/>
      <c r="M1021" s="248"/>
      <c r="N1021" s="248"/>
      <c r="P1021" s="248"/>
      <c r="Q1021" s="248"/>
    </row>
    <row r="1022">
      <c r="A1022" s="248"/>
      <c r="B1022" s="248"/>
      <c r="C1022" s="248"/>
      <c r="D1022" s="248"/>
      <c r="E1022" s="248"/>
      <c r="F1022" s="248"/>
      <c r="G1022" s="248"/>
      <c r="I1022" s="248"/>
      <c r="J1022" s="248"/>
      <c r="K1022" s="248"/>
      <c r="L1022" s="248"/>
      <c r="M1022" s="248"/>
      <c r="N1022" s="248"/>
      <c r="P1022" s="248"/>
      <c r="Q1022" s="248"/>
    </row>
    <row r="1023">
      <c r="A1023" s="248"/>
      <c r="B1023" s="248"/>
      <c r="C1023" s="248"/>
      <c r="D1023" s="248"/>
      <c r="E1023" s="248"/>
      <c r="F1023" s="248"/>
      <c r="G1023" s="248"/>
      <c r="I1023" s="248"/>
      <c r="J1023" s="248"/>
      <c r="K1023" s="248"/>
      <c r="L1023" s="248"/>
      <c r="M1023" s="248"/>
      <c r="N1023" s="248"/>
      <c r="P1023" s="248"/>
      <c r="Q1023" s="248"/>
    </row>
    <row r="1024">
      <c r="A1024" s="248"/>
      <c r="B1024" s="248"/>
      <c r="C1024" s="248"/>
      <c r="D1024" s="248"/>
      <c r="E1024" s="248"/>
      <c r="F1024" s="248"/>
      <c r="G1024" s="248"/>
      <c r="I1024" s="248"/>
      <c r="J1024" s="248"/>
      <c r="K1024" s="248"/>
      <c r="L1024" s="248"/>
      <c r="M1024" s="248"/>
      <c r="N1024" s="248"/>
      <c r="P1024" s="248"/>
      <c r="Q1024" s="248"/>
    </row>
    <row r="1025">
      <c r="A1025" s="248"/>
      <c r="B1025" s="248"/>
      <c r="C1025" s="248"/>
      <c r="D1025" s="248"/>
      <c r="E1025" s="248"/>
      <c r="F1025" s="248"/>
      <c r="G1025" s="248"/>
      <c r="I1025" s="248"/>
      <c r="J1025" s="248"/>
      <c r="K1025" s="248"/>
      <c r="L1025" s="248"/>
      <c r="M1025" s="248"/>
      <c r="N1025" s="248"/>
      <c r="P1025" s="248"/>
      <c r="Q1025" s="248"/>
    </row>
    <row r="1026">
      <c r="A1026" s="248"/>
      <c r="B1026" s="248"/>
      <c r="C1026" s="248"/>
      <c r="D1026" s="248"/>
      <c r="E1026" s="248"/>
      <c r="F1026" s="248"/>
      <c r="G1026" s="248"/>
      <c r="I1026" s="248"/>
      <c r="J1026" s="248"/>
      <c r="K1026" s="248"/>
      <c r="L1026" s="248"/>
      <c r="M1026" s="248"/>
      <c r="N1026" s="248"/>
      <c r="P1026" s="248"/>
      <c r="Q1026" s="248"/>
    </row>
    <row r="1027">
      <c r="A1027" s="248"/>
      <c r="B1027" s="248"/>
      <c r="C1027" s="248"/>
      <c r="D1027" s="248"/>
      <c r="E1027" s="248"/>
      <c r="F1027" s="248"/>
      <c r="G1027" s="248"/>
      <c r="I1027" s="248"/>
      <c r="J1027" s="248"/>
      <c r="K1027" s="248"/>
      <c r="L1027" s="248"/>
      <c r="M1027" s="248"/>
      <c r="N1027" s="248"/>
      <c r="P1027" s="248"/>
      <c r="Q1027" s="248"/>
    </row>
    <row r="1028">
      <c r="A1028" s="248"/>
      <c r="B1028" s="248"/>
      <c r="C1028" s="248"/>
      <c r="D1028" s="248"/>
      <c r="E1028" s="248"/>
      <c r="F1028" s="248"/>
      <c r="G1028" s="248"/>
      <c r="I1028" s="248"/>
      <c r="J1028" s="248"/>
      <c r="K1028" s="248"/>
      <c r="L1028" s="248"/>
      <c r="M1028" s="248"/>
      <c r="N1028" s="248"/>
      <c r="P1028" s="248"/>
      <c r="Q1028" s="248"/>
    </row>
    <row r="1029">
      <c r="A1029" s="248"/>
      <c r="B1029" s="248"/>
      <c r="C1029" s="248"/>
      <c r="D1029" s="248"/>
      <c r="E1029" s="248"/>
      <c r="F1029" s="248"/>
      <c r="G1029" s="248"/>
      <c r="I1029" s="248"/>
      <c r="J1029" s="248"/>
      <c r="K1029" s="248"/>
      <c r="L1029" s="248"/>
      <c r="M1029" s="248"/>
      <c r="N1029" s="248"/>
      <c r="P1029" s="248"/>
      <c r="Q1029" s="248"/>
    </row>
    <row r="1030">
      <c r="A1030" s="248"/>
      <c r="B1030" s="248"/>
      <c r="C1030" s="248"/>
      <c r="D1030" s="248"/>
      <c r="E1030" s="248"/>
      <c r="F1030" s="248"/>
      <c r="G1030" s="248"/>
      <c r="I1030" s="248"/>
      <c r="J1030" s="248"/>
      <c r="K1030" s="248"/>
      <c r="L1030" s="248"/>
      <c r="M1030" s="248"/>
      <c r="N1030" s="248"/>
      <c r="P1030" s="248"/>
      <c r="Q1030" s="248"/>
    </row>
    <row r="1031">
      <c r="A1031" s="248"/>
      <c r="B1031" s="248"/>
      <c r="C1031" s="248"/>
      <c r="D1031" s="248"/>
      <c r="E1031" s="248"/>
      <c r="F1031" s="248"/>
      <c r="G1031" s="248"/>
      <c r="I1031" s="248"/>
      <c r="J1031" s="248"/>
      <c r="K1031" s="248"/>
      <c r="L1031" s="248"/>
      <c r="M1031" s="248"/>
      <c r="N1031" s="248"/>
      <c r="P1031" s="248"/>
      <c r="Q1031" s="248"/>
    </row>
    <row r="1032">
      <c r="A1032" s="248"/>
      <c r="B1032" s="248"/>
      <c r="C1032" s="248"/>
      <c r="D1032" s="248"/>
      <c r="E1032" s="248"/>
      <c r="F1032" s="248"/>
      <c r="G1032" s="248"/>
      <c r="I1032" s="248"/>
      <c r="J1032" s="248"/>
      <c r="K1032" s="248"/>
      <c r="L1032" s="248"/>
      <c r="M1032" s="248"/>
      <c r="N1032" s="248"/>
      <c r="P1032" s="248"/>
      <c r="Q1032" s="248"/>
    </row>
    <row r="1033">
      <c r="A1033" s="248"/>
      <c r="B1033" s="248"/>
      <c r="C1033" s="248"/>
      <c r="D1033" s="248"/>
      <c r="E1033" s="248"/>
      <c r="F1033" s="248"/>
      <c r="G1033" s="248"/>
      <c r="I1033" s="248"/>
      <c r="J1033" s="248"/>
      <c r="K1033" s="248"/>
      <c r="L1033" s="248"/>
      <c r="M1033" s="248"/>
      <c r="N1033" s="248"/>
      <c r="P1033" s="248"/>
      <c r="Q1033" s="248"/>
    </row>
    <row r="1034">
      <c r="A1034" s="248"/>
      <c r="B1034" s="248"/>
      <c r="C1034" s="248"/>
      <c r="D1034" s="248"/>
      <c r="E1034" s="248"/>
      <c r="F1034" s="248"/>
      <c r="G1034" s="248"/>
      <c r="I1034" s="248"/>
      <c r="J1034" s="248"/>
      <c r="K1034" s="248"/>
      <c r="L1034" s="248"/>
      <c r="M1034" s="248"/>
      <c r="N1034" s="248"/>
      <c r="P1034" s="248"/>
      <c r="Q1034" s="248"/>
    </row>
    <row r="1035">
      <c r="A1035" s="248"/>
      <c r="B1035" s="248"/>
      <c r="C1035" s="248"/>
      <c r="D1035" s="248"/>
      <c r="E1035" s="248"/>
      <c r="F1035" s="248"/>
      <c r="G1035" s="248"/>
      <c r="I1035" s="248"/>
      <c r="J1035" s="248"/>
      <c r="K1035" s="248"/>
      <c r="L1035" s="248"/>
      <c r="M1035" s="248"/>
      <c r="N1035" s="248"/>
      <c r="P1035" s="248"/>
      <c r="Q1035" s="248"/>
    </row>
    <row r="1036">
      <c r="A1036" s="248"/>
      <c r="B1036" s="248"/>
      <c r="C1036" s="248"/>
      <c r="D1036" s="248"/>
      <c r="E1036" s="248"/>
      <c r="F1036" s="248"/>
      <c r="G1036" s="248"/>
      <c r="I1036" s="248"/>
      <c r="J1036" s="248"/>
      <c r="K1036" s="248"/>
      <c r="L1036" s="248"/>
      <c r="M1036" s="248"/>
      <c r="N1036" s="248"/>
      <c r="P1036" s="248"/>
      <c r="Q1036" s="248"/>
    </row>
    <row r="1037">
      <c r="A1037" s="248"/>
      <c r="B1037" s="248"/>
      <c r="C1037" s="248"/>
      <c r="D1037" s="248"/>
      <c r="E1037" s="248"/>
      <c r="F1037" s="248"/>
      <c r="G1037" s="248"/>
      <c r="I1037" s="248"/>
      <c r="J1037" s="248"/>
      <c r="K1037" s="248"/>
      <c r="L1037" s="248"/>
      <c r="M1037" s="248"/>
      <c r="N1037" s="248"/>
      <c r="P1037" s="248"/>
      <c r="Q1037" s="248"/>
    </row>
    <row r="1038">
      <c r="A1038" s="248"/>
      <c r="B1038" s="248"/>
      <c r="C1038" s="248"/>
      <c r="D1038" s="248"/>
      <c r="E1038" s="248"/>
      <c r="F1038" s="248"/>
      <c r="G1038" s="248"/>
      <c r="I1038" s="248"/>
      <c r="J1038" s="248"/>
      <c r="K1038" s="248"/>
      <c r="L1038" s="248"/>
      <c r="M1038" s="248"/>
      <c r="N1038" s="248"/>
      <c r="P1038" s="248"/>
      <c r="Q1038" s="248"/>
    </row>
    <row r="1039">
      <c r="A1039" s="248"/>
      <c r="B1039" s="248"/>
      <c r="C1039" s="248"/>
      <c r="D1039" s="248"/>
      <c r="E1039" s="248"/>
      <c r="F1039" s="248"/>
      <c r="G1039" s="248"/>
      <c r="I1039" s="248"/>
      <c r="J1039" s="248"/>
      <c r="K1039" s="248"/>
      <c r="L1039" s="248"/>
      <c r="M1039" s="248"/>
      <c r="N1039" s="248"/>
      <c r="P1039" s="248"/>
      <c r="Q1039" s="248"/>
    </row>
    <row r="1040">
      <c r="A1040" s="248"/>
      <c r="B1040" s="248"/>
      <c r="C1040" s="248"/>
      <c r="D1040" s="248"/>
      <c r="E1040" s="248"/>
      <c r="F1040" s="248"/>
      <c r="G1040" s="248"/>
      <c r="I1040" s="248"/>
      <c r="J1040" s="248"/>
      <c r="K1040" s="248"/>
      <c r="L1040" s="248"/>
      <c r="M1040" s="248"/>
      <c r="N1040" s="248"/>
      <c r="P1040" s="248"/>
      <c r="Q1040" s="248"/>
    </row>
    <row r="1041">
      <c r="A1041" s="248"/>
      <c r="B1041" s="248"/>
      <c r="C1041" s="248"/>
      <c r="D1041" s="248"/>
      <c r="E1041" s="248"/>
      <c r="F1041" s="248"/>
      <c r="G1041" s="248"/>
      <c r="I1041" s="248"/>
      <c r="J1041" s="248"/>
      <c r="K1041" s="248"/>
      <c r="L1041" s="248"/>
      <c r="M1041" s="248"/>
      <c r="N1041" s="248"/>
      <c r="P1041" s="248"/>
      <c r="Q1041" s="248"/>
    </row>
    <row r="1042">
      <c r="A1042" s="248"/>
      <c r="B1042" s="248"/>
      <c r="C1042" s="248"/>
      <c r="D1042" s="248"/>
      <c r="E1042" s="248"/>
      <c r="F1042" s="248"/>
      <c r="G1042" s="248"/>
      <c r="I1042" s="248"/>
      <c r="J1042" s="248"/>
      <c r="K1042" s="248"/>
      <c r="L1042" s="248"/>
      <c r="M1042" s="248"/>
      <c r="N1042" s="248"/>
      <c r="P1042" s="248"/>
      <c r="Q1042" s="248"/>
    </row>
    <row r="1043">
      <c r="A1043" s="248"/>
      <c r="B1043" s="248"/>
      <c r="C1043" s="248"/>
      <c r="D1043" s="248"/>
      <c r="E1043" s="248"/>
      <c r="F1043" s="248"/>
      <c r="G1043" s="248"/>
      <c r="I1043" s="248"/>
      <c r="J1043" s="248"/>
      <c r="K1043" s="248"/>
      <c r="L1043" s="248"/>
      <c r="M1043" s="248"/>
      <c r="N1043" s="248"/>
      <c r="P1043" s="248"/>
      <c r="Q1043" s="248"/>
    </row>
    <row r="1044">
      <c r="A1044" s="248"/>
      <c r="B1044" s="248"/>
      <c r="C1044" s="248"/>
      <c r="D1044" s="248"/>
      <c r="E1044" s="248"/>
      <c r="F1044" s="248"/>
      <c r="G1044" s="248"/>
      <c r="I1044" s="248"/>
      <c r="J1044" s="248"/>
      <c r="K1044" s="248"/>
      <c r="L1044" s="248"/>
      <c r="M1044" s="248"/>
      <c r="N1044" s="248"/>
      <c r="P1044" s="248"/>
      <c r="Q1044" s="248"/>
    </row>
    <row r="1045">
      <c r="A1045" s="248"/>
      <c r="B1045" s="248"/>
      <c r="C1045" s="248"/>
      <c r="D1045" s="248"/>
      <c r="E1045" s="248"/>
      <c r="F1045" s="248"/>
      <c r="G1045" s="248"/>
      <c r="I1045" s="248"/>
      <c r="J1045" s="248"/>
      <c r="K1045" s="248"/>
      <c r="L1045" s="248"/>
      <c r="M1045" s="248"/>
      <c r="N1045" s="248"/>
      <c r="P1045" s="248"/>
      <c r="Q1045" s="248"/>
    </row>
    <row r="1046">
      <c r="A1046" s="248"/>
      <c r="B1046" s="248"/>
      <c r="C1046" s="248"/>
      <c r="D1046" s="248"/>
      <c r="E1046" s="248"/>
      <c r="F1046" s="248"/>
      <c r="G1046" s="248"/>
      <c r="I1046" s="248"/>
      <c r="J1046" s="248"/>
      <c r="K1046" s="248"/>
      <c r="L1046" s="248"/>
      <c r="M1046" s="248"/>
      <c r="N1046" s="248"/>
      <c r="P1046" s="248"/>
      <c r="Q1046" s="248"/>
    </row>
    <row r="1047">
      <c r="A1047" s="248"/>
      <c r="B1047" s="248"/>
      <c r="C1047" s="248"/>
      <c r="D1047" s="248"/>
      <c r="E1047" s="248"/>
      <c r="F1047" s="248"/>
      <c r="G1047" s="248"/>
      <c r="I1047" s="248"/>
      <c r="J1047" s="248"/>
      <c r="K1047" s="248"/>
      <c r="L1047" s="248"/>
      <c r="M1047" s="248"/>
      <c r="N1047" s="248"/>
      <c r="P1047" s="248"/>
      <c r="Q1047" s="248"/>
    </row>
    <row r="1048">
      <c r="A1048" s="248"/>
      <c r="B1048" s="248"/>
      <c r="C1048" s="248"/>
      <c r="D1048" s="248"/>
      <c r="E1048" s="248"/>
      <c r="F1048" s="248"/>
      <c r="G1048" s="248"/>
      <c r="I1048" s="248"/>
      <c r="J1048" s="248"/>
      <c r="K1048" s="248"/>
      <c r="L1048" s="248"/>
      <c r="M1048" s="248"/>
      <c r="N1048" s="248"/>
      <c r="P1048" s="248"/>
      <c r="Q1048" s="248"/>
    </row>
    <row r="1049">
      <c r="A1049" s="248"/>
      <c r="B1049" s="248"/>
      <c r="C1049" s="248"/>
      <c r="D1049" s="248"/>
      <c r="E1049" s="248"/>
      <c r="F1049" s="248"/>
      <c r="G1049" s="248"/>
      <c r="I1049" s="248"/>
      <c r="J1049" s="248"/>
      <c r="K1049" s="248"/>
      <c r="L1049" s="248"/>
      <c r="M1049" s="248"/>
      <c r="N1049" s="248"/>
      <c r="P1049" s="248"/>
      <c r="Q1049" s="248"/>
    </row>
    <row r="1050">
      <c r="A1050" s="248"/>
      <c r="B1050" s="248"/>
      <c r="C1050" s="248"/>
      <c r="D1050" s="248"/>
      <c r="E1050" s="248"/>
      <c r="F1050" s="248"/>
      <c r="G1050" s="248"/>
      <c r="I1050" s="248"/>
      <c r="J1050" s="248"/>
      <c r="K1050" s="248"/>
      <c r="L1050" s="248"/>
      <c r="M1050" s="248"/>
      <c r="N1050" s="248"/>
      <c r="P1050" s="248"/>
      <c r="Q1050" s="248"/>
    </row>
    <row r="1051">
      <c r="A1051" s="248"/>
      <c r="B1051" s="248"/>
      <c r="C1051" s="248"/>
      <c r="D1051" s="248"/>
      <c r="E1051" s="248"/>
      <c r="F1051" s="248"/>
      <c r="G1051" s="248"/>
      <c r="I1051" s="248"/>
      <c r="J1051" s="248"/>
      <c r="K1051" s="248"/>
      <c r="L1051" s="248"/>
      <c r="M1051" s="248"/>
      <c r="N1051" s="248"/>
      <c r="P1051" s="248"/>
      <c r="Q1051" s="248"/>
    </row>
    <row r="1052">
      <c r="A1052" s="248"/>
      <c r="B1052" s="248"/>
      <c r="C1052" s="248"/>
      <c r="D1052" s="248"/>
      <c r="E1052" s="248"/>
      <c r="F1052" s="248"/>
      <c r="G1052" s="248"/>
      <c r="I1052" s="248"/>
      <c r="J1052" s="248"/>
      <c r="K1052" s="248"/>
      <c r="L1052" s="248"/>
      <c r="M1052" s="248"/>
      <c r="N1052" s="248"/>
      <c r="P1052" s="248"/>
      <c r="Q1052" s="248"/>
    </row>
    <row r="1053">
      <c r="A1053" s="248"/>
      <c r="B1053" s="248"/>
      <c r="C1053" s="248"/>
      <c r="D1053" s="248"/>
      <c r="E1053" s="248"/>
      <c r="F1053" s="248"/>
      <c r="G1053" s="248"/>
      <c r="I1053" s="248"/>
      <c r="J1053" s="248"/>
      <c r="K1053" s="248"/>
      <c r="L1053" s="248"/>
      <c r="M1053" s="248"/>
      <c r="N1053" s="248"/>
      <c r="P1053" s="248"/>
      <c r="Q1053" s="248"/>
    </row>
    <row r="1054">
      <c r="A1054" s="248"/>
      <c r="B1054" s="248"/>
      <c r="C1054" s="248"/>
      <c r="D1054" s="248"/>
      <c r="E1054" s="248"/>
      <c r="F1054" s="248"/>
      <c r="G1054" s="248"/>
      <c r="I1054" s="248"/>
      <c r="J1054" s="248"/>
      <c r="K1054" s="248"/>
      <c r="L1054" s="248"/>
      <c r="M1054" s="248"/>
      <c r="N1054" s="248"/>
      <c r="P1054" s="248"/>
      <c r="Q1054" s="248"/>
    </row>
    <row r="1055">
      <c r="A1055" s="248"/>
      <c r="B1055" s="248"/>
      <c r="C1055" s="248"/>
      <c r="D1055" s="248"/>
      <c r="E1055" s="248"/>
      <c r="F1055" s="248"/>
      <c r="G1055" s="248"/>
      <c r="I1055" s="248"/>
      <c r="J1055" s="248"/>
      <c r="K1055" s="248"/>
      <c r="L1055" s="248"/>
      <c r="M1055" s="248"/>
      <c r="N1055" s="248"/>
      <c r="P1055" s="248"/>
      <c r="Q1055" s="248"/>
    </row>
    <row r="1056">
      <c r="A1056" s="248"/>
      <c r="B1056" s="248"/>
      <c r="C1056" s="248"/>
      <c r="D1056" s="248"/>
      <c r="E1056" s="248"/>
      <c r="F1056" s="248"/>
      <c r="G1056" s="248"/>
      <c r="I1056" s="248"/>
      <c r="J1056" s="248"/>
      <c r="K1056" s="248"/>
      <c r="L1056" s="248"/>
      <c r="M1056" s="248"/>
      <c r="N1056" s="248"/>
      <c r="P1056" s="248"/>
      <c r="Q1056" s="248"/>
    </row>
    <row r="1057">
      <c r="A1057" s="248"/>
      <c r="B1057" s="248"/>
      <c r="C1057" s="248"/>
      <c r="D1057" s="248"/>
      <c r="E1057" s="248"/>
      <c r="F1057" s="248"/>
      <c r="G1057" s="248"/>
      <c r="I1057" s="248"/>
      <c r="J1057" s="248"/>
      <c r="K1057" s="248"/>
      <c r="L1057" s="248"/>
      <c r="M1057" s="248"/>
      <c r="N1057" s="248"/>
      <c r="P1057" s="248"/>
      <c r="Q1057" s="248"/>
    </row>
    <row r="1058">
      <c r="A1058" s="248"/>
      <c r="B1058" s="248"/>
      <c r="C1058" s="248"/>
      <c r="D1058" s="248"/>
      <c r="E1058" s="248"/>
      <c r="F1058" s="248"/>
      <c r="G1058" s="248"/>
      <c r="I1058" s="248"/>
      <c r="J1058" s="248"/>
      <c r="K1058" s="248"/>
      <c r="L1058" s="248"/>
      <c r="M1058" s="248"/>
      <c r="N1058" s="248"/>
      <c r="P1058" s="248"/>
      <c r="Q1058" s="248"/>
    </row>
    <row r="1059">
      <c r="A1059" s="248"/>
      <c r="B1059" s="248"/>
      <c r="C1059" s="248"/>
      <c r="D1059" s="248"/>
      <c r="E1059" s="248"/>
      <c r="F1059" s="248"/>
      <c r="G1059" s="248"/>
      <c r="I1059" s="248"/>
      <c r="J1059" s="248"/>
      <c r="K1059" s="248"/>
      <c r="L1059" s="248"/>
      <c r="M1059" s="248"/>
      <c r="N1059" s="248"/>
      <c r="P1059" s="248"/>
      <c r="Q1059" s="248"/>
    </row>
    <row r="1060">
      <c r="A1060" s="248"/>
      <c r="B1060" s="248"/>
      <c r="C1060" s="248"/>
      <c r="D1060" s="248"/>
      <c r="E1060" s="248"/>
      <c r="F1060" s="248"/>
      <c r="G1060" s="248"/>
      <c r="I1060" s="248"/>
      <c r="J1060" s="248"/>
      <c r="K1060" s="248"/>
      <c r="L1060" s="248"/>
      <c r="M1060" s="248"/>
      <c r="N1060" s="248"/>
      <c r="P1060" s="248"/>
      <c r="Q1060" s="248"/>
    </row>
    <row r="1061">
      <c r="A1061" s="248"/>
      <c r="B1061" s="248"/>
      <c r="C1061" s="248"/>
      <c r="D1061" s="248"/>
      <c r="E1061" s="248"/>
      <c r="F1061" s="248"/>
      <c r="G1061" s="248"/>
      <c r="I1061" s="248"/>
      <c r="J1061" s="248"/>
      <c r="K1061" s="248"/>
      <c r="L1061" s="248"/>
      <c r="M1061" s="248"/>
      <c r="N1061" s="248"/>
      <c r="P1061" s="248"/>
      <c r="Q1061" s="248"/>
    </row>
    <row r="1062">
      <c r="A1062" s="248"/>
      <c r="B1062" s="248"/>
      <c r="C1062" s="248"/>
      <c r="D1062" s="248"/>
      <c r="E1062" s="248"/>
      <c r="F1062" s="248"/>
      <c r="G1062" s="248"/>
      <c r="I1062" s="248"/>
      <c r="J1062" s="248"/>
      <c r="K1062" s="248"/>
      <c r="L1062" s="248"/>
      <c r="M1062" s="248"/>
      <c r="N1062" s="248"/>
      <c r="P1062" s="248"/>
      <c r="Q1062" s="248"/>
    </row>
    <row r="1063">
      <c r="A1063" s="248"/>
      <c r="B1063" s="248"/>
      <c r="C1063" s="248"/>
      <c r="D1063" s="248"/>
      <c r="E1063" s="248"/>
      <c r="F1063" s="248"/>
      <c r="G1063" s="248"/>
      <c r="I1063" s="248"/>
      <c r="J1063" s="248"/>
      <c r="K1063" s="248"/>
      <c r="L1063" s="248"/>
      <c r="M1063" s="248"/>
      <c r="N1063" s="248"/>
      <c r="P1063" s="248"/>
      <c r="Q1063" s="248"/>
    </row>
    <row r="1064">
      <c r="A1064" s="248"/>
      <c r="B1064" s="248"/>
      <c r="C1064" s="248"/>
      <c r="D1064" s="248"/>
      <c r="E1064" s="248"/>
      <c r="F1064" s="248"/>
      <c r="G1064" s="248"/>
      <c r="I1064" s="248"/>
      <c r="J1064" s="248"/>
      <c r="K1064" s="248"/>
      <c r="L1064" s="248"/>
      <c r="M1064" s="248"/>
      <c r="N1064" s="248"/>
      <c r="P1064" s="248"/>
      <c r="Q1064" s="248"/>
    </row>
    <row r="1065">
      <c r="A1065" s="248"/>
      <c r="B1065" s="248"/>
      <c r="C1065" s="248"/>
      <c r="D1065" s="248"/>
      <c r="E1065" s="248"/>
      <c r="F1065" s="248"/>
      <c r="G1065" s="248"/>
      <c r="I1065" s="248"/>
      <c r="J1065" s="248"/>
      <c r="K1065" s="248"/>
      <c r="L1065" s="248"/>
      <c r="M1065" s="248"/>
      <c r="N1065" s="248"/>
      <c r="P1065" s="248"/>
      <c r="Q1065" s="248"/>
    </row>
    <row r="1066">
      <c r="A1066" s="248"/>
      <c r="B1066" s="248"/>
      <c r="C1066" s="248"/>
      <c r="D1066" s="248"/>
      <c r="E1066" s="248"/>
      <c r="F1066" s="248"/>
      <c r="G1066" s="248"/>
      <c r="I1066" s="248"/>
      <c r="J1066" s="248"/>
      <c r="K1066" s="248"/>
      <c r="L1066" s="248"/>
      <c r="M1066" s="248"/>
      <c r="N1066" s="248"/>
      <c r="P1066" s="248"/>
      <c r="Q1066" s="248"/>
    </row>
    <row r="1067">
      <c r="A1067" s="248"/>
      <c r="B1067" s="248"/>
      <c r="C1067" s="248"/>
      <c r="D1067" s="248"/>
      <c r="E1067" s="248"/>
      <c r="F1067" s="248"/>
      <c r="G1067" s="248"/>
      <c r="I1067" s="248"/>
      <c r="J1067" s="248"/>
      <c r="K1067" s="248"/>
      <c r="L1067" s="248"/>
      <c r="M1067" s="248"/>
      <c r="N1067" s="248"/>
      <c r="P1067" s="248"/>
      <c r="Q1067" s="248"/>
    </row>
    <row r="1068">
      <c r="A1068" s="248"/>
      <c r="B1068" s="248"/>
      <c r="C1068" s="248"/>
      <c r="D1068" s="248"/>
      <c r="E1068" s="248"/>
      <c r="F1068" s="248"/>
      <c r="G1068" s="248"/>
      <c r="I1068" s="248"/>
      <c r="J1068" s="248"/>
      <c r="K1068" s="248"/>
      <c r="L1068" s="248"/>
      <c r="M1068" s="248"/>
      <c r="N1068" s="248"/>
      <c r="P1068" s="248"/>
      <c r="Q1068" s="248"/>
    </row>
    <row r="1069">
      <c r="A1069" s="248"/>
      <c r="B1069" s="248"/>
      <c r="C1069" s="248"/>
      <c r="D1069" s="248"/>
      <c r="E1069" s="248"/>
      <c r="F1069" s="248"/>
      <c r="G1069" s="248"/>
      <c r="I1069" s="248"/>
      <c r="J1069" s="248"/>
      <c r="K1069" s="248"/>
      <c r="L1069" s="248"/>
      <c r="M1069" s="248"/>
      <c r="N1069" s="248"/>
      <c r="P1069" s="248"/>
      <c r="Q1069" s="248"/>
    </row>
    <row r="1070">
      <c r="A1070" s="248"/>
      <c r="B1070" s="248"/>
      <c r="C1070" s="248"/>
      <c r="D1070" s="248"/>
      <c r="E1070" s="248"/>
      <c r="F1070" s="248"/>
      <c r="G1070" s="248"/>
      <c r="I1070" s="248"/>
      <c r="J1070" s="248"/>
      <c r="K1070" s="248"/>
      <c r="L1070" s="248"/>
      <c r="M1070" s="248"/>
      <c r="N1070" s="248"/>
      <c r="P1070" s="248"/>
      <c r="Q1070" s="248"/>
    </row>
    <row r="1071">
      <c r="A1071" s="248"/>
      <c r="B1071" s="248"/>
      <c r="C1071" s="248"/>
      <c r="D1071" s="248"/>
      <c r="E1071" s="248"/>
      <c r="F1071" s="248"/>
      <c r="G1071" s="248"/>
      <c r="I1071" s="248"/>
      <c r="J1071" s="248"/>
      <c r="K1071" s="248"/>
      <c r="L1071" s="248"/>
      <c r="M1071" s="248"/>
      <c r="N1071" s="248"/>
      <c r="P1071" s="248"/>
      <c r="Q1071" s="248"/>
    </row>
    <row r="1072">
      <c r="A1072" s="248"/>
      <c r="B1072" s="248"/>
      <c r="C1072" s="248"/>
      <c r="D1072" s="248"/>
      <c r="E1072" s="248"/>
      <c r="F1072" s="248"/>
      <c r="G1072" s="248"/>
      <c r="I1072" s="248"/>
      <c r="J1072" s="248"/>
      <c r="K1072" s="248"/>
      <c r="L1072" s="248"/>
      <c r="M1072" s="248"/>
      <c r="N1072" s="248"/>
      <c r="P1072" s="248"/>
      <c r="Q1072" s="248"/>
    </row>
    <row r="1073">
      <c r="A1073" s="248"/>
      <c r="B1073" s="248"/>
      <c r="C1073" s="248"/>
      <c r="D1073" s="248"/>
      <c r="E1073" s="248"/>
      <c r="F1073" s="248"/>
      <c r="G1073" s="248"/>
      <c r="I1073" s="248"/>
      <c r="J1073" s="248"/>
      <c r="K1073" s="248"/>
      <c r="L1073" s="248"/>
      <c r="M1073" s="248"/>
      <c r="N1073" s="248"/>
      <c r="P1073" s="248"/>
      <c r="Q1073" s="248"/>
    </row>
    <row r="1074">
      <c r="A1074" s="248"/>
      <c r="B1074" s="248"/>
      <c r="C1074" s="248"/>
      <c r="D1074" s="248"/>
      <c r="E1074" s="248"/>
      <c r="F1074" s="248"/>
      <c r="G1074" s="248"/>
      <c r="I1074" s="248"/>
      <c r="J1074" s="248"/>
      <c r="K1074" s="248"/>
      <c r="L1074" s="248"/>
      <c r="M1074" s="248"/>
      <c r="N1074" s="248"/>
      <c r="P1074" s="248"/>
      <c r="Q1074" s="248"/>
    </row>
    <row r="1075">
      <c r="A1075" s="248"/>
      <c r="B1075" s="248"/>
      <c r="C1075" s="248"/>
      <c r="D1075" s="248"/>
      <c r="E1075" s="248"/>
      <c r="F1075" s="248"/>
      <c r="G1075" s="248"/>
      <c r="I1075" s="248"/>
      <c r="J1075" s="248"/>
      <c r="K1075" s="248"/>
      <c r="L1075" s="248"/>
      <c r="M1075" s="248"/>
      <c r="N1075" s="248"/>
      <c r="P1075" s="248"/>
      <c r="Q1075" s="248"/>
    </row>
    <row r="1076">
      <c r="A1076" s="248"/>
      <c r="B1076" s="248"/>
      <c r="C1076" s="248"/>
      <c r="D1076" s="248"/>
      <c r="E1076" s="248"/>
      <c r="F1076" s="248"/>
      <c r="G1076" s="248"/>
      <c r="I1076" s="248"/>
      <c r="J1076" s="248"/>
      <c r="K1076" s="248"/>
      <c r="L1076" s="248"/>
      <c r="M1076" s="248"/>
      <c r="N1076" s="248"/>
      <c r="P1076" s="248"/>
      <c r="Q1076" s="248"/>
    </row>
    <row r="1077">
      <c r="A1077" s="248"/>
      <c r="B1077" s="248"/>
      <c r="C1077" s="248"/>
      <c r="D1077" s="248"/>
      <c r="E1077" s="248"/>
      <c r="F1077" s="248"/>
      <c r="G1077" s="248"/>
      <c r="I1077" s="248"/>
      <c r="J1077" s="248"/>
      <c r="K1077" s="248"/>
      <c r="L1077" s="248"/>
      <c r="M1077" s="248"/>
      <c r="N1077" s="248"/>
      <c r="P1077" s="248"/>
      <c r="Q1077" s="248"/>
    </row>
    <row r="1078">
      <c r="A1078" s="248"/>
      <c r="B1078" s="248"/>
      <c r="C1078" s="248"/>
      <c r="D1078" s="248"/>
      <c r="E1078" s="248"/>
      <c r="F1078" s="248"/>
      <c r="G1078" s="248"/>
      <c r="I1078" s="248"/>
      <c r="J1078" s="248"/>
      <c r="K1078" s="248"/>
      <c r="L1078" s="248"/>
      <c r="M1078" s="248"/>
      <c r="N1078" s="248"/>
      <c r="P1078" s="248"/>
      <c r="Q1078" s="248"/>
    </row>
    <row r="1079">
      <c r="A1079" s="248"/>
      <c r="B1079" s="248"/>
      <c r="C1079" s="248"/>
      <c r="D1079" s="248"/>
      <c r="E1079" s="248"/>
      <c r="F1079" s="248"/>
      <c r="G1079" s="248"/>
      <c r="I1079" s="248"/>
      <c r="J1079" s="248"/>
      <c r="K1079" s="248"/>
      <c r="L1079" s="248"/>
      <c r="M1079" s="248"/>
      <c r="N1079" s="248"/>
      <c r="P1079" s="248"/>
      <c r="Q1079" s="248"/>
    </row>
    <row r="1080">
      <c r="A1080" s="248"/>
      <c r="B1080" s="248"/>
      <c r="C1080" s="248"/>
      <c r="D1080" s="248"/>
      <c r="E1080" s="248"/>
      <c r="F1080" s="248"/>
      <c r="G1080" s="248"/>
      <c r="I1080" s="248"/>
      <c r="J1080" s="248"/>
      <c r="K1080" s="248"/>
      <c r="L1080" s="248"/>
      <c r="M1080" s="248"/>
      <c r="N1080" s="248"/>
      <c r="P1080" s="248"/>
      <c r="Q1080" s="248"/>
    </row>
    <row r="1081">
      <c r="A1081" s="248"/>
      <c r="B1081" s="248"/>
      <c r="C1081" s="248"/>
      <c r="D1081" s="248"/>
      <c r="E1081" s="248"/>
      <c r="F1081" s="248"/>
      <c r="G1081" s="248"/>
      <c r="I1081" s="248"/>
      <c r="J1081" s="248"/>
      <c r="K1081" s="248"/>
      <c r="L1081" s="248"/>
      <c r="M1081" s="248"/>
      <c r="N1081" s="248"/>
      <c r="P1081" s="248"/>
      <c r="Q1081" s="248"/>
    </row>
    <row r="1082">
      <c r="A1082" s="248"/>
      <c r="B1082" s="248"/>
      <c r="C1082" s="248"/>
      <c r="D1082" s="248"/>
      <c r="E1082" s="248"/>
      <c r="F1082" s="248"/>
      <c r="G1082" s="248"/>
      <c r="I1082" s="248"/>
      <c r="J1082" s="248"/>
      <c r="K1082" s="248"/>
      <c r="L1082" s="248"/>
      <c r="M1082" s="248"/>
      <c r="N1082" s="248"/>
      <c r="P1082" s="248"/>
      <c r="Q1082" s="248"/>
    </row>
    <row r="1083">
      <c r="A1083" s="248"/>
      <c r="B1083" s="248"/>
      <c r="C1083" s="248"/>
      <c r="D1083" s="248"/>
      <c r="E1083" s="248"/>
      <c r="F1083" s="248"/>
      <c r="G1083" s="248"/>
      <c r="I1083" s="248"/>
      <c r="J1083" s="248"/>
      <c r="K1083" s="248"/>
      <c r="L1083" s="248"/>
      <c r="M1083" s="248"/>
      <c r="N1083" s="248"/>
      <c r="P1083" s="248"/>
      <c r="Q1083" s="248"/>
    </row>
    <row r="1084">
      <c r="A1084" s="248"/>
      <c r="B1084" s="248"/>
      <c r="C1084" s="248"/>
      <c r="D1084" s="248"/>
      <c r="E1084" s="248"/>
      <c r="F1084" s="248"/>
      <c r="G1084" s="248"/>
      <c r="I1084" s="248"/>
      <c r="J1084" s="248"/>
      <c r="K1084" s="248"/>
      <c r="L1084" s="248"/>
      <c r="M1084" s="248"/>
      <c r="N1084" s="248"/>
      <c r="P1084" s="248"/>
      <c r="Q1084" s="248"/>
    </row>
    <row r="1085">
      <c r="A1085" s="248"/>
      <c r="B1085" s="248"/>
      <c r="C1085" s="248"/>
      <c r="D1085" s="248"/>
      <c r="E1085" s="248"/>
      <c r="F1085" s="248"/>
      <c r="G1085" s="248"/>
      <c r="I1085" s="248"/>
      <c r="J1085" s="248"/>
      <c r="K1085" s="248"/>
      <c r="L1085" s="248"/>
      <c r="M1085" s="248"/>
      <c r="N1085" s="248"/>
      <c r="P1085" s="248"/>
      <c r="Q1085" s="248"/>
    </row>
    <row r="1086">
      <c r="A1086" s="248"/>
      <c r="B1086" s="248"/>
      <c r="C1086" s="248"/>
      <c r="D1086" s="248"/>
      <c r="E1086" s="248"/>
      <c r="F1086" s="248"/>
      <c r="G1086" s="248"/>
      <c r="I1086" s="248"/>
      <c r="J1086" s="248"/>
      <c r="K1086" s="248"/>
      <c r="L1086" s="248"/>
      <c r="M1086" s="248"/>
      <c r="N1086" s="248"/>
      <c r="P1086" s="248"/>
      <c r="Q1086" s="248"/>
    </row>
    <row r="1087">
      <c r="A1087" s="248"/>
      <c r="B1087" s="248"/>
      <c r="C1087" s="248"/>
      <c r="D1087" s="248"/>
      <c r="E1087" s="248"/>
      <c r="F1087" s="248"/>
      <c r="G1087" s="248"/>
      <c r="I1087" s="248"/>
      <c r="J1087" s="248"/>
      <c r="K1087" s="248"/>
      <c r="L1087" s="248"/>
      <c r="M1087" s="248"/>
      <c r="N1087" s="248"/>
      <c r="P1087" s="248"/>
      <c r="Q1087" s="248"/>
    </row>
    <row r="1088">
      <c r="A1088" s="248"/>
      <c r="B1088" s="248"/>
      <c r="C1088" s="248"/>
      <c r="D1088" s="248"/>
      <c r="E1088" s="248"/>
      <c r="F1088" s="248"/>
      <c r="G1088" s="248"/>
      <c r="I1088" s="248"/>
      <c r="J1088" s="248"/>
      <c r="K1088" s="248"/>
      <c r="L1088" s="248"/>
      <c r="M1088" s="248"/>
      <c r="N1088" s="248"/>
      <c r="P1088" s="248"/>
      <c r="Q1088" s="248"/>
    </row>
    <row r="1089">
      <c r="A1089" s="248"/>
      <c r="B1089" s="248"/>
      <c r="C1089" s="248"/>
      <c r="D1089" s="248"/>
      <c r="E1089" s="248"/>
      <c r="F1089" s="248"/>
      <c r="G1089" s="248"/>
      <c r="I1089" s="248"/>
      <c r="J1089" s="248"/>
      <c r="K1089" s="248"/>
      <c r="L1089" s="248"/>
      <c r="M1089" s="248"/>
      <c r="N1089" s="248"/>
      <c r="P1089" s="248"/>
      <c r="Q1089" s="248"/>
    </row>
    <row r="1090">
      <c r="A1090" s="248"/>
      <c r="B1090" s="248"/>
      <c r="C1090" s="248"/>
      <c r="D1090" s="248"/>
      <c r="E1090" s="248"/>
      <c r="F1090" s="248"/>
      <c r="G1090" s="248"/>
      <c r="I1090" s="248"/>
      <c r="J1090" s="248"/>
      <c r="K1090" s="248"/>
      <c r="L1090" s="248"/>
      <c r="M1090" s="248"/>
      <c r="N1090" s="248"/>
      <c r="P1090" s="248"/>
      <c r="Q1090" s="248"/>
    </row>
    <row r="1091">
      <c r="A1091" s="248"/>
      <c r="B1091" s="248"/>
      <c r="C1091" s="248"/>
      <c r="D1091" s="248"/>
      <c r="E1091" s="248"/>
      <c r="F1091" s="248"/>
      <c r="G1091" s="248"/>
      <c r="I1091" s="248"/>
      <c r="J1091" s="248"/>
      <c r="K1091" s="248"/>
      <c r="L1091" s="248"/>
      <c r="M1091" s="248"/>
      <c r="N1091" s="248"/>
      <c r="P1091" s="248"/>
      <c r="Q1091" s="248"/>
    </row>
    <row r="1092">
      <c r="A1092" s="248"/>
      <c r="B1092" s="248"/>
      <c r="C1092" s="248"/>
      <c r="D1092" s="248"/>
      <c r="E1092" s="248"/>
      <c r="F1092" s="248"/>
      <c r="G1092" s="248"/>
      <c r="I1092" s="248"/>
      <c r="J1092" s="248"/>
      <c r="K1092" s="248"/>
      <c r="L1092" s="248"/>
      <c r="M1092" s="248"/>
      <c r="N1092" s="248"/>
      <c r="P1092" s="248"/>
      <c r="Q1092" s="248"/>
    </row>
    <row r="1093">
      <c r="A1093" s="248"/>
      <c r="B1093" s="248"/>
      <c r="C1093" s="248"/>
      <c r="D1093" s="248"/>
      <c r="E1093" s="248"/>
      <c r="F1093" s="248"/>
      <c r="G1093" s="248"/>
      <c r="I1093" s="248"/>
      <c r="J1093" s="248"/>
      <c r="K1093" s="248"/>
      <c r="L1093" s="248"/>
      <c r="M1093" s="248"/>
      <c r="N1093" s="248"/>
      <c r="P1093" s="248"/>
      <c r="Q1093" s="248"/>
    </row>
    <row r="1094">
      <c r="A1094" s="248"/>
      <c r="B1094" s="248"/>
      <c r="C1094" s="248"/>
      <c r="D1094" s="248"/>
      <c r="E1094" s="248"/>
      <c r="F1094" s="248"/>
      <c r="G1094" s="248"/>
      <c r="I1094" s="248"/>
      <c r="J1094" s="248"/>
      <c r="K1094" s="248"/>
      <c r="L1094" s="248"/>
      <c r="M1094" s="248"/>
      <c r="N1094" s="248"/>
      <c r="P1094" s="248"/>
      <c r="Q1094" s="248"/>
    </row>
    <row r="1095">
      <c r="A1095" s="248"/>
      <c r="B1095" s="248"/>
      <c r="C1095" s="248"/>
      <c r="D1095" s="248"/>
      <c r="E1095" s="248"/>
      <c r="F1095" s="248"/>
      <c r="G1095" s="248"/>
      <c r="I1095" s="248"/>
      <c r="J1095" s="248"/>
      <c r="K1095" s="248"/>
      <c r="L1095" s="248"/>
      <c r="M1095" s="248"/>
      <c r="N1095" s="248"/>
      <c r="P1095" s="248"/>
      <c r="Q1095" s="248"/>
    </row>
    <row r="1096">
      <c r="A1096" s="248"/>
      <c r="B1096" s="248"/>
      <c r="C1096" s="248"/>
      <c r="D1096" s="248"/>
      <c r="E1096" s="248"/>
      <c r="F1096" s="248"/>
      <c r="G1096" s="248"/>
      <c r="I1096" s="248"/>
      <c r="J1096" s="248"/>
      <c r="K1096" s="248"/>
      <c r="L1096" s="248"/>
      <c r="M1096" s="248"/>
      <c r="N1096" s="248"/>
      <c r="P1096" s="248"/>
      <c r="Q1096" s="248"/>
    </row>
    <row r="1097">
      <c r="A1097" s="248"/>
      <c r="B1097" s="248"/>
      <c r="C1097" s="248"/>
      <c r="D1097" s="248"/>
      <c r="E1097" s="248"/>
      <c r="F1097" s="248"/>
      <c r="G1097" s="248"/>
      <c r="I1097" s="248"/>
      <c r="J1097" s="248"/>
      <c r="K1097" s="248"/>
      <c r="L1097" s="248"/>
      <c r="M1097" s="248"/>
      <c r="N1097" s="248"/>
      <c r="P1097" s="248"/>
      <c r="Q1097" s="248"/>
    </row>
    <row r="1098">
      <c r="A1098" s="248"/>
      <c r="B1098" s="248"/>
      <c r="C1098" s="248"/>
      <c r="D1098" s="248"/>
      <c r="E1098" s="248"/>
      <c r="F1098" s="248"/>
      <c r="G1098" s="248"/>
      <c r="I1098" s="248"/>
      <c r="J1098" s="248"/>
      <c r="K1098" s="248"/>
      <c r="L1098" s="248"/>
      <c r="M1098" s="248"/>
      <c r="N1098" s="248"/>
      <c r="P1098" s="248"/>
      <c r="Q1098" s="248"/>
    </row>
    <row r="1099">
      <c r="A1099" s="248"/>
      <c r="B1099" s="248"/>
      <c r="C1099" s="248"/>
      <c r="D1099" s="248"/>
      <c r="E1099" s="248"/>
      <c r="F1099" s="248"/>
      <c r="G1099" s="248"/>
      <c r="I1099" s="248"/>
      <c r="J1099" s="248"/>
      <c r="K1099" s="248"/>
      <c r="L1099" s="248"/>
      <c r="M1099" s="248"/>
      <c r="N1099" s="248"/>
      <c r="P1099" s="248"/>
      <c r="Q1099" s="248"/>
    </row>
    <row r="1100">
      <c r="A1100" s="248"/>
      <c r="B1100" s="248"/>
      <c r="C1100" s="248"/>
      <c r="D1100" s="248"/>
      <c r="E1100" s="248"/>
      <c r="F1100" s="248"/>
      <c r="G1100" s="248"/>
      <c r="I1100" s="248"/>
      <c r="J1100" s="248"/>
      <c r="K1100" s="248"/>
      <c r="L1100" s="248"/>
      <c r="M1100" s="248"/>
      <c r="N1100" s="248"/>
      <c r="P1100" s="248"/>
      <c r="Q1100" s="248"/>
    </row>
    <row r="1101">
      <c r="A1101" s="248"/>
      <c r="B1101" s="248"/>
      <c r="C1101" s="248"/>
      <c r="D1101" s="248"/>
      <c r="E1101" s="248"/>
      <c r="F1101" s="248"/>
      <c r="G1101" s="248"/>
      <c r="I1101" s="248"/>
      <c r="J1101" s="248"/>
      <c r="K1101" s="248"/>
      <c r="L1101" s="248"/>
      <c r="M1101" s="248"/>
      <c r="N1101" s="248"/>
      <c r="P1101" s="248"/>
      <c r="Q1101" s="248"/>
    </row>
    <row r="1102">
      <c r="A1102" s="248"/>
      <c r="B1102" s="248"/>
      <c r="C1102" s="248"/>
      <c r="D1102" s="248"/>
      <c r="E1102" s="248"/>
      <c r="F1102" s="248"/>
      <c r="G1102" s="248"/>
      <c r="I1102" s="248"/>
      <c r="J1102" s="248"/>
      <c r="K1102" s="248"/>
      <c r="L1102" s="248"/>
      <c r="M1102" s="248"/>
      <c r="N1102" s="248"/>
      <c r="P1102" s="248"/>
      <c r="Q1102" s="248"/>
    </row>
    <row r="1103">
      <c r="A1103" s="248"/>
      <c r="B1103" s="248"/>
      <c r="C1103" s="248"/>
      <c r="D1103" s="248"/>
      <c r="E1103" s="248"/>
      <c r="F1103" s="248"/>
      <c r="G1103" s="248"/>
      <c r="I1103" s="248"/>
      <c r="J1103" s="248"/>
      <c r="K1103" s="248"/>
      <c r="L1103" s="248"/>
      <c r="M1103" s="248"/>
      <c r="N1103" s="248"/>
      <c r="P1103" s="248"/>
      <c r="Q1103" s="248"/>
    </row>
    <row r="1104">
      <c r="A1104" s="248"/>
      <c r="B1104" s="248"/>
      <c r="C1104" s="248"/>
      <c r="D1104" s="248"/>
      <c r="E1104" s="248"/>
      <c r="F1104" s="248"/>
      <c r="G1104" s="248"/>
      <c r="I1104" s="248"/>
      <c r="J1104" s="248"/>
      <c r="K1104" s="248"/>
      <c r="L1104" s="248"/>
      <c r="M1104" s="248"/>
      <c r="N1104" s="248"/>
      <c r="P1104" s="248"/>
      <c r="Q1104" s="248"/>
    </row>
    <row r="1105">
      <c r="A1105" s="248"/>
      <c r="B1105" s="248"/>
      <c r="C1105" s="248"/>
      <c r="D1105" s="248"/>
      <c r="E1105" s="248"/>
      <c r="F1105" s="248"/>
      <c r="G1105" s="248"/>
      <c r="I1105" s="248"/>
      <c r="J1105" s="248"/>
      <c r="K1105" s="248"/>
      <c r="L1105" s="248"/>
      <c r="M1105" s="248"/>
      <c r="N1105" s="248"/>
      <c r="P1105" s="248"/>
      <c r="Q1105" s="248"/>
    </row>
    <row r="1106">
      <c r="A1106" s="248"/>
      <c r="B1106" s="248"/>
      <c r="C1106" s="248"/>
      <c r="D1106" s="248"/>
      <c r="E1106" s="248"/>
      <c r="F1106" s="248"/>
      <c r="G1106" s="248"/>
      <c r="I1106" s="248"/>
      <c r="J1106" s="248"/>
      <c r="K1106" s="248"/>
      <c r="L1106" s="248"/>
      <c r="M1106" s="248"/>
      <c r="N1106" s="248"/>
      <c r="P1106" s="248"/>
      <c r="Q1106" s="248"/>
    </row>
    <row r="1107">
      <c r="A1107" s="248"/>
      <c r="B1107" s="248"/>
      <c r="C1107" s="248"/>
      <c r="D1107" s="248"/>
      <c r="E1107" s="248"/>
      <c r="F1107" s="248"/>
      <c r="G1107" s="248"/>
      <c r="I1107" s="248"/>
      <c r="J1107" s="248"/>
      <c r="K1107" s="248"/>
      <c r="L1107" s="248"/>
      <c r="M1107" s="248"/>
      <c r="N1107" s="248"/>
      <c r="P1107" s="248"/>
      <c r="Q1107" s="248"/>
    </row>
    <row r="1108">
      <c r="A1108" s="248"/>
      <c r="B1108" s="248"/>
      <c r="C1108" s="248"/>
      <c r="D1108" s="248"/>
      <c r="E1108" s="248"/>
      <c r="F1108" s="248"/>
      <c r="G1108" s="248"/>
      <c r="I1108" s="248"/>
      <c r="J1108" s="248"/>
      <c r="K1108" s="248"/>
      <c r="L1108" s="248"/>
      <c r="M1108" s="248"/>
      <c r="N1108" s="248"/>
      <c r="P1108" s="248"/>
      <c r="Q1108" s="248"/>
    </row>
    <row r="1109">
      <c r="A1109" s="248"/>
      <c r="B1109" s="248"/>
      <c r="C1109" s="248"/>
      <c r="D1109" s="248"/>
      <c r="E1109" s="248"/>
      <c r="F1109" s="248"/>
      <c r="G1109" s="248"/>
      <c r="I1109" s="248"/>
      <c r="J1109" s="248"/>
      <c r="K1109" s="248"/>
      <c r="L1109" s="248"/>
      <c r="M1109" s="248"/>
      <c r="N1109" s="248"/>
      <c r="P1109" s="248"/>
      <c r="Q1109" s="248"/>
    </row>
    <row r="1110">
      <c r="A1110" s="248"/>
      <c r="B1110" s="248"/>
      <c r="C1110" s="248"/>
      <c r="D1110" s="248"/>
      <c r="E1110" s="248"/>
      <c r="F1110" s="248"/>
      <c r="G1110" s="248"/>
      <c r="I1110" s="248"/>
      <c r="J1110" s="248"/>
      <c r="K1110" s="248"/>
      <c r="L1110" s="248"/>
      <c r="M1110" s="248"/>
      <c r="N1110" s="248"/>
      <c r="P1110" s="248"/>
      <c r="Q1110" s="248"/>
    </row>
    <row r="1111">
      <c r="A1111" s="248"/>
      <c r="B1111" s="248"/>
      <c r="C1111" s="248"/>
      <c r="D1111" s="248"/>
      <c r="E1111" s="248"/>
      <c r="F1111" s="248"/>
      <c r="G1111" s="248"/>
      <c r="I1111" s="248"/>
      <c r="J1111" s="248"/>
      <c r="K1111" s="248"/>
      <c r="L1111" s="248"/>
      <c r="M1111" s="248"/>
      <c r="N1111" s="248"/>
      <c r="P1111" s="248"/>
      <c r="Q1111" s="248"/>
    </row>
    <row r="1112">
      <c r="A1112" s="248"/>
      <c r="B1112" s="248"/>
      <c r="C1112" s="248"/>
      <c r="D1112" s="248"/>
      <c r="E1112" s="248"/>
      <c r="F1112" s="248"/>
      <c r="G1112" s="248"/>
      <c r="I1112" s="248"/>
      <c r="J1112" s="248"/>
      <c r="K1112" s="248"/>
      <c r="L1112" s="248"/>
      <c r="M1112" s="248"/>
      <c r="N1112" s="248"/>
      <c r="P1112" s="248"/>
      <c r="Q1112" s="248"/>
    </row>
    <row r="1113">
      <c r="A1113" s="248"/>
      <c r="B1113" s="248"/>
      <c r="C1113" s="248"/>
      <c r="D1113" s="248"/>
      <c r="E1113" s="248"/>
      <c r="F1113" s="248"/>
      <c r="G1113" s="248"/>
      <c r="I1113" s="248"/>
      <c r="J1113" s="248"/>
      <c r="K1113" s="248"/>
      <c r="L1113" s="248"/>
      <c r="M1113" s="248"/>
      <c r="N1113" s="248"/>
      <c r="P1113" s="248"/>
      <c r="Q1113" s="248"/>
    </row>
    <row r="1114">
      <c r="A1114" s="248"/>
      <c r="B1114" s="248"/>
      <c r="C1114" s="248"/>
      <c r="D1114" s="248"/>
      <c r="E1114" s="248"/>
      <c r="F1114" s="248"/>
      <c r="G1114" s="248"/>
      <c r="I1114" s="248"/>
      <c r="J1114" s="248"/>
      <c r="K1114" s="248"/>
      <c r="L1114" s="248"/>
      <c r="M1114" s="248"/>
      <c r="N1114" s="248"/>
      <c r="P1114" s="248"/>
      <c r="Q1114" s="248"/>
    </row>
    <row r="1115">
      <c r="A1115" s="248"/>
      <c r="B1115" s="248"/>
      <c r="C1115" s="248"/>
      <c r="D1115" s="248"/>
      <c r="E1115" s="248"/>
      <c r="F1115" s="248"/>
      <c r="G1115" s="248"/>
      <c r="I1115" s="248"/>
      <c r="J1115" s="248"/>
      <c r="K1115" s="248"/>
      <c r="L1115" s="248"/>
      <c r="M1115" s="248"/>
      <c r="N1115" s="248"/>
      <c r="P1115" s="248"/>
      <c r="Q1115" s="248"/>
    </row>
    <row r="1116">
      <c r="A1116" s="248"/>
      <c r="B1116" s="248"/>
      <c r="C1116" s="248"/>
      <c r="D1116" s="248"/>
      <c r="E1116" s="248"/>
      <c r="F1116" s="248"/>
      <c r="G1116" s="248"/>
      <c r="I1116" s="248"/>
      <c r="J1116" s="248"/>
      <c r="K1116" s="248"/>
      <c r="L1116" s="248"/>
      <c r="M1116" s="248"/>
      <c r="N1116" s="248"/>
      <c r="P1116" s="248"/>
      <c r="Q1116" s="248"/>
    </row>
    <row r="1117">
      <c r="A1117" s="248"/>
      <c r="B1117" s="248"/>
      <c r="C1117" s="248"/>
      <c r="D1117" s="248"/>
      <c r="E1117" s="248"/>
      <c r="F1117" s="248"/>
      <c r="G1117" s="248"/>
      <c r="I1117" s="248"/>
      <c r="J1117" s="248"/>
      <c r="K1117" s="248"/>
      <c r="L1117" s="248"/>
      <c r="M1117" s="248"/>
      <c r="N1117" s="248"/>
      <c r="P1117" s="248"/>
      <c r="Q1117" s="248"/>
    </row>
    <row r="1118">
      <c r="A1118" s="248"/>
      <c r="B1118" s="248"/>
      <c r="C1118" s="248"/>
      <c r="D1118" s="248"/>
      <c r="E1118" s="248"/>
      <c r="F1118" s="248"/>
      <c r="G1118" s="248"/>
      <c r="I1118" s="248"/>
      <c r="J1118" s="248"/>
      <c r="K1118" s="248"/>
      <c r="L1118" s="248"/>
      <c r="M1118" s="248"/>
      <c r="N1118" s="248"/>
      <c r="P1118" s="248"/>
      <c r="Q1118" s="248"/>
    </row>
    <row r="1119">
      <c r="A1119" s="248"/>
      <c r="B1119" s="248"/>
      <c r="C1119" s="248"/>
      <c r="D1119" s="248"/>
      <c r="E1119" s="248"/>
      <c r="F1119" s="248"/>
      <c r="G1119" s="248"/>
      <c r="I1119" s="248"/>
      <c r="J1119" s="248"/>
      <c r="K1119" s="248"/>
      <c r="L1119" s="248"/>
      <c r="M1119" s="248"/>
      <c r="N1119" s="248"/>
      <c r="P1119" s="248"/>
      <c r="Q1119" s="248"/>
    </row>
    <row r="1120">
      <c r="A1120" s="248"/>
      <c r="B1120" s="248"/>
      <c r="C1120" s="248"/>
      <c r="D1120" s="248"/>
      <c r="E1120" s="248"/>
      <c r="F1120" s="248"/>
      <c r="G1120" s="248"/>
      <c r="I1120" s="248"/>
      <c r="J1120" s="248"/>
      <c r="K1120" s="248"/>
      <c r="L1120" s="248"/>
      <c r="M1120" s="248"/>
      <c r="N1120" s="248"/>
      <c r="P1120" s="248"/>
      <c r="Q1120" s="248"/>
    </row>
    <row r="1121">
      <c r="A1121" s="248"/>
      <c r="B1121" s="248"/>
      <c r="C1121" s="248"/>
      <c r="D1121" s="248"/>
      <c r="E1121" s="248"/>
      <c r="F1121" s="248"/>
      <c r="G1121" s="248"/>
      <c r="I1121" s="248"/>
      <c r="J1121" s="248"/>
      <c r="K1121" s="248"/>
      <c r="L1121" s="248"/>
      <c r="M1121" s="248"/>
      <c r="N1121" s="248"/>
      <c r="P1121" s="248"/>
      <c r="Q1121" s="248"/>
    </row>
    <row r="1122">
      <c r="A1122" s="248"/>
      <c r="B1122" s="248"/>
      <c r="C1122" s="248"/>
      <c r="D1122" s="248"/>
      <c r="E1122" s="248"/>
      <c r="F1122" s="248"/>
      <c r="G1122" s="248"/>
      <c r="I1122" s="248"/>
      <c r="J1122" s="248"/>
      <c r="K1122" s="248"/>
      <c r="L1122" s="248"/>
      <c r="M1122" s="248"/>
      <c r="N1122" s="248"/>
      <c r="P1122" s="248"/>
      <c r="Q1122" s="248"/>
    </row>
    <row r="1123">
      <c r="A1123" s="248"/>
      <c r="B1123" s="248"/>
      <c r="C1123" s="248"/>
      <c r="D1123" s="248"/>
      <c r="E1123" s="248"/>
      <c r="F1123" s="248"/>
      <c r="G1123" s="248"/>
      <c r="I1123" s="248"/>
      <c r="J1123" s="248"/>
      <c r="K1123" s="248"/>
      <c r="L1123" s="248"/>
      <c r="M1123" s="248"/>
      <c r="N1123" s="248"/>
      <c r="P1123" s="248"/>
      <c r="Q1123" s="248"/>
    </row>
    <row r="1124">
      <c r="A1124" s="248"/>
      <c r="B1124" s="248"/>
      <c r="C1124" s="248"/>
      <c r="D1124" s="248"/>
      <c r="E1124" s="248"/>
      <c r="F1124" s="248"/>
      <c r="G1124" s="248"/>
      <c r="I1124" s="248"/>
      <c r="J1124" s="248"/>
      <c r="K1124" s="248"/>
      <c r="L1124" s="248"/>
      <c r="M1124" s="248"/>
      <c r="N1124" s="248"/>
      <c r="P1124" s="248"/>
      <c r="Q1124" s="248"/>
    </row>
    <row r="1125">
      <c r="A1125" s="248"/>
      <c r="B1125" s="248"/>
      <c r="C1125" s="248"/>
      <c r="D1125" s="248"/>
      <c r="E1125" s="248"/>
      <c r="F1125" s="248"/>
      <c r="G1125" s="248"/>
      <c r="I1125" s="248"/>
      <c r="J1125" s="248"/>
      <c r="K1125" s="248"/>
      <c r="L1125" s="248"/>
      <c r="M1125" s="248"/>
      <c r="N1125" s="248"/>
      <c r="P1125" s="248"/>
      <c r="Q1125" s="248"/>
    </row>
    <row r="1126">
      <c r="A1126" s="248"/>
      <c r="B1126" s="248"/>
      <c r="C1126" s="248"/>
      <c r="D1126" s="248"/>
      <c r="E1126" s="248"/>
      <c r="F1126" s="248"/>
      <c r="G1126" s="248"/>
      <c r="I1126" s="248"/>
      <c r="J1126" s="248"/>
      <c r="K1126" s="248"/>
      <c r="L1126" s="248"/>
      <c r="M1126" s="248"/>
      <c r="N1126" s="248"/>
      <c r="P1126" s="248"/>
      <c r="Q1126" s="248"/>
    </row>
    <row r="1127">
      <c r="A1127" s="248"/>
      <c r="B1127" s="248"/>
      <c r="C1127" s="248"/>
      <c r="D1127" s="248"/>
      <c r="E1127" s="248"/>
      <c r="F1127" s="248"/>
      <c r="G1127" s="248"/>
      <c r="I1127" s="248"/>
      <c r="J1127" s="248"/>
      <c r="K1127" s="248"/>
      <c r="L1127" s="248"/>
      <c r="M1127" s="248"/>
      <c r="N1127" s="248"/>
      <c r="P1127" s="248"/>
      <c r="Q1127" s="248"/>
    </row>
    <row r="1128">
      <c r="A1128" s="248"/>
      <c r="B1128" s="248"/>
      <c r="C1128" s="248"/>
      <c r="D1128" s="248"/>
      <c r="E1128" s="248"/>
      <c r="F1128" s="248"/>
      <c r="G1128" s="248"/>
      <c r="I1128" s="248"/>
      <c r="J1128" s="248"/>
      <c r="K1128" s="248"/>
      <c r="L1128" s="248"/>
      <c r="M1128" s="248"/>
      <c r="N1128" s="248"/>
      <c r="P1128" s="248"/>
      <c r="Q1128" s="248"/>
    </row>
    <row r="1129">
      <c r="A1129" s="248"/>
      <c r="B1129" s="248"/>
      <c r="C1129" s="248"/>
      <c r="D1129" s="248"/>
      <c r="E1129" s="248"/>
      <c r="F1129" s="248"/>
      <c r="G1129" s="248"/>
      <c r="I1129" s="248"/>
      <c r="J1129" s="248"/>
      <c r="K1129" s="248"/>
      <c r="L1129" s="248"/>
      <c r="M1129" s="248"/>
      <c r="N1129" s="248"/>
      <c r="P1129" s="248"/>
      <c r="Q1129" s="248"/>
    </row>
    <row r="1130">
      <c r="A1130" s="248"/>
      <c r="B1130" s="248"/>
      <c r="C1130" s="248"/>
      <c r="D1130" s="248"/>
      <c r="E1130" s="248"/>
      <c r="F1130" s="248"/>
      <c r="G1130" s="248"/>
      <c r="I1130" s="248"/>
      <c r="J1130" s="248"/>
      <c r="K1130" s="248"/>
      <c r="L1130" s="248"/>
      <c r="M1130" s="248"/>
      <c r="N1130" s="248"/>
      <c r="P1130" s="248"/>
      <c r="Q1130" s="248"/>
    </row>
    <row r="1131">
      <c r="A1131" s="248"/>
      <c r="B1131" s="248"/>
      <c r="C1131" s="248"/>
      <c r="D1131" s="248"/>
      <c r="E1131" s="248"/>
      <c r="F1131" s="248"/>
      <c r="G1131" s="248"/>
      <c r="I1131" s="248"/>
      <c r="J1131" s="248"/>
      <c r="K1131" s="248"/>
      <c r="L1131" s="248"/>
      <c r="M1131" s="248"/>
      <c r="N1131" s="248"/>
      <c r="P1131" s="248"/>
      <c r="Q1131" s="248"/>
    </row>
    <row r="1132">
      <c r="A1132" s="248"/>
      <c r="B1132" s="248"/>
      <c r="C1132" s="248"/>
      <c r="D1132" s="248"/>
      <c r="E1132" s="248"/>
      <c r="F1132" s="248"/>
      <c r="G1132" s="248"/>
      <c r="I1132" s="248"/>
      <c r="J1132" s="248"/>
      <c r="K1132" s="248"/>
      <c r="L1132" s="248"/>
      <c r="M1132" s="248"/>
      <c r="N1132" s="248"/>
      <c r="P1132" s="248"/>
      <c r="Q1132" s="248"/>
    </row>
    <row r="1133">
      <c r="A1133" s="248"/>
      <c r="B1133" s="248"/>
      <c r="C1133" s="248"/>
      <c r="D1133" s="248"/>
      <c r="E1133" s="248"/>
      <c r="F1133" s="248"/>
      <c r="G1133" s="248"/>
      <c r="I1133" s="248"/>
      <c r="J1133" s="248"/>
      <c r="K1133" s="248"/>
      <c r="L1133" s="248"/>
      <c r="M1133" s="248"/>
      <c r="N1133" s="248"/>
      <c r="P1133" s="248"/>
      <c r="Q1133" s="248"/>
    </row>
    <row r="1134">
      <c r="A1134" s="248"/>
      <c r="B1134" s="248"/>
      <c r="C1134" s="248"/>
      <c r="D1134" s="248"/>
      <c r="E1134" s="248"/>
      <c r="F1134" s="248"/>
      <c r="G1134" s="248"/>
      <c r="I1134" s="248"/>
      <c r="J1134" s="248"/>
      <c r="K1134" s="248"/>
      <c r="L1134" s="248"/>
      <c r="M1134" s="248"/>
      <c r="N1134" s="248"/>
      <c r="P1134" s="248"/>
      <c r="Q1134" s="248"/>
    </row>
    <row r="1135">
      <c r="A1135" s="248"/>
      <c r="B1135" s="248"/>
      <c r="C1135" s="248"/>
      <c r="D1135" s="248"/>
      <c r="E1135" s="248"/>
      <c r="F1135" s="248"/>
      <c r="G1135" s="248"/>
      <c r="I1135" s="248"/>
      <c r="J1135" s="248"/>
      <c r="K1135" s="248"/>
      <c r="L1135" s="248"/>
      <c r="M1135" s="248"/>
      <c r="N1135" s="248"/>
      <c r="P1135" s="248"/>
      <c r="Q1135" s="248"/>
    </row>
    <row r="1136">
      <c r="A1136" s="248"/>
      <c r="B1136" s="248"/>
      <c r="C1136" s="248"/>
      <c r="D1136" s="248"/>
      <c r="E1136" s="248"/>
      <c r="F1136" s="248"/>
      <c r="G1136" s="248"/>
      <c r="I1136" s="248"/>
      <c r="J1136" s="248"/>
      <c r="K1136" s="248"/>
      <c r="L1136" s="248"/>
      <c r="M1136" s="248"/>
      <c r="N1136" s="248"/>
      <c r="P1136" s="248"/>
      <c r="Q1136" s="248"/>
    </row>
    <row r="1137">
      <c r="A1137" s="248"/>
      <c r="B1137" s="248"/>
      <c r="C1137" s="248"/>
      <c r="D1137" s="248"/>
      <c r="E1137" s="248"/>
      <c r="F1137" s="248"/>
      <c r="G1137" s="248"/>
      <c r="I1137" s="248"/>
      <c r="J1137" s="248"/>
      <c r="K1137" s="248"/>
      <c r="L1137" s="248"/>
      <c r="M1137" s="248"/>
      <c r="N1137" s="248"/>
      <c r="P1137" s="248"/>
      <c r="Q1137" s="248"/>
    </row>
    <row r="1138">
      <c r="A1138" s="248"/>
      <c r="B1138" s="248"/>
      <c r="C1138" s="248"/>
      <c r="D1138" s="248"/>
      <c r="E1138" s="248"/>
      <c r="F1138" s="248"/>
      <c r="G1138" s="248"/>
      <c r="I1138" s="248"/>
      <c r="J1138" s="248"/>
      <c r="K1138" s="248"/>
      <c r="L1138" s="248"/>
      <c r="M1138" s="248"/>
      <c r="N1138" s="248"/>
      <c r="P1138" s="248"/>
      <c r="Q1138" s="248"/>
    </row>
    <row r="1139">
      <c r="A1139" s="248"/>
      <c r="B1139" s="248"/>
      <c r="C1139" s="248"/>
      <c r="D1139" s="248"/>
      <c r="E1139" s="248"/>
      <c r="F1139" s="248"/>
      <c r="G1139" s="248"/>
      <c r="I1139" s="248"/>
      <c r="J1139" s="248"/>
      <c r="K1139" s="248"/>
      <c r="L1139" s="248"/>
      <c r="M1139" s="248"/>
      <c r="N1139" s="248"/>
      <c r="P1139" s="248"/>
      <c r="Q1139" s="248"/>
    </row>
    <row r="1140">
      <c r="A1140" s="248"/>
      <c r="B1140" s="248"/>
      <c r="C1140" s="248"/>
      <c r="D1140" s="248"/>
      <c r="E1140" s="248"/>
      <c r="F1140" s="248"/>
      <c r="G1140" s="248"/>
      <c r="I1140" s="248"/>
      <c r="J1140" s="248"/>
      <c r="K1140" s="248"/>
      <c r="L1140" s="248"/>
      <c r="M1140" s="248"/>
      <c r="N1140" s="248"/>
      <c r="P1140" s="248"/>
      <c r="Q1140" s="248"/>
    </row>
    <row r="1141">
      <c r="A1141" s="248"/>
      <c r="B1141" s="248"/>
      <c r="C1141" s="248"/>
      <c r="D1141" s="248"/>
      <c r="E1141" s="248"/>
      <c r="F1141" s="248"/>
      <c r="G1141" s="248"/>
      <c r="I1141" s="248"/>
      <c r="J1141" s="248"/>
      <c r="K1141" s="248"/>
      <c r="L1141" s="248"/>
      <c r="M1141" s="248"/>
      <c r="N1141" s="248"/>
      <c r="P1141" s="248"/>
      <c r="Q1141" s="248"/>
    </row>
    <row r="1142">
      <c r="A1142" s="248"/>
      <c r="B1142" s="248"/>
      <c r="C1142" s="248"/>
      <c r="D1142" s="248"/>
      <c r="E1142" s="248"/>
      <c r="F1142" s="248"/>
      <c r="G1142" s="248"/>
      <c r="I1142" s="248"/>
      <c r="J1142" s="248"/>
      <c r="K1142" s="248"/>
      <c r="L1142" s="248"/>
      <c r="M1142" s="248"/>
      <c r="N1142" s="248"/>
      <c r="P1142" s="248"/>
      <c r="Q1142" s="248"/>
    </row>
    <row r="1143">
      <c r="A1143" s="248"/>
      <c r="B1143" s="248"/>
      <c r="C1143" s="248"/>
      <c r="D1143" s="248"/>
      <c r="E1143" s="248"/>
      <c r="F1143" s="248"/>
      <c r="G1143" s="248"/>
      <c r="I1143" s="248"/>
      <c r="J1143" s="248"/>
      <c r="K1143" s="248"/>
      <c r="L1143" s="248"/>
      <c r="M1143" s="248"/>
      <c r="N1143" s="248"/>
      <c r="P1143" s="248"/>
      <c r="Q1143" s="248"/>
    </row>
    <row r="1144">
      <c r="A1144" s="248"/>
      <c r="B1144" s="248"/>
      <c r="C1144" s="248"/>
      <c r="D1144" s="248"/>
      <c r="E1144" s="248"/>
      <c r="F1144" s="248"/>
      <c r="G1144" s="248"/>
      <c r="I1144" s="248"/>
      <c r="J1144" s="248"/>
      <c r="K1144" s="248"/>
      <c r="L1144" s="248"/>
      <c r="M1144" s="248"/>
      <c r="N1144" s="248"/>
      <c r="P1144" s="248"/>
      <c r="Q1144" s="248"/>
    </row>
    <row r="1145">
      <c r="A1145" s="248"/>
      <c r="B1145" s="248"/>
      <c r="C1145" s="248"/>
      <c r="D1145" s="248"/>
      <c r="E1145" s="248"/>
      <c r="F1145" s="248"/>
      <c r="G1145" s="248"/>
      <c r="I1145" s="248"/>
      <c r="J1145" s="248"/>
      <c r="K1145" s="248"/>
      <c r="L1145" s="248"/>
      <c r="M1145" s="248"/>
      <c r="N1145" s="248"/>
      <c r="P1145" s="248"/>
      <c r="Q1145" s="248"/>
    </row>
    <row r="1146">
      <c r="A1146" s="248"/>
      <c r="B1146" s="248"/>
      <c r="C1146" s="248"/>
      <c r="D1146" s="248"/>
      <c r="E1146" s="248"/>
      <c r="F1146" s="248"/>
      <c r="G1146" s="248"/>
      <c r="I1146" s="248"/>
      <c r="J1146" s="248"/>
      <c r="K1146" s="248"/>
      <c r="L1146" s="248"/>
      <c r="M1146" s="248"/>
      <c r="N1146" s="248"/>
      <c r="P1146" s="248"/>
      <c r="Q1146" s="248"/>
    </row>
    <row r="1147">
      <c r="A1147" s="248"/>
      <c r="B1147" s="248"/>
      <c r="C1147" s="248"/>
      <c r="D1147" s="248"/>
      <c r="E1147" s="248"/>
      <c r="F1147" s="248"/>
      <c r="G1147" s="248"/>
      <c r="I1147" s="248"/>
      <c r="J1147" s="248"/>
      <c r="K1147" s="248"/>
      <c r="L1147" s="248"/>
      <c r="M1147" s="248"/>
      <c r="N1147" s="248"/>
      <c r="P1147" s="248"/>
      <c r="Q1147" s="248"/>
    </row>
    <row r="1148">
      <c r="A1148" s="248"/>
      <c r="B1148" s="248"/>
      <c r="C1148" s="248"/>
      <c r="D1148" s="248"/>
      <c r="E1148" s="248"/>
      <c r="F1148" s="248"/>
      <c r="G1148" s="248"/>
      <c r="I1148" s="248"/>
      <c r="J1148" s="248"/>
      <c r="K1148" s="248"/>
      <c r="L1148" s="248"/>
      <c r="M1148" s="248"/>
      <c r="N1148" s="248"/>
      <c r="P1148" s="248"/>
      <c r="Q1148" s="248"/>
    </row>
    <row r="1149">
      <c r="A1149" s="248"/>
      <c r="B1149" s="248"/>
      <c r="C1149" s="248"/>
      <c r="D1149" s="248"/>
      <c r="E1149" s="248"/>
      <c r="F1149" s="248"/>
      <c r="G1149" s="248"/>
      <c r="I1149" s="248"/>
      <c r="J1149" s="248"/>
      <c r="K1149" s="248"/>
      <c r="L1149" s="248"/>
      <c r="M1149" s="248"/>
      <c r="N1149" s="248"/>
      <c r="P1149" s="248"/>
      <c r="Q1149" s="248"/>
    </row>
    <row r="1150">
      <c r="A1150" s="248"/>
      <c r="B1150" s="248"/>
      <c r="C1150" s="248"/>
      <c r="D1150" s="248"/>
      <c r="E1150" s="248"/>
      <c r="F1150" s="248"/>
      <c r="G1150" s="248"/>
      <c r="I1150" s="248"/>
      <c r="J1150" s="248"/>
      <c r="K1150" s="248"/>
      <c r="L1150" s="248"/>
      <c r="M1150" s="248"/>
      <c r="N1150" s="248"/>
      <c r="P1150" s="248"/>
      <c r="Q1150" s="248"/>
    </row>
    <row r="1151">
      <c r="A1151" s="248"/>
      <c r="B1151" s="248"/>
      <c r="C1151" s="248"/>
      <c r="D1151" s="248"/>
      <c r="E1151" s="248"/>
      <c r="F1151" s="248"/>
      <c r="G1151" s="248"/>
      <c r="I1151" s="248"/>
      <c r="J1151" s="248"/>
      <c r="K1151" s="248"/>
      <c r="L1151" s="248"/>
      <c r="M1151" s="248"/>
      <c r="N1151" s="248"/>
      <c r="P1151" s="248"/>
      <c r="Q1151" s="248"/>
    </row>
    <row r="1152">
      <c r="A1152" s="248"/>
      <c r="B1152" s="248"/>
      <c r="C1152" s="248"/>
      <c r="D1152" s="248"/>
      <c r="E1152" s="248"/>
      <c r="F1152" s="248"/>
      <c r="G1152" s="248"/>
      <c r="I1152" s="248"/>
      <c r="J1152" s="248"/>
      <c r="K1152" s="248"/>
      <c r="L1152" s="248"/>
      <c r="M1152" s="248"/>
      <c r="N1152" s="248"/>
      <c r="P1152" s="248"/>
      <c r="Q1152" s="248"/>
    </row>
    <row r="1153">
      <c r="A1153" s="248"/>
      <c r="B1153" s="248"/>
      <c r="C1153" s="248"/>
      <c r="D1153" s="248"/>
      <c r="E1153" s="248"/>
      <c r="F1153" s="248"/>
      <c r="G1153" s="248"/>
      <c r="I1153" s="248"/>
      <c r="J1153" s="248"/>
      <c r="K1153" s="248"/>
      <c r="L1153" s="248"/>
      <c r="M1153" s="248"/>
      <c r="N1153" s="248"/>
      <c r="P1153" s="248"/>
      <c r="Q1153" s="248"/>
    </row>
    <row r="1154">
      <c r="A1154" s="248"/>
      <c r="B1154" s="248"/>
      <c r="C1154" s="248"/>
      <c r="D1154" s="248"/>
      <c r="E1154" s="248"/>
      <c r="F1154" s="248"/>
      <c r="G1154" s="248"/>
      <c r="I1154" s="248"/>
      <c r="J1154" s="248"/>
      <c r="K1154" s="248"/>
      <c r="L1154" s="248"/>
      <c r="M1154" s="248"/>
      <c r="N1154" s="248"/>
      <c r="P1154" s="248"/>
      <c r="Q1154" s="248"/>
    </row>
    <row r="1155">
      <c r="A1155" s="248"/>
      <c r="B1155" s="248"/>
      <c r="C1155" s="248"/>
      <c r="D1155" s="248"/>
      <c r="E1155" s="248"/>
      <c r="F1155" s="248"/>
      <c r="G1155" s="248"/>
      <c r="I1155" s="248"/>
      <c r="J1155" s="248"/>
      <c r="K1155" s="248"/>
      <c r="L1155" s="248"/>
      <c r="M1155" s="248"/>
      <c r="N1155" s="248"/>
      <c r="P1155" s="248"/>
      <c r="Q1155" s="248"/>
    </row>
    <row r="1156">
      <c r="A1156" s="248"/>
      <c r="B1156" s="248"/>
      <c r="C1156" s="248"/>
      <c r="D1156" s="248"/>
      <c r="E1156" s="248"/>
      <c r="F1156" s="248"/>
      <c r="G1156" s="248"/>
      <c r="I1156" s="248"/>
      <c r="J1156" s="248"/>
      <c r="K1156" s="248"/>
      <c r="L1156" s="248"/>
      <c r="M1156" s="248"/>
      <c r="N1156" s="248"/>
      <c r="P1156" s="248"/>
      <c r="Q1156" s="248"/>
    </row>
    <row r="1157">
      <c r="A1157" s="248"/>
      <c r="B1157" s="248"/>
      <c r="C1157" s="248"/>
      <c r="D1157" s="248"/>
      <c r="E1157" s="248"/>
      <c r="F1157" s="248"/>
      <c r="G1157" s="248"/>
      <c r="I1157" s="248"/>
      <c r="J1157" s="248"/>
      <c r="K1157" s="248"/>
      <c r="L1157" s="248"/>
      <c r="M1157" s="248"/>
      <c r="N1157" s="248"/>
      <c r="P1157" s="248"/>
      <c r="Q1157" s="248"/>
    </row>
    <row r="1158">
      <c r="A1158" s="248"/>
      <c r="B1158" s="248"/>
      <c r="C1158" s="248"/>
      <c r="D1158" s="248"/>
      <c r="E1158" s="248"/>
      <c r="F1158" s="248"/>
      <c r="G1158" s="248"/>
      <c r="I1158" s="248"/>
      <c r="J1158" s="248"/>
      <c r="K1158" s="248"/>
      <c r="L1158" s="248"/>
      <c r="M1158" s="248"/>
      <c r="N1158" s="248"/>
      <c r="P1158" s="248"/>
      <c r="Q1158" s="248"/>
    </row>
    <row r="1159">
      <c r="A1159" s="248"/>
      <c r="B1159" s="248"/>
      <c r="C1159" s="248"/>
      <c r="D1159" s="248"/>
      <c r="E1159" s="248"/>
      <c r="F1159" s="248"/>
      <c r="G1159" s="248"/>
      <c r="I1159" s="248"/>
      <c r="J1159" s="248"/>
      <c r="K1159" s="248"/>
      <c r="L1159" s="248"/>
      <c r="M1159" s="248"/>
      <c r="N1159" s="248"/>
      <c r="P1159" s="248"/>
      <c r="Q1159" s="248"/>
    </row>
    <row r="1160">
      <c r="A1160" s="248"/>
      <c r="B1160" s="248"/>
      <c r="C1160" s="248"/>
      <c r="D1160" s="248"/>
      <c r="E1160" s="248"/>
      <c r="F1160" s="248"/>
      <c r="G1160" s="248"/>
      <c r="I1160" s="248"/>
      <c r="J1160" s="248"/>
      <c r="K1160" s="248"/>
      <c r="L1160" s="248"/>
      <c r="M1160" s="248"/>
      <c r="N1160" s="248"/>
      <c r="P1160" s="248"/>
      <c r="Q1160" s="248"/>
    </row>
    <row r="1161">
      <c r="A1161" s="248"/>
      <c r="B1161" s="248"/>
      <c r="C1161" s="248"/>
      <c r="D1161" s="248"/>
      <c r="E1161" s="248"/>
      <c r="F1161" s="248"/>
      <c r="G1161" s="248"/>
      <c r="I1161" s="248"/>
      <c r="J1161" s="248"/>
      <c r="K1161" s="248"/>
      <c r="L1161" s="248"/>
      <c r="M1161" s="248"/>
      <c r="N1161" s="248"/>
      <c r="P1161" s="248"/>
      <c r="Q1161" s="248"/>
    </row>
    <row r="1162">
      <c r="A1162" s="248"/>
      <c r="B1162" s="248"/>
      <c r="C1162" s="248"/>
      <c r="D1162" s="248"/>
      <c r="E1162" s="248"/>
      <c r="F1162" s="248"/>
      <c r="G1162" s="248"/>
      <c r="I1162" s="248"/>
      <c r="J1162" s="248"/>
      <c r="K1162" s="248"/>
      <c r="L1162" s="248"/>
      <c r="M1162" s="248"/>
      <c r="N1162" s="248"/>
      <c r="P1162" s="248"/>
      <c r="Q1162" s="248"/>
    </row>
    <row r="1163">
      <c r="A1163" s="248"/>
      <c r="B1163" s="248"/>
      <c r="C1163" s="248"/>
      <c r="D1163" s="248"/>
      <c r="E1163" s="248"/>
      <c r="F1163" s="248"/>
      <c r="G1163" s="248"/>
      <c r="I1163" s="248"/>
      <c r="J1163" s="248"/>
      <c r="K1163" s="248"/>
      <c r="L1163" s="248"/>
      <c r="M1163" s="248"/>
      <c r="N1163" s="248"/>
      <c r="P1163" s="248"/>
      <c r="Q1163" s="248"/>
    </row>
    <row r="1164">
      <c r="A1164" s="248"/>
      <c r="B1164" s="248"/>
      <c r="C1164" s="248"/>
      <c r="D1164" s="248"/>
      <c r="E1164" s="248"/>
      <c r="F1164" s="248"/>
      <c r="G1164" s="248"/>
      <c r="I1164" s="248"/>
      <c r="J1164" s="248"/>
      <c r="K1164" s="248"/>
      <c r="L1164" s="248"/>
      <c r="M1164" s="248"/>
      <c r="N1164" s="248"/>
      <c r="P1164" s="248"/>
      <c r="Q1164" s="248"/>
    </row>
    <row r="1165">
      <c r="A1165" s="248"/>
      <c r="B1165" s="248"/>
      <c r="C1165" s="248"/>
      <c r="D1165" s="248"/>
      <c r="E1165" s="248"/>
      <c r="F1165" s="248"/>
      <c r="G1165" s="248"/>
      <c r="I1165" s="248"/>
      <c r="J1165" s="248"/>
      <c r="K1165" s="248"/>
      <c r="L1165" s="248"/>
      <c r="M1165" s="248"/>
      <c r="N1165" s="248"/>
      <c r="P1165" s="248"/>
      <c r="Q1165" s="248"/>
    </row>
    <row r="1166">
      <c r="A1166" s="248"/>
      <c r="B1166" s="248"/>
      <c r="C1166" s="248"/>
      <c r="D1166" s="248"/>
      <c r="E1166" s="248"/>
      <c r="F1166" s="248"/>
      <c r="G1166" s="248"/>
      <c r="I1166" s="248"/>
      <c r="J1166" s="248"/>
      <c r="K1166" s="248"/>
      <c r="L1166" s="248"/>
      <c r="M1166" s="248"/>
      <c r="N1166" s="248"/>
      <c r="P1166" s="248"/>
      <c r="Q1166" s="248"/>
    </row>
    <row r="1167">
      <c r="A1167" s="248"/>
      <c r="B1167" s="248"/>
      <c r="C1167" s="248"/>
      <c r="D1167" s="248"/>
      <c r="E1167" s="248"/>
      <c r="F1167" s="248"/>
      <c r="G1167" s="248"/>
      <c r="I1167" s="248"/>
      <c r="J1167" s="248"/>
      <c r="K1167" s="248"/>
      <c r="L1167" s="248"/>
      <c r="M1167" s="248"/>
      <c r="N1167" s="248"/>
      <c r="P1167" s="248"/>
      <c r="Q1167" s="248"/>
    </row>
    <row r="1168">
      <c r="A1168" s="248"/>
      <c r="B1168" s="248"/>
      <c r="C1168" s="248"/>
      <c r="D1168" s="248"/>
      <c r="E1168" s="248"/>
      <c r="F1168" s="248"/>
      <c r="G1168" s="248"/>
      <c r="I1168" s="248"/>
      <c r="J1168" s="248"/>
      <c r="K1168" s="248"/>
      <c r="L1168" s="248"/>
      <c r="M1168" s="248"/>
      <c r="N1168" s="248"/>
      <c r="P1168" s="248"/>
      <c r="Q1168" s="248"/>
    </row>
    <row r="1169">
      <c r="A1169" s="248"/>
      <c r="B1169" s="248"/>
      <c r="C1169" s="248"/>
      <c r="D1169" s="248"/>
      <c r="E1169" s="248"/>
      <c r="F1169" s="248"/>
      <c r="G1169" s="248"/>
      <c r="I1169" s="248"/>
      <c r="J1169" s="248"/>
      <c r="K1169" s="248"/>
      <c r="L1169" s="248"/>
      <c r="M1169" s="248"/>
      <c r="N1169" s="248"/>
      <c r="P1169" s="248"/>
      <c r="Q1169" s="248"/>
    </row>
    <row r="1170">
      <c r="A1170" s="248"/>
      <c r="B1170" s="248"/>
      <c r="C1170" s="248"/>
      <c r="D1170" s="248"/>
      <c r="E1170" s="248"/>
      <c r="F1170" s="248"/>
      <c r="G1170" s="248"/>
      <c r="I1170" s="248"/>
      <c r="J1170" s="248"/>
      <c r="K1170" s="248"/>
      <c r="L1170" s="248"/>
      <c r="M1170" s="248"/>
      <c r="N1170" s="248"/>
      <c r="P1170" s="248"/>
      <c r="Q1170" s="248"/>
    </row>
    <row r="1171">
      <c r="A1171" s="248"/>
      <c r="B1171" s="248"/>
      <c r="C1171" s="248"/>
      <c r="D1171" s="248"/>
      <c r="E1171" s="248"/>
      <c r="F1171" s="248"/>
      <c r="G1171" s="248"/>
      <c r="I1171" s="248"/>
      <c r="J1171" s="248"/>
      <c r="K1171" s="248"/>
      <c r="L1171" s="248"/>
      <c r="M1171" s="248"/>
      <c r="N1171" s="248"/>
      <c r="P1171" s="248"/>
      <c r="Q1171" s="248"/>
    </row>
    <row r="1172">
      <c r="A1172" s="248"/>
      <c r="B1172" s="248"/>
      <c r="C1172" s="248"/>
      <c r="D1172" s="248"/>
      <c r="E1172" s="248"/>
      <c r="F1172" s="248"/>
      <c r="G1172" s="248"/>
      <c r="I1172" s="248"/>
      <c r="J1172" s="248"/>
      <c r="K1172" s="248"/>
      <c r="L1172" s="248"/>
      <c r="M1172" s="248"/>
      <c r="N1172" s="248"/>
      <c r="P1172" s="248"/>
      <c r="Q1172" s="248"/>
    </row>
    <row r="1173">
      <c r="A1173" s="248"/>
      <c r="B1173" s="248"/>
      <c r="C1173" s="248"/>
      <c r="D1173" s="248"/>
      <c r="E1173" s="248"/>
      <c r="F1173" s="248"/>
      <c r="G1173" s="248"/>
      <c r="I1173" s="248"/>
      <c r="J1173" s="248"/>
      <c r="K1173" s="248"/>
      <c r="L1173" s="248"/>
      <c r="M1173" s="248"/>
      <c r="N1173" s="248"/>
      <c r="P1173" s="248"/>
      <c r="Q1173" s="248"/>
    </row>
    <row r="1174">
      <c r="A1174" s="248"/>
      <c r="B1174" s="248"/>
      <c r="C1174" s="248"/>
      <c r="D1174" s="248"/>
      <c r="E1174" s="248"/>
      <c r="F1174" s="248"/>
      <c r="G1174" s="248"/>
      <c r="I1174" s="248"/>
      <c r="J1174" s="248"/>
      <c r="K1174" s="248"/>
      <c r="L1174" s="248"/>
      <c r="M1174" s="248"/>
      <c r="N1174" s="248"/>
      <c r="P1174" s="248"/>
      <c r="Q1174" s="248"/>
    </row>
    <row r="1175">
      <c r="A1175" s="248"/>
      <c r="B1175" s="248"/>
      <c r="C1175" s="248"/>
      <c r="D1175" s="248"/>
      <c r="E1175" s="248"/>
      <c r="F1175" s="248"/>
      <c r="G1175" s="248"/>
      <c r="I1175" s="248"/>
      <c r="J1175" s="248"/>
      <c r="K1175" s="248"/>
      <c r="L1175" s="248"/>
      <c r="M1175" s="248"/>
      <c r="N1175" s="248"/>
      <c r="P1175" s="248"/>
      <c r="Q1175" s="248"/>
    </row>
    <row r="1176">
      <c r="A1176" s="248"/>
      <c r="B1176" s="248"/>
      <c r="C1176" s="248"/>
      <c r="D1176" s="248"/>
      <c r="E1176" s="248"/>
      <c r="F1176" s="248"/>
      <c r="G1176" s="248"/>
      <c r="I1176" s="248"/>
      <c r="J1176" s="248"/>
      <c r="K1176" s="248"/>
      <c r="L1176" s="248"/>
      <c r="M1176" s="248"/>
      <c r="N1176" s="248"/>
      <c r="P1176" s="248"/>
      <c r="Q1176" s="248"/>
    </row>
    <row r="1177">
      <c r="A1177" s="248"/>
      <c r="B1177" s="248"/>
      <c r="C1177" s="248"/>
      <c r="D1177" s="248"/>
      <c r="E1177" s="248"/>
      <c r="F1177" s="248"/>
      <c r="G1177" s="248"/>
      <c r="I1177" s="248"/>
      <c r="J1177" s="248"/>
      <c r="K1177" s="248"/>
      <c r="L1177" s="248"/>
      <c r="M1177" s="248"/>
      <c r="N1177" s="248"/>
      <c r="P1177" s="248"/>
      <c r="Q1177" s="248"/>
    </row>
    <row r="1178">
      <c r="A1178" s="248"/>
      <c r="B1178" s="248"/>
      <c r="C1178" s="248"/>
      <c r="D1178" s="248"/>
      <c r="E1178" s="248"/>
      <c r="F1178" s="248"/>
      <c r="G1178" s="248"/>
      <c r="I1178" s="248"/>
      <c r="J1178" s="248"/>
      <c r="K1178" s="248"/>
      <c r="L1178" s="248"/>
      <c r="M1178" s="248"/>
      <c r="N1178" s="248"/>
      <c r="P1178" s="248"/>
      <c r="Q1178" s="248"/>
    </row>
    <row r="1179">
      <c r="A1179" s="248"/>
      <c r="B1179" s="248"/>
      <c r="C1179" s="248"/>
      <c r="D1179" s="248"/>
      <c r="E1179" s="248"/>
      <c r="F1179" s="248"/>
      <c r="G1179" s="248"/>
      <c r="I1179" s="248"/>
      <c r="J1179" s="248"/>
      <c r="K1179" s="248"/>
      <c r="L1179" s="248"/>
      <c r="M1179" s="248"/>
      <c r="N1179" s="248"/>
      <c r="P1179" s="248"/>
      <c r="Q1179" s="248"/>
    </row>
    <row r="1180">
      <c r="A1180" s="248"/>
      <c r="B1180" s="248"/>
      <c r="C1180" s="248"/>
      <c r="D1180" s="248"/>
      <c r="E1180" s="248"/>
      <c r="F1180" s="248"/>
      <c r="G1180" s="248"/>
      <c r="I1180" s="248"/>
      <c r="J1180" s="248"/>
      <c r="K1180" s="248"/>
      <c r="L1180" s="248"/>
      <c r="M1180" s="248"/>
      <c r="N1180" s="248"/>
      <c r="P1180" s="248"/>
      <c r="Q1180" s="248"/>
    </row>
    <row r="1181">
      <c r="A1181" s="248"/>
      <c r="B1181" s="248"/>
      <c r="C1181" s="248"/>
      <c r="D1181" s="248"/>
      <c r="E1181" s="248"/>
      <c r="F1181" s="248"/>
      <c r="G1181" s="248"/>
      <c r="I1181" s="248"/>
      <c r="J1181" s="248"/>
      <c r="K1181" s="248"/>
      <c r="L1181" s="248"/>
      <c r="M1181" s="248"/>
      <c r="N1181" s="248"/>
      <c r="P1181" s="248"/>
      <c r="Q1181" s="248"/>
    </row>
    <row r="1182">
      <c r="A1182" s="248"/>
      <c r="B1182" s="248"/>
      <c r="C1182" s="248"/>
      <c r="D1182" s="248"/>
      <c r="E1182" s="248"/>
      <c r="F1182" s="248"/>
      <c r="G1182" s="248"/>
      <c r="I1182" s="248"/>
      <c r="J1182" s="248"/>
      <c r="K1182" s="248"/>
      <c r="L1182" s="248"/>
      <c r="M1182" s="248"/>
      <c r="N1182" s="248"/>
      <c r="P1182" s="248"/>
      <c r="Q1182" s="248"/>
    </row>
    <row r="1183">
      <c r="A1183" s="248"/>
      <c r="B1183" s="248"/>
      <c r="C1183" s="248"/>
      <c r="D1183" s="248"/>
      <c r="E1183" s="248"/>
      <c r="F1183" s="248"/>
      <c r="G1183" s="248"/>
      <c r="I1183" s="248"/>
      <c r="J1183" s="248"/>
      <c r="K1183" s="248"/>
      <c r="L1183" s="248"/>
      <c r="M1183" s="248"/>
      <c r="N1183" s="248"/>
      <c r="P1183" s="248"/>
      <c r="Q1183" s="248"/>
    </row>
    <row r="1184">
      <c r="A1184" s="248"/>
      <c r="B1184" s="248"/>
      <c r="C1184" s="248"/>
      <c r="D1184" s="248"/>
      <c r="E1184" s="248"/>
      <c r="F1184" s="248"/>
      <c r="G1184" s="248"/>
      <c r="I1184" s="248"/>
      <c r="J1184" s="248"/>
      <c r="K1184" s="248"/>
      <c r="L1184" s="248"/>
      <c r="M1184" s="248"/>
      <c r="N1184" s="248"/>
      <c r="P1184" s="248"/>
      <c r="Q1184" s="248"/>
    </row>
    <row r="1185">
      <c r="A1185" s="248"/>
      <c r="B1185" s="248"/>
      <c r="C1185" s="248"/>
      <c r="D1185" s="248"/>
      <c r="E1185" s="248"/>
      <c r="F1185" s="248"/>
      <c r="G1185" s="248"/>
      <c r="I1185" s="248"/>
      <c r="J1185" s="248"/>
      <c r="K1185" s="248"/>
      <c r="L1185" s="248"/>
      <c r="M1185" s="248"/>
      <c r="N1185" s="248"/>
      <c r="P1185" s="248"/>
      <c r="Q1185" s="248"/>
    </row>
    <row r="1186">
      <c r="A1186" s="248"/>
      <c r="B1186" s="248"/>
      <c r="C1186" s="248"/>
      <c r="D1186" s="248"/>
      <c r="E1186" s="248"/>
      <c r="F1186" s="248"/>
      <c r="G1186" s="248"/>
      <c r="I1186" s="248"/>
      <c r="J1186" s="248"/>
      <c r="K1186" s="248"/>
      <c r="L1186" s="248"/>
      <c r="M1186" s="248"/>
      <c r="N1186" s="248"/>
      <c r="P1186" s="248"/>
      <c r="Q1186" s="248"/>
    </row>
    <row r="1187">
      <c r="A1187" s="248"/>
      <c r="B1187" s="248"/>
      <c r="C1187" s="248"/>
      <c r="D1187" s="248"/>
      <c r="E1187" s="248"/>
      <c r="F1187" s="248"/>
      <c r="G1187" s="248"/>
      <c r="I1187" s="248"/>
      <c r="J1187" s="248"/>
      <c r="K1187" s="248"/>
      <c r="L1187" s="248"/>
      <c r="M1187" s="248"/>
      <c r="N1187" s="248"/>
      <c r="P1187" s="248"/>
      <c r="Q1187" s="248"/>
    </row>
    <row r="1188">
      <c r="A1188" s="248"/>
      <c r="B1188" s="248"/>
      <c r="C1188" s="248"/>
      <c r="D1188" s="248"/>
      <c r="E1188" s="248"/>
      <c r="F1188" s="248"/>
      <c r="G1188" s="248"/>
      <c r="I1188" s="248"/>
      <c r="J1188" s="248"/>
      <c r="K1188" s="248"/>
      <c r="L1188" s="248"/>
      <c r="M1188" s="248"/>
      <c r="N1188" s="248"/>
      <c r="P1188" s="248"/>
      <c r="Q1188" s="248"/>
    </row>
    <row r="1189">
      <c r="A1189" s="248"/>
      <c r="B1189" s="248"/>
      <c r="C1189" s="248"/>
      <c r="D1189" s="248"/>
      <c r="E1189" s="248"/>
      <c r="F1189" s="248"/>
      <c r="G1189" s="248"/>
      <c r="I1189" s="248"/>
      <c r="J1189" s="248"/>
      <c r="K1189" s="248"/>
      <c r="L1189" s="248"/>
      <c r="M1189" s="248"/>
      <c r="N1189" s="248"/>
      <c r="P1189" s="248"/>
      <c r="Q1189" s="248"/>
    </row>
    <row r="1190">
      <c r="A1190" s="248"/>
      <c r="B1190" s="248"/>
      <c r="C1190" s="248"/>
      <c r="D1190" s="248"/>
      <c r="E1190" s="248"/>
      <c r="F1190" s="248"/>
      <c r="G1190" s="248"/>
      <c r="I1190" s="248"/>
      <c r="J1190" s="248"/>
      <c r="K1190" s="248"/>
      <c r="L1190" s="248"/>
      <c r="M1190" s="248"/>
      <c r="N1190" s="248"/>
      <c r="P1190" s="248"/>
      <c r="Q1190" s="248"/>
    </row>
    <row r="1191">
      <c r="A1191" s="248"/>
      <c r="B1191" s="248"/>
      <c r="C1191" s="248"/>
      <c r="D1191" s="248"/>
      <c r="E1191" s="248"/>
      <c r="F1191" s="248"/>
      <c r="G1191" s="248"/>
      <c r="I1191" s="248"/>
      <c r="J1191" s="248"/>
      <c r="K1191" s="248"/>
      <c r="L1191" s="248"/>
      <c r="M1191" s="248"/>
      <c r="N1191" s="248"/>
      <c r="P1191" s="248"/>
      <c r="Q1191" s="248"/>
    </row>
    <row r="1192">
      <c r="A1192" s="248"/>
      <c r="B1192" s="248"/>
      <c r="C1192" s="248"/>
      <c r="D1192" s="248"/>
      <c r="E1192" s="248"/>
      <c r="F1192" s="248"/>
      <c r="G1192" s="248"/>
      <c r="I1192" s="248"/>
      <c r="J1192" s="248"/>
      <c r="K1192" s="248"/>
      <c r="L1192" s="248"/>
      <c r="M1192" s="248"/>
      <c r="N1192" s="248"/>
      <c r="P1192" s="248"/>
      <c r="Q1192" s="248"/>
    </row>
    <row r="1193">
      <c r="A1193" s="248"/>
      <c r="B1193" s="248"/>
      <c r="C1193" s="248"/>
      <c r="D1193" s="248"/>
      <c r="E1193" s="248"/>
      <c r="F1193" s="248"/>
      <c r="G1193" s="248"/>
      <c r="I1193" s="248"/>
      <c r="J1193" s="248"/>
      <c r="K1193" s="248"/>
      <c r="L1193" s="248"/>
      <c r="M1193" s="248"/>
      <c r="N1193" s="248"/>
      <c r="P1193" s="248"/>
      <c r="Q1193" s="248"/>
    </row>
    <row r="1194">
      <c r="A1194" s="248"/>
      <c r="B1194" s="248"/>
      <c r="C1194" s="248"/>
      <c r="D1194" s="248"/>
      <c r="E1194" s="248"/>
      <c r="F1194" s="248"/>
      <c r="G1194" s="248"/>
      <c r="I1194" s="248"/>
      <c r="J1194" s="248"/>
      <c r="K1194" s="248"/>
      <c r="L1194" s="248"/>
      <c r="M1194" s="248"/>
      <c r="N1194" s="248"/>
      <c r="P1194" s="248"/>
      <c r="Q1194" s="248"/>
    </row>
    <row r="1195">
      <c r="A1195" s="248"/>
      <c r="B1195" s="248"/>
      <c r="C1195" s="248"/>
      <c r="D1195" s="248"/>
      <c r="E1195" s="248"/>
      <c r="F1195" s="248"/>
      <c r="G1195" s="248"/>
      <c r="I1195" s="248"/>
      <c r="J1195" s="248"/>
      <c r="K1195" s="248"/>
      <c r="L1195" s="248"/>
      <c r="M1195" s="248"/>
      <c r="N1195" s="248"/>
      <c r="P1195" s="248"/>
      <c r="Q1195" s="248"/>
    </row>
    <row r="1196">
      <c r="A1196" s="248"/>
      <c r="B1196" s="248"/>
      <c r="C1196" s="248"/>
      <c r="D1196" s="248"/>
      <c r="E1196" s="248"/>
      <c r="F1196" s="248"/>
      <c r="G1196" s="248"/>
      <c r="I1196" s="248"/>
      <c r="J1196" s="248"/>
      <c r="K1196" s="248"/>
      <c r="L1196" s="248"/>
      <c r="M1196" s="248"/>
      <c r="N1196" s="248"/>
      <c r="P1196" s="248"/>
      <c r="Q1196" s="248"/>
    </row>
    <row r="1197">
      <c r="A1197" s="248"/>
      <c r="B1197" s="248"/>
      <c r="C1197" s="248"/>
      <c r="D1197" s="248"/>
      <c r="E1197" s="248"/>
      <c r="F1197" s="248"/>
      <c r="G1197" s="248"/>
      <c r="I1197" s="248"/>
      <c r="J1197" s="248"/>
      <c r="K1197" s="248"/>
      <c r="L1197" s="248"/>
      <c r="M1197" s="248"/>
      <c r="N1197" s="248"/>
      <c r="P1197" s="248"/>
      <c r="Q1197" s="248"/>
    </row>
    <row r="1198">
      <c r="A1198" s="248"/>
      <c r="B1198" s="248"/>
      <c r="C1198" s="248"/>
      <c r="D1198" s="248"/>
      <c r="E1198" s="248"/>
      <c r="F1198" s="248"/>
      <c r="G1198" s="248"/>
      <c r="I1198" s="248"/>
      <c r="J1198" s="248"/>
      <c r="K1198" s="248"/>
      <c r="L1198" s="248"/>
      <c r="M1198" s="248"/>
      <c r="N1198" s="248"/>
      <c r="P1198" s="248"/>
      <c r="Q1198" s="248"/>
    </row>
    <row r="1199">
      <c r="A1199" s="248"/>
      <c r="B1199" s="248"/>
      <c r="C1199" s="248"/>
      <c r="D1199" s="248"/>
      <c r="E1199" s="248"/>
      <c r="F1199" s="248"/>
      <c r="G1199" s="248"/>
      <c r="I1199" s="248"/>
      <c r="J1199" s="248"/>
      <c r="K1199" s="248"/>
      <c r="L1199" s="248"/>
      <c r="M1199" s="248"/>
      <c r="N1199" s="248"/>
      <c r="P1199" s="248"/>
      <c r="Q1199" s="248"/>
    </row>
    <row r="1200">
      <c r="A1200" s="248"/>
      <c r="B1200" s="248"/>
      <c r="C1200" s="248"/>
      <c r="D1200" s="248"/>
      <c r="E1200" s="248"/>
      <c r="F1200" s="248"/>
      <c r="G1200" s="248"/>
      <c r="I1200" s="248"/>
      <c r="J1200" s="248"/>
      <c r="K1200" s="248"/>
      <c r="L1200" s="248"/>
      <c r="M1200" s="248"/>
      <c r="N1200" s="248"/>
      <c r="P1200" s="248"/>
      <c r="Q1200" s="248"/>
    </row>
    <row r="1201">
      <c r="A1201" s="248"/>
      <c r="B1201" s="248"/>
      <c r="C1201" s="248"/>
      <c r="D1201" s="248"/>
      <c r="E1201" s="248"/>
      <c r="F1201" s="248"/>
      <c r="G1201" s="248"/>
      <c r="I1201" s="248"/>
      <c r="J1201" s="248"/>
      <c r="K1201" s="248"/>
      <c r="L1201" s="248"/>
      <c r="M1201" s="248"/>
      <c r="N1201" s="248"/>
      <c r="P1201" s="248"/>
      <c r="Q1201" s="248"/>
    </row>
    <row r="1202">
      <c r="A1202" s="248"/>
      <c r="B1202" s="248"/>
      <c r="C1202" s="248"/>
      <c r="D1202" s="248"/>
      <c r="E1202" s="248"/>
      <c r="F1202" s="248"/>
      <c r="G1202" s="248"/>
      <c r="I1202" s="248"/>
      <c r="J1202" s="248"/>
      <c r="K1202" s="248"/>
      <c r="L1202" s="248"/>
      <c r="M1202" s="248"/>
      <c r="N1202" s="248"/>
      <c r="P1202" s="248"/>
      <c r="Q1202" s="248"/>
    </row>
    <row r="1203">
      <c r="A1203" s="248"/>
      <c r="B1203" s="248"/>
      <c r="C1203" s="248"/>
      <c r="D1203" s="248"/>
      <c r="E1203" s="248"/>
      <c r="F1203" s="248"/>
      <c r="G1203" s="248"/>
      <c r="I1203" s="248"/>
      <c r="J1203" s="248"/>
      <c r="K1203" s="248"/>
      <c r="L1203" s="248"/>
      <c r="M1203" s="248"/>
      <c r="N1203" s="248"/>
      <c r="P1203" s="248"/>
      <c r="Q1203" s="248"/>
    </row>
    <row r="1204">
      <c r="A1204" s="248"/>
      <c r="B1204" s="248"/>
      <c r="C1204" s="248"/>
      <c r="D1204" s="248"/>
      <c r="E1204" s="248"/>
      <c r="F1204" s="248"/>
      <c r="G1204" s="248"/>
      <c r="I1204" s="248"/>
      <c r="J1204" s="248"/>
      <c r="K1204" s="248"/>
      <c r="L1204" s="248"/>
      <c r="M1204" s="248"/>
      <c r="N1204" s="248"/>
      <c r="P1204" s="248"/>
      <c r="Q1204" s="248"/>
    </row>
    <row r="1205">
      <c r="A1205" s="248"/>
      <c r="B1205" s="248"/>
      <c r="C1205" s="248"/>
      <c r="D1205" s="248"/>
      <c r="E1205" s="248"/>
      <c r="F1205" s="248"/>
      <c r="G1205" s="248"/>
      <c r="I1205" s="248"/>
      <c r="J1205" s="248"/>
      <c r="K1205" s="248"/>
      <c r="L1205" s="248"/>
      <c r="M1205" s="248"/>
      <c r="N1205" s="248"/>
      <c r="P1205" s="248"/>
      <c r="Q1205" s="248"/>
    </row>
    <row r="1206">
      <c r="A1206" s="248"/>
      <c r="B1206" s="248"/>
      <c r="C1206" s="248"/>
      <c r="D1206" s="248"/>
      <c r="E1206" s="248"/>
      <c r="F1206" s="248"/>
      <c r="G1206" s="248"/>
      <c r="I1206" s="248"/>
      <c r="J1206" s="248"/>
      <c r="K1206" s="248"/>
      <c r="L1206" s="248"/>
      <c r="M1206" s="248"/>
      <c r="N1206" s="248"/>
      <c r="P1206" s="248"/>
      <c r="Q1206" s="248"/>
    </row>
    <row r="1207">
      <c r="A1207" s="248"/>
      <c r="B1207" s="248"/>
      <c r="C1207" s="248"/>
      <c r="D1207" s="248"/>
      <c r="E1207" s="248"/>
      <c r="F1207" s="248"/>
      <c r="G1207" s="248"/>
      <c r="I1207" s="248"/>
      <c r="J1207" s="248"/>
      <c r="K1207" s="248"/>
      <c r="L1207" s="248"/>
      <c r="M1207" s="248"/>
      <c r="N1207" s="248"/>
      <c r="P1207" s="248"/>
      <c r="Q1207" s="248"/>
    </row>
    <row r="1208">
      <c r="A1208" s="248"/>
      <c r="B1208" s="248"/>
      <c r="C1208" s="248"/>
      <c r="D1208" s="248"/>
      <c r="E1208" s="248"/>
      <c r="F1208" s="248"/>
      <c r="G1208" s="248"/>
      <c r="I1208" s="248"/>
      <c r="J1208" s="248"/>
      <c r="K1208" s="248"/>
      <c r="L1208" s="248"/>
      <c r="M1208" s="248"/>
      <c r="N1208" s="248"/>
      <c r="P1208" s="248"/>
      <c r="Q1208" s="248"/>
    </row>
    <row r="1209">
      <c r="A1209" s="248"/>
      <c r="B1209" s="248"/>
      <c r="C1209" s="248"/>
      <c r="D1209" s="248"/>
      <c r="E1209" s="248"/>
      <c r="F1209" s="248"/>
      <c r="G1209" s="248"/>
      <c r="I1209" s="248"/>
      <c r="J1209" s="248"/>
      <c r="K1209" s="248"/>
      <c r="L1209" s="248"/>
      <c r="M1209" s="248"/>
      <c r="N1209" s="248"/>
      <c r="P1209" s="248"/>
      <c r="Q1209" s="248"/>
    </row>
    <row r="1210">
      <c r="A1210" s="248"/>
      <c r="B1210" s="248"/>
      <c r="C1210" s="248"/>
      <c r="D1210" s="248"/>
      <c r="E1210" s="248"/>
      <c r="F1210" s="248"/>
      <c r="G1210" s="248"/>
      <c r="I1210" s="248"/>
      <c r="J1210" s="248"/>
      <c r="K1210" s="248"/>
      <c r="L1210" s="248"/>
      <c r="M1210" s="248"/>
      <c r="N1210" s="248"/>
      <c r="P1210" s="248"/>
      <c r="Q1210" s="248"/>
    </row>
    <row r="1211">
      <c r="A1211" s="248"/>
      <c r="B1211" s="248"/>
      <c r="C1211" s="248"/>
      <c r="D1211" s="248"/>
      <c r="E1211" s="248"/>
      <c r="F1211" s="248"/>
      <c r="G1211" s="248"/>
      <c r="I1211" s="248"/>
      <c r="J1211" s="248"/>
      <c r="K1211" s="248"/>
      <c r="L1211" s="248"/>
      <c r="M1211" s="248"/>
      <c r="N1211" s="248"/>
      <c r="P1211" s="248"/>
      <c r="Q1211" s="248"/>
    </row>
    <row r="1212">
      <c r="A1212" s="248"/>
      <c r="B1212" s="248"/>
      <c r="C1212" s="248"/>
      <c r="D1212" s="248"/>
      <c r="E1212" s="248"/>
      <c r="F1212" s="248"/>
      <c r="G1212" s="248"/>
      <c r="I1212" s="248"/>
      <c r="J1212" s="248"/>
      <c r="K1212" s="248"/>
      <c r="L1212" s="248"/>
      <c r="M1212" s="248"/>
      <c r="N1212" s="248"/>
      <c r="P1212" s="248"/>
      <c r="Q1212" s="248"/>
    </row>
    <row r="1213">
      <c r="A1213" s="248"/>
      <c r="B1213" s="248"/>
      <c r="C1213" s="248"/>
      <c r="D1213" s="248"/>
      <c r="E1213" s="248"/>
      <c r="F1213" s="248"/>
      <c r="G1213" s="248"/>
      <c r="I1213" s="248"/>
      <c r="J1213" s="248"/>
      <c r="K1213" s="248"/>
      <c r="L1213" s="248"/>
      <c r="M1213" s="248"/>
      <c r="N1213" s="248"/>
      <c r="P1213" s="248"/>
      <c r="Q1213" s="248"/>
    </row>
    <row r="1214">
      <c r="A1214" s="248"/>
      <c r="B1214" s="248"/>
      <c r="C1214" s="248"/>
      <c r="D1214" s="248"/>
      <c r="E1214" s="248"/>
      <c r="F1214" s="248"/>
      <c r="G1214" s="248"/>
      <c r="I1214" s="248"/>
      <c r="J1214" s="248"/>
      <c r="K1214" s="248"/>
      <c r="L1214" s="248"/>
      <c r="M1214" s="248"/>
      <c r="N1214" s="248"/>
      <c r="P1214" s="248"/>
      <c r="Q1214" s="248"/>
    </row>
    <row r="1215">
      <c r="A1215" s="248"/>
      <c r="B1215" s="248"/>
      <c r="C1215" s="248"/>
      <c r="D1215" s="248"/>
      <c r="E1215" s="248"/>
      <c r="F1215" s="248"/>
      <c r="G1215" s="248"/>
      <c r="I1215" s="248"/>
      <c r="J1215" s="248"/>
      <c r="K1215" s="248"/>
      <c r="L1215" s="248"/>
      <c r="M1215" s="248"/>
      <c r="N1215" s="248"/>
      <c r="P1215" s="248"/>
      <c r="Q1215" s="248"/>
    </row>
    <row r="1216">
      <c r="A1216" s="248"/>
      <c r="B1216" s="248"/>
      <c r="C1216" s="248"/>
      <c r="D1216" s="248"/>
      <c r="E1216" s="248"/>
      <c r="F1216" s="248"/>
      <c r="G1216" s="248"/>
      <c r="I1216" s="248"/>
      <c r="J1216" s="248"/>
      <c r="K1216" s="248"/>
      <c r="L1216" s="248"/>
      <c r="M1216" s="248"/>
      <c r="N1216" s="248"/>
      <c r="P1216" s="248"/>
      <c r="Q1216" s="248"/>
    </row>
    <row r="1217">
      <c r="A1217" s="248"/>
      <c r="B1217" s="248"/>
      <c r="C1217" s="248"/>
      <c r="D1217" s="248"/>
      <c r="E1217" s="248"/>
      <c r="F1217" s="248"/>
      <c r="G1217" s="248"/>
      <c r="I1217" s="248"/>
      <c r="J1217" s="248"/>
      <c r="K1217" s="248"/>
      <c r="L1217" s="248"/>
      <c r="M1217" s="248"/>
      <c r="N1217" s="248"/>
      <c r="P1217" s="248"/>
      <c r="Q1217" s="248"/>
    </row>
    <row r="1218">
      <c r="A1218" s="248"/>
      <c r="B1218" s="248"/>
      <c r="C1218" s="248"/>
      <c r="D1218" s="248"/>
      <c r="E1218" s="248"/>
      <c r="F1218" s="248"/>
      <c r="G1218" s="248"/>
      <c r="I1218" s="248"/>
      <c r="J1218" s="248"/>
      <c r="K1218" s="248"/>
      <c r="L1218" s="248"/>
      <c r="M1218" s="248"/>
      <c r="N1218" s="248"/>
      <c r="P1218" s="248"/>
      <c r="Q1218" s="248"/>
    </row>
    <row r="1219">
      <c r="A1219" s="248"/>
      <c r="B1219" s="248"/>
      <c r="C1219" s="248"/>
      <c r="D1219" s="248"/>
      <c r="E1219" s="248"/>
      <c r="F1219" s="248"/>
      <c r="G1219" s="248"/>
      <c r="I1219" s="248"/>
      <c r="J1219" s="248"/>
      <c r="K1219" s="248"/>
      <c r="L1219" s="248"/>
      <c r="M1219" s="248"/>
      <c r="N1219" s="248"/>
      <c r="P1219" s="248"/>
      <c r="Q1219" s="248"/>
    </row>
    <row r="1220">
      <c r="A1220" s="248"/>
      <c r="B1220" s="248"/>
      <c r="C1220" s="248"/>
      <c r="D1220" s="248"/>
      <c r="E1220" s="248"/>
      <c r="F1220" s="248"/>
      <c r="G1220" s="248"/>
      <c r="I1220" s="248"/>
      <c r="J1220" s="248"/>
      <c r="K1220" s="248"/>
      <c r="L1220" s="248"/>
      <c r="M1220" s="248"/>
      <c r="N1220" s="248"/>
      <c r="P1220" s="248"/>
      <c r="Q1220" s="248"/>
    </row>
    <row r="1221">
      <c r="A1221" s="248"/>
      <c r="B1221" s="248"/>
      <c r="C1221" s="248"/>
      <c r="D1221" s="248"/>
      <c r="E1221" s="248"/>
      <c r="F1221" s="248"/>
      <c r="G1221" s="248"/>
      <c r="I1221" s="248"/>
      <c r="J1221" s="248"/>
      <c r="K1221" s="248"/>
      <c r="L1221" s="248"/>
      <c r="M1221" s="248"/>
      <c r="N1221" s="248"/>
      <c r="P1221" s="248"/>
      <c r="Q1221" s="248"/>
    </row>
    <row r="1222">
      <c r="A1222" s="248"/>
      <c r="B1222" s="248"/>
      <c r="C1222" s="248"/>
      <c r="D1222" s="248"/>
      <c r="E1222" s="248"/>
      <c r="F1222" s="248"/>
      <c r="G1222" s="248"/>
      <c r="I1222" s="248"/>
      <c r="J1222" s="248"/>
      <c r="K1222" s="248"/>
      <c r="L1222" s="248"/>
      <c r="M1222" s="248"/>
      <c r="N1222" s="248"/>
      <c r="P1222" s="248"/>
      <c r="Q1222" s="248"/>
    </row>
    <row r="1223">
      <c r="A1223" s="248"/>
      <c r="B1223" s="248"/>
      <c r="C1223" s="248"/>
      <c r="D1223" s="248"/>
      <c r="E1223" s="248"/>
      <c r="F1223" s="248"/>
      <c r="G1223" s="248"/>
      <c r="I1223" s="248"/>
      <c r="J1223" s="248"/>
      <c r="K1223" s="248"/>
      <c r="L1223" s="248"/>
      <c r="M1223" s="248"/>
      <c r="N1223" s="248"/>
      <c r="P1223" s="248"/>
      <c r="Q1223" s="248"/>
    </row>
    <row r="1224">
      <c r="A1224" s="248"/>
      <c r="B1224" s="248"/>
      <c r="C1224" s="248"/>
      <c r="D1224" s="248"/>
      <c r="E1224" s="248"/>
      <c r="F1224" s="248"/>
      <c r="G1224" s="248"/>
      <c r="I1224" s="248"/>
      <c r="J1224" s="248"/>
      <c r="K1224" s="248"/>
      <c r="L1224" s="248"/>
      <c r="M1224" s="248"/>
      <c r="N1224" s="248"/>
      <c r="P1224" s="248"/>
      <c r="Q1224" s="248"/>
    </row>
    <row r="1225">
      <c r="A1225" s="248"/>
      <c r="B1225" s="248"/>
      <c r="C1225" s="248"/>
      <c r="D1225" s="248"/>
      <c r="E1225" s="248"/>
      <c r="F1225" s="248"/>
      <c r="G1225" s="248"/>
      <c r="I1225" s="248"/>
      <c r="J1225" s="248"/>
      <c r="K1225" s="248"/>
      <c r="L1225" s="248"/>
      <c r="M1225" s="248"/>
      <c r="N1225" s="248"/>
      <c r="P1225" s="248"/>
      <c r="Q1225" s="248"/>
    </row>
    <row r="1226">
      <c r="A1226" s="248"/>
      <c r="B1226" s="248"/>
      <c r="C1226" s="248"/>
      <c r="D1226" s="248"/>
      <c r="E1226" s="248"/>
      <c r="F1226" s="248"/>
      <c r="G1226" s="248"/>
      <c r="I1226" s="248"/>
      <c r="J1226" s="248"/>
      <c r="K1226" s="248"/>
      <c r="L1226" s="248"/>
      <c r="M1226" s="248"/>
      <c r="N1226" s="248"/>
      <c r="P1226" s="248"/>
      <c r="Q1226" s="248"/>
    </row>
    <row r="1227">
      <c r="A1227" s="248"/>
      <c r="B1227" s="248"/>
      <c r="C1227" s="248"/>
      <c r="D1227" s="248"/>
      <c r="E1227" s="248"/>
      <c r="F1227" s="248"/>
      <c r="G1227" s="248"/>
      <c r="I1227" s="248"/>
      <c r="J1227" s="248"/>
      <c r="K1227" s="248"/>
      <c r="L1227" s="248"/>
      <c r="M1227" s="248"/>
      <c r="N1227" s="248"/>
      <c r="P1227" s="248"/>
      <c r="Q1227" s="248"/>
    </row>
    <row r="1228">
      <c r="A1228" s="248"/>
      <c r="B1228" s="248"/>
      <c r="C1228" s="248"/>
      <c r="D1228" s="248"/>
      <c r="E1228" s="248"/>
      <c r="F1228" s="248"/>
      <c r="G1228" s="248"/>
      <c r="I1228" s="248"/>
      <c r="J1228" s="248"/>
      <c r="K1228" s="248"/>
      <c r="L1228" s="248"/>
      <c r="M1228" s="248"/>
      <c r="N1228" s="248"/>
      <c r="P1228" s="248"/>
      <c r="Q1228" s="248"/>
    </row>
    <row r="1229">
      <c r="A1229" s="248"/>
      <c r="B1229" s="248"/>
      <c r="C1229" s="248"/>
      <c r="D1229" s="248"/>
      <c r="E1229" s="248"/>
      <c r="F1229" s="248"/>
      <c r="G1229" s="248"/>
      <c r="I1229" s="248"/>
      <c r="J1229" s="248"/>
      <c r="K1229" s="248"/>
      <c r="L1229" s="248"/>
      <c r="M1229" s="248"/>
      <c r="N1229" s="248"/>
      <c r="P1229" s="248"/>
      <c r="Q1229" s="248"/>
    </row>
    <row r="1230">
      <c r="A1230" s="248"/>
      <c r="B1230" s="248"/>
      <c r="C1230" s="248"/>
      <c r="D1230" s="248"/>
      <c r="E1230" s="248"/>
      <c r="F1230" s="248"/>
      <c r="G1230" s="248"/>
      <c r="I1230" s="248"/>
      <c r="J1230" s="248"/>
      <c r="K1230" s="248"/>
      <c r="L1230" s="248"/>
      <c r="M1230" s="248"/>
      <c r="N1230" s="248"/>
      <c r="P1230" s="248"/>
      <c r="Q1230" s="248"/>
    </row>
    <row r="1231">
      <c r="A1231" s="248"/>
      <c r="B1231" s="248"/>
      <c r="C1231" s="248"/>
      <c r="D1231" s="248"/>
      <c r="E1231" s="248"/>
      <c r="F1231" s="248"/>
      <c r="G1231" s="248"/>
      <c r="I1231" s="248"/>
      <c r="J1231" s="248"/>
      <c r="K1231" s="248"/>
      <c r="L1231" s="248"/>
      <c r="M1231" s="248"/>
      <c r="N1231" s="248"/>
      <c r="P1231" s="248"/>
      <c r="Q1231" s="248"/>
    </row>
    <row r="1232">
      <c r="A1232" s="248"/>
      <c r="B1232" s="248"/>
      <c r="C1232" s="248"/>
      <c r="D1232" s="248"/>
      <c r="E1232" s="248"/>
      <c r="F1232" s="248"/>
      <c r="G1232" s="248"/>
      <c r="I1232" s="248"/>
      <c r="J1232" s="248"/>
      <c r="K1232" s="248"/>
      <c r="L1232" s="248"/>
      <c r="M1232" s="248"/>
      <c r="N1232" s="248"/>
      <c r="P1232" s="248"/>
      <c r="Q1232" s="248"/>
    </row>
    <row r="1233">
      <c r="A1233" s="248"/>
      <c r="B1233" s="248"/>
      <c r="C1233" s="248"/>
      <c r="D1233" s="248"/>
      <c r="E1233" s="248"/>
      <c r="F1233" s="248"/>
      <c r="G1233" s="248"/>
      <c r="I1233" s="248"/>
      <c r="J1233" s="248"/>
      <c r="K1233" s="248"/>
      <c r="L1233" s="248"/>
      <c r="M1233" s="248"/>
      <c r="N1233" s="248"/>
      <c r="P1233" s="248"/>
      <c r="Q1233" s="248"/>
    </row>
    <row r="1234">
      <c r="A1234" s="248"/>
      <c r="B1234" s="248"/>
      <c r="C1234" s="248"/>
      <c r="D1234" s="248"/>
      <c r="E1234" s="248"/>
      <c r="F1234" s="248"/>
      <c r="G1234" s="248"/>
      <c r="I1234" s="248"/>
      <c r="J1234" s="248"/>
      <c r="K1234" s="248"/>
      <c r="L1234" s="248"/>
      <c r="M1234" s="248"/>
      <c r="N1234" s="248"/>
      <c r="P1234" s="248"/>
      <c r="Q1234" s="248"/>
    </row>
    <row r="1235">
      <c r="A1235" s="248"/>
      <c r="B1235" s="248"/>
      <c r="C1235" s="248"/>
      <c r="D1235" s="248"/>
      <c r="E1235" s="248"/>
      <c r="F1235" s="248"/>
      <c r="G1235" s="248"/>
      <c r="I1235" s="248"/>
      <c r="J1235" s="248"/>
      <c r="K1235" s="248"/>
      <c r="L1235" s="248"/>
      <c r="M1235" s="248"/>
      <c r="N1235" s="248"/>
      <c r="P1235" s="248"/>
      <c r="Q1235" s="248"/>
    </row>
    <row r="1236">
      <c r="A1236" s="248"/>
      <c r="B1236" s="248"/>
      <c r="C1236" s="248"/>
      <c r="D1236" s="248"/>
      <c r="E1236" s="248"/>
      <c r="F1236" s="248"/>
      <c r="G1236" s="248"/>
      <c r="I1236" s="248"/>
      <c r="J1236" s="248"/>
      <c r="K1236" s="248"/>
      <c r="L1236" s="248"/>
      <c r="M1236" s="248"/>
      <c r="N1236" s="248"/>
      <c r="P1236" s="248"/>
      <c r="Q1236" s="248"/>
    </row>
    <row r="1237">
      <c r="A1237" s="248"/>
      <c r="B1237" s="248"/>
      <c r="C1237" s="248"/>
      <c r="D1237" s="248"/>
      <c r="E1237" s="248"/>
      <c r="F1237" s="248"/>
      <c r="G1237" s="248"/>
      <c r="I1237" s="248"/>
      <c r="J1237" s="248"/>
      <c r="K1237" s="248"/>
      <c r="L1237" s="248"/>
      <c r="M1237" s="248"/>
      <c r="N1237" s="248"/>
      <c r="P1237" s="248"/>
      <c r="Q1237" s="248"/>
    </row>
    <row r="1238">
      <c r="A1238" s="248"/>
      <c r="B1238" s="248"/>
      <c r="C1238" s="248"/>
      <c r="D1238" s="248"/>
      <c r="E1238" s="248"/>
      <c r="F1238" s="248"/>
      <c r="G1238" s="248"/>
      <c r="I1238" s="248"/>
      <c r="J1238" s="248"/>
      <c r="K1238" s="248"/>
      <c r="L1238" s="248"/>
      <c r="M1238" s="248"/>
      <c r="N1238" s="248"/>
      <c r="P1238" s="248"/>
      <c r="Q1238" s="248"/>
    </row>
    <row r="1239">
      <c r="A1239" s="248"/>
      <c r="B1239" s="248"/>
      <c r="C1239" s="248"/>
      <c r="D1239" s="248"/>
      <c r="E1239" s="248"/>
      <c r="F1239" s="248"/>
      <c r="G1239" s="248"/>
      <c r="I1239" s="248"/>
      <c r="J1239" s="248"/>
      <c r="K1239" s="248"/>
      <c r="L1239" s="248"/>
      <c r="M1239" s="248"/>
      <c r="N1239" s="248"/>
      <c r="P1239" s="248"/>
      <c r="Q1239" s="248"/>
    </row>
    <row r="1240">
      <c r="A1240" s="248"/>
      <c r="B1240" s="248"/>
      <c r="C1240" s="248"/>
      <c r="D1240" s="248"/>
      <c r="E1240" s="248"/>
      <c r="F1240" s="248"/>
      <c r="G1240" s="248"/>
      <c r="I1240" s="248"/>
      <c r="J1240" s="248"/>
      <c r="K1240" s="248"/>
      <c r="L1240" s="248"/>
      <c r="M1240" s="248"/>
      <c r="N1240" s="248"/>
      <c r="P1240" s="248"/>
      <c r="Q1240" s="248"/>
    </row>
    <row r="1241">
      <c r="A1241" s="248"/>
      <c r="B1241" s="248"/>
      <c r="C1241" s="248"/>
      <c r="D1241" s="248"/>
      <c r="E1241" s="248"/>
      <c r="F1241" s="248"/>
      <c r="G1241" s="248"/>
      <c r="I1241" s="248"/>
      <c r="J1241" s="248"/>
      <c r="K1241" s="248"/>
      <c r="L1241" s="248"/>
      <c r="M1241" s="248"/>
      <c r="N1241" s="248"/>
      <c r="P1241" s="248"/>
      <c r="Q1241" s="248"/>
    </row>
    <row r="1242">
      <c r="A1242" s="248"/>
      <c r="B1242" s="248"/>
      <c r="C1242" s="248"/>
      <c r="D1242" s="248"/>
      <c r="E1242" s="248"/>
      <c r="F1242" s="248"/>
      <c r="G1242" s="248"/>
      <c r="I1242" s="248"/>
      <c r="J1242" s="248"/>
      <c r="K1242" s="248"/>
      <c r="L1242" s="248"/>
      <c r="M1242" s="248"/>
      <c r="N1242" s="248"/>
      <c r="P1242" s="248"/>
      <c r="Q1242" s="248"/>
    </row>
    <row r="1243">
      <c r="A1243" s="248"/>
      <c r="B1243" s="248"/>
      <c r="C1243" s="248"/>
      <c r="D1243" s="248"/>
      <c r="E1243" s="248"/>
      <c r="F1243" s="248"/>
      <c r="G1243" s="248"/>
      <c r="I1243" s="248"/>
      <c r="J1243" s="248"/>
      <c r="K1243" s="248"/>
      <c r="L1243" s="248"/>
      <c r="M1243" s="248"/>
      <c r="N1243" s="248"/>
      <c r="P1243" s="248"/>
      <c r="Q1243" s="248"/>
    </row>
    <row r="1244">
      <c r="A1244" s="248"/>
      <c r="B1244" s="248"/>
      <c r="C1244" s="248"/>
      <c r="D1244" s="248"/>
      <c r="E1244" s="248"/>
      <c r="F1244" s="248"/>
      <c r="G1244" s="248"/>
      <c r="I1244" s="248"/>
      <c r="J1244" s="248"/>
      <c r="K1244" s="248"/>
      <c r="L1244" s="248"/>
      <c r="M1244" s="248"/>
      <c r="N1244" s="248"/>
      <c r="P1244" s="248"/>
      <c r="Q1244" s="248"/>
    </row>
    <row r="1245">
      <c r="A1245" s="248"/>
      <c r="B1245" s="248"/>
      <c r="C1245" s="248"/>
      <c r="D1245" s="248"/>
      <c r="E1245" s="248"/>
      <c r="F1245" s="248"/>
      <c r="G1245" s="248"/>
      <c r="I1245" s="248"/>
      <c r="J1245" s="248"/>
      <c r="K1245" s="248"/>
      <c r="L1245" s="248"/>
      <c r="M1245" s="248"/>
      <c r="N1245" s="248"/>
      <c r="P1245" s="248"/>
      <c r="Q1245" s="248"/>
    </row>
    <row r="1246">
      <c r="A1246" s="248"/>
      <c r="B1246" s="248"/>
      <c r="C1246" s="248"/>
      <c r="D1246" s="248"/>
      <c r="E1246" s="248"/>
      <c r="F1246" s="248"/>
      <c r="G1246" s="248"/>
      <c r="I1246" s="248"/>
      <c r="J1246" s="248"/>
      <c r="K1246" s="248"/>
      <c r="L1246" s="248"/>
      <c r="M1246" s="248"/>
      <c r="N1246" s="248"/>
      <c r="P1246" s="248"/>
      <c r="Q1246" s="248"/>
    </row>
    <row r="1247">
      <c r="A1247" s="248"/>
      <c r="B1247" s="248"/>
      <c r="C1247" s="248"/>
      <c r="D1247" s="248"/>
      <c r="E1247" s="248"/>
      <c r="F1247" s="248"/>
      <c r="G1247" s="248"/>
      <c r="I1247" s="248"/>
      <c r="J1247" s="248"/>
      <c r="K1247" s="248"/>
      <c r="L1247" s="248"/>
      <c r="M1247" s="248"/>
      <c r="N1247" s="248"/>
      <c r="P1247" s="248"/>
      <c r="Q1247" s="248"/>
    </row>
    <row r="1248">
      <c r="A1248" s="248"/>
      <c r="B1248" s="248"/>
      <c r="C1248" s="248"/>
      <c r="D1248" s="248"/>
      <c r="E1248" s="248"/>
      <c r="F1248" s="248"/>
      <c r="G1248" s="248"/>
      <c r="I1248" s="248"/>
      <c r="J1248" s="248"/>
      <c r="K1248" s="248"/>
      <c r="L1248" s="248"/>
      <c r="M1248" s="248"/>
      <c r="N1248" s="248"/>
      <c r="P1248" s="248"/>
      <c r="Q1248" s="248"/>
    </row>
    <row r="1249">
      <c r="A1249" s="248"/>
      <c r="B1249" s="248"/>
      <c r="C1249" s="248"/>
      <c r="D1249" s="248"/>
      <c r="E1249" s="248"/>
      <c r="F1249" s="248"/>
      <c r="G1249" s="248"/>
      <c r="I1249" s="248"/>
      <c r="J1249" s="248"/>
      <c r="K1249" s="248"/>
      <c r="L1249" s="248"/>
      <c r="M1249" s="248"/>
      <c r="N1249" s="248"/>
      <c r="P1249" s="248"/>
      <c r="Q1249" s="248"/>
    </row>
    <row r="1250">
      <c r="A1250" s="248"/>
      <c r="B1250" s="248"/>
      <c r="C1250" s="248"/>
      <c r="D1250" s="248"/>
      <c r="E1250" s="248"/>
      <c r="F1250" s="248"/>
      <c r="G1250" s="248"/>
      <c r="I1250" s="248"/>
      <c r="J1250" s="248"/>
      <c r="K1250" s="248"/>
      <c r="L1250" s="248"/>
      <c r="M1250" s="248"/>
      <c r="N1250" s="248"/>
      <c r="P1250" s="248"/>
      <c r="Q1250" s="248"/>
    </row>
    <row r="1251">
      <c r="A1251" s="248"/>
      <c r="B1251" s="248"/>
      <c r="C1251" s="248"/>
      <c r="D1251" s="248"/>
      <c r="E1251" s="248"/>
      <c r="F1251" s="248"/>
      <c r="G1251" s="248"/>
      <c r="I1251" s="248"/>
      <c r="J1251" s="248"/>
      <c r="K1251" s="248"/>
      <c r="L1251" s="248"/>
      <c r="M1251" s="248"/>
      <c r="N1251" s="248"/>
      <c r="P1251" s="248"/>
      <c r="Q1251" s="248"/>
    </row>
    <row r="1252">
      <c r="A1252" s="248"/>
      <c r="B1252" s="248"/>
      <c r="C1252" s="248"/>
      <c r="D1252" s="248"/>
      <c r="E1252" s="248"/>
      <c r="F1252" s="248"/>
      <c r="G1252" s="248"/>
      <c r="I1252" s="248"/>
      <c r="J1252" s="248"/>
      <c r="K1252" s="248"/>
      <c r="L1252" s="248"/>
      <c r="M1252" s="248"/>
      <c r="N1252" s="248"/>
      <c r="P1252" s="248"/>
      <c r="Q1252" s="248"/>
    </row>
    <row r="1253">
      <c r="A1253" s="248"/>
      <c r="B1253" s="248"/>
      <c r="C1253" s="248"/>
      <c r="D1253" s="248"/>
      <c r="E1253" s="248"/>
      <c r="F1253" s="248"/>
      <c r="G1253" s="248"/>
      <c r="I1253" s="248"/>
      <c r="J1253" s="248"/>
      <c r="K1253" s="248"/>
      <c r="L1253" s="248"/>
      <c r="M1253" s="248"/>
      <c r="N1253" s="248"/>
      <c r="P1253" s="248"/>
      <c r="Q1253" s="248"/>
    </row>
    <row r="1254">
      <c r="A1254" s="248"/>
      <c r="B1254" s="248"/>
      <c r="C1254" s="248"/>
      <c r="D1254" s="248"/>
      <c r="E1254" s="248"/>
      <c r="F1254" s="248"/>
      <c r="G1254" s="248"/>
      <c r="I1254" s="248"/>
      <c r="J1254" s="248"/>
      <c r="K1254" s="248"/>
      <c r="L1254" s="248"/>
      <c r="M1254" s="248"/>
      <c r="N1254" s="248"/>
      <c r="P1254" s="248"/>
      <c r="Q1254" s="248"/>
    </row>
    <row r="1255">
      <c r="A1255" s="248"/>
      <c r="B1255" s="248"/>
      <c r="C1255" s="248"/>
      <c r="D1255" s="248"/>
      <c r="E1255" s="248"/>
      <c r="F1255" s="248"/>
      <c r="G1255" s="248"/>
      <c r="I1255" s="248"/>
      <c r="J1255" s="248"/>
      <c r="K1255" s="248"/>
      <c r="L1255" s="248"/>
      <c r="M1255" s="248"/>
      <c r="N1255" s="248"/>
      <c r="P1255" s="248"/>
      <c r="Q1255" s="248"/>
    </row>
    <row r="1256">
      <c r="A1256" s="248"/>
      <c r="B1256" s="248"/>
      <c r="C1256" s="248"/>
      <c r="D1256" s="248"/>
      <c r="E1256" s="248"/>
      <c r="F1256" s="248"/>
      <c r="G1256" s="248"/>
      <c r="I1256" s="248"/>
      <c r="J1256" s="248"/>
      <c r="K1256" s="248"/>
      <c r="L1256" s="248"/>
      <c r="M1256" s="248"/>
      <c r="N1256" s="248"/>
      <c r="P1256" s="248"/>
      <c r="Q1256" s="248"/>
    </row>
    <row r="1257">
      <c r="A1257" s="248"/>
      <c r="B1257" s="248"/>
      <c r="C1257" s="248"/>
      <c r="D1257" s="248"/>
      <c r="E1257" s="248"/>
      <c r="F1257" s="248"/>
      <c r="G1257" s="248"/>
      <c r="I1257" s="248"/>
      <c r="J1257" s="248"/>
      <c r="K1257" s="248"/>
      <c r="L1257" s="248"/>
      <c r="M1257" s="248"/>
      <c r="N1257" s="248"/>
      <c r="P1257" s="248"/>
      <c r="Q1257" s="248"/>
    </row>
    <row r="1258">
      <c r="A1258" s="248"/>
      <c r="B1258" s="248"/>
      <c r="C1258" s="248"/>
      <c r="D1258" s="248"/>
      <c r="E1258" s="248"/>
      <c r="F1258" s="248"/>
      <c r="G1258" s="248"/>
      <c r="I1258" s="248"/>
      <c r="J1258" s="248"/>
      <c r="K1258" s="248"/>
      <c r="L1258" s="248"/>
      <c r="M1258" s="248"/>
      <c r="N1258" s="248"/>
      <c r="P1258" s="248"/>
      <c r="Q1258" s="248"/>
    </row>
    <row r="1259">
      <c r="A1259" s="248"/>
      <c r="B1259" s="248"/>
      <c r="C1259" s="248"/>
      <c r="D1259" s="248"/>
      <c r="E1259" s="248"/>
      <c r="F1259" s="248"/>
      <c r="G1259" s="248"/>
      <c r="I1259" s="248"/>
      <c r="J1259" s="248"/>
      <c r="K1259" s="248"/>
      <c r="L1259" s="248"/>
      <c r="M1259" s="248"/>
      <c r="N1259" s="248"/>
      <c r="P1259" s="248"/>
      <c r="Q1259" s="248"/>
    </row>
    <row r="1260">
      <c r="A1260" s="248"/>
      <c r="B1260" s="248"/>
      <c r="C1260" s="248"/>
      <c r="D1260" s="248"/>
      <c r="E1260" s="248"/>
      <c r="F1260" s="248"/>
      <c r="G1260" s="248"/>
      <c r="I1260" s="248"/>
      <c r="J1260" s="248"/>
      <c r="K1260" s="248"/>
      <c r="L1260" s="248"/>
      <c r="M1260" s="248"/>
      <c r="N1260" s="248"/>
      <c r="P1260" s="248"/>
      <c r="Q1260" s="248"/>
    </row>
    <row r="1261">
      <c r="A1261" s="248"/>
      <c r="B1261" s="248"/>
      <c r="C1261" s="248"/>
      <c r="D1261" s="248"/>
      <c r="E1261" s="248"/>
      <c r="F1261" s="248"/>
      <c r="G1261" s="248"/>
      <c r="I1261" s="248"/>
      <c r="J1261" s="248"/>
      <c r="K1261" s="248"/>
      <c r="L1261" s="248"/>
      <c r="M1261" s="248"/>
      <c r="N1261" s="248"/>
      <c r="P1261" s="248"/>
      <c r="Q1261" s="248"/>
    </row>
    <row r="1262">
      <c r="A1262" s="248"/>
      <c r="B1262" s="248"/>
      <c r="C1262" s="248"/>
      <c r="D1262" s="248"/>
      <c r="E1262" s="248"/>
      <c r="F1262" s="248"/>
      <c r="G1262" s="248"/>
      <c r="I1262" s="248"/>
      <c r="J1262" s="248"/>
      <c r="K1262" s="248"/>
      <c r="L1262" s="248"/>
      <c r="M1262" s="248"/>
      <c r="N1262" s="248"/>
      <c r="P1262" s="248"/>
      <c r="Q1262" s="248"/>
    </row>
    <row r="1263">
      <c r="A1263" s="248"/>
      <c r="B1263" s="248"/>
      <c r="C1263" s="248"/>
      <c r="D1263" s="248"/>
      <c r="E1263" s="248"/>
      <c r="F1263" s="248"/>
      <c r="G1263" s="248"/>
      <c r="I1263" s="248"/>
      <c r="J1263" s="248"/>
      <c r="K1263" s="248"/>
      <c r="L1263" s="248"/>
      <c r="M1263" s="248"/>
      <c r="N1263" s="248"/>
      <c r="P1263" s="248"/>
      <c r="Q1263" s="248"/>
    </row>
    <row r="1264">
      <c r="A1264" s="248"/>
      <c r="B1264" s="248"/>
      <c r="C1264" s="248"/>
      <c r="D1264" s="248"/>
      <c r="E1264" s="248"/>
      <c r="F1264" s="248"/>
      <c r="G1264" s="248"/>
      <c r="I1264" s="248"/>
      <c r="J1264" s="248"/>
      <c r="K1264" s="248"/>
      <c r="L1264" s="248"/>
      <c r="M1264" s="248"/>
      <c r="N1264" s="248"/>
      <c r="P1264" s="248"/>
      <c r="Q1264" s="248"/>
    </row>
    <row r="1265">
      <c r="A1265" s="248"/>
      <c r="B1265" s="248"/>
      <c r="C1265" s="248"/>
      <c r="D1265" s="248"/>
      <c r="E1265" s="248"/>
      <c r="F1265" s="248"/>
      <c r="G1265" s="248"/>
      <c r="I1265" s="248"/>
      <c r="J1265" s="248"/>
      <c r="K1265" s="248"/>
      <c r="L1265" s="248"/>
      <c r="M1265" s="248"/>
      <c r="N1265" s="248"/>
      <c r="P1265" s="248"/>
      <c r="Q1265" s="248"/>
    </row>
    <row r="1266">
      <c r="A1266" s="248"/>
      <c r="B1266" s="248"/>
      <c r="C1266" s="248"/>
      <c r="D1266" s="248"/>
      <c r="E1266" s="248"/>
      <c r="F1266" s="248"/>
      <c r="G1266" s="248"/>
      <c r="I1266" s="248"/>
      <c r="J1266" s="248"/>
      <c r="K1266" s="248"/>
      <c r="L1266" s="248"/>
      <c r="M1266" s="248"/>
      <c r="N1266" s="248"/>
      <c r="P1266" s="248"/>
      <c r="Q1266" s="248"/>
    </row>
    <row r="1267">
      <c r="A1267" s="248"/>
      <c r="B1267" s="248"/>
      <c r="C1267" s="248"/>
      <c r="D1267" s="248"/>
      <c r="E1267" s="248"/>
      <c r="F1267" s="248"/>
      <c r="G1267" s="248"/>
      <c r="I1267" s="248"/>
      <c r="J1267" s="248"/>
      <c r="K1267" s="248"/>
      <c r="L1267" s="248"/>
      <c r="M1267" s="248"/>
      <c r="N1267" s="248"/>
      <c r="P1267" s="248"/>
      <c r="Q1267" s="248"/>
    </row>
    <row r="1268">
      <c r="A1268" s="248"/>
      <c r="B1268" s="248"/>
      <c r="C1268" s="248"/>
      <c r="D1268" s="248"/>
      <c r="E1268" s="248"/>
      <c r="F1268" s="248"/>
      <c r="G1268" s="248"/>
      <c r="I1268" s="248"/>
      <c r="J1268" s="248"/>
      <c r="K1268" s="248"/>
      <c r="L1268" s="248"/>
      <c r="M1268" s="248"/>
      <c r="N1268" s="248"/>
      <c r="P1268" s="248"/>
      <c r="Q1268" s="248"/>
    </row>
    <row r="1269">
      <c r="A1269" s="248"/>
      <c r="B1269" s="248"/>
      <c r="C1269" s="248"/>
      <c r="D1269" s="248"/>
      <c r="E1269" s="248"/>
      <c r="F1269" s="248"/>
      <c r="G1269" s="248"/>
      <c r="I1269" s="248"/>
      <c r="J1269" s="248"/>
      <c r="K1269" s="248"/>
      <c r="L1269" s="248"/>
      <c r="M1269" s="248"/>
      <c r="N1269" s="248"/>
      <c r="P1269" s="248"/>
      <c r="Q1269" s="248"/>
    </row>
    <row r="1270">
      <c r="A1270" s="248"/>
      <c r="B1270" s="248"/>
      <c r="C1270" s="248"/>
      <c r="D1270" s="248"/>
      <c r="E1270" s="248"/>
      <c r="F1270" s="248"/>
      <c r="G1270" s="248"/>
      <c r="I1270" s="248"/>
      <c r="J1270" s="248"/>
      <c r="K1270" s="248"/>
      <c r="L1270" s="248"/>
      <c r="M1270" s="248"/>
      <c r="N1270" s="248"/>
      <c r="P1270" s="248"/>
      <c r="Q1270" s="248"/>
    </row>
    <row r="1271">
      <c r="A1271" s="248"/>
      <c r="B1271" s="248"/>
      <c r="C1271" s="248"/>
      <c r="D1271" s="248"/>
      <c r="E1271" s="248"/>
      <c r="F1271" s="248"/>
      <c r="G1271" s="248"/>
      <c r="I1271" s="248"/>
      <c r="J1271" s="248"/>
      <c r="K1271" s="248"/>
      <c r="L1271" s="248"/>
      <c r="M1271" s="248"/>
      <c r="N1271" s="248"/>
      <c r="P1271" s="248"/>
      <c r="Q1271" s="248"/>
    </row>
    <row r="1272">
      <c r="A1272" s="248"/>
      <c r="B1272" s="248"/>
      <c r="C1272" s="248"/>
      <c r="D1272" s="248"/>
      <c r="E1272" s="248"/>
      <c r="F1272" s="248"/>
      <c r="G1272" s="248"/>
      <c r="I1272" s="248"/>
      <c r="J1272" s="248"/>
      <c r="K1272" s="248"/>
      <c r="L1272" s="248"/>
      <c r="M1272" s="248"/>
      <c r="N1272" s="248"/>
      <c r="P1272" s="248"/>
      <c r="Q1272" s="248"/>
    </row>
    <row r="1273">
      <c r="A1273" s="248"/>
      <c r="B1273" s="248"/>
      <c r="C1273" s="248"/>
      <c r="D1273" s="248"/>
      <c r="E1273" s="248"/>
      <c r="F1273" s="248"/>
      <c r="G1273" s="248"/>
      <c r="I1273" s="248"/>
      <c r="J1273" s="248"/>
      <c r="K1273" s="248"/>
      <c r="L1273" s="248"/>
      <c r="M1273" s="248"/>
      <c r="N1273" s="248"/>
      <c r="P1273" s="248"/>
      <c r="Q1273" s="248"/>
    </row>
    <row r="1274">
      <c r="A1274" s="248"/>
      <c r="B1274" s="248"/>
      <c r="C1274" s="248"/>
      <c r="D1274" s="248"/>
      <c r="E1274" s="248"/>
      <c r="F1274" s="248"/>
      <c r="G1274" s="248"/>
      <c r="I1274" s="248"/>
      <c r="J1274" s="248"/>
      <c r="K1274" s="248"/>
      <c r="L1274" s="248"/>
      <c r="M1274" s="248"/>
      <c r="N1274" s="248"/>
      <c r="P1274" s="248"/>
      <c r="Q1274" s="248"/>
    </row>
    <row r="1275">
      <c r="A1275" s="248"/>
      <c r="B1275" s="248"/>
      <c r="C1275" s="248"/>
      <c r="D1275" s="248"/>
      <c r="E1275" s="248"/>
      <c r="F1275" s="248"/>
      <c r="G1275" s="248"/>
      <c r="I1275" s="248"/>
      <c r="J1275" s="248"/>
      <c r="K1275" s="248"/>
      <c r="L1275" s="248"/>
      <c r="M1275" s="248"/>
      <c r="N1275" s="248"/>
      <c r="P1275" s="248"/>
      <c r="Q1275" s="248"/>
    </row>
    <row r="1276">
      <c r="A1276" s="248"/>
      <c r="B1276" s="248"/>
      <c r="C1276" s="248"/>
      <c r="D1276" s="248"/>
      <c r="E1276" s="248"/>
      <c r="F1276" s="248"/>
      <c r="G1276" s="248"/>
      <c r="I1276" s="248"/>
      <c r="J1276" s="248"/>
      <c r="K1276" s="248"/>
      <c r="L1276" s="248"/>
      <c r="M1276" s="248"/>
      <c r="N1276" s="248"/>
      <c r="P1276" s="248"/>
      <c r="Q1276" s="248"/>
    </row>
    <row r="1277">
      <c r="A1277" s="248"/>
      <c r="B1277" s="248"/>
      <c r="C1277" s="248"/>
      <c r="D1277" s="248"/>
      <c r="E1277" s="248"/>
      <c r="F1277" s="248"/>
      <c r="G1277" s="248"/>
      <c r="I1277" s="248"/>
      <c r="J1277" s="248"/>
      <c r="K1277" s="248"/>
      <c r="L1277" s="248"/>
      <c r="M1277" s="248"/>
      <c r="N1277" s="248"/>
      <c r="P1277" s="248"/>
      <c r="Q1277" s="248"/>
    </row>
    <row r="1278">
      <c r="A1278" s="248"/>
      <c r="B1278" s="248"/>
      <c r="C1278" s="248"/>
      <c r="D1278" s="248"/>
      <c r="E1278" s="248"/>
      <c r="F1278" s="248"/>
      <c r="G1278" s="248"/>
      <c r="I1278" s="248"/>
      <c r="J1278" s="248"/>
      <c r="K1278" s="248"/>
      <c r="L1278" s="248"/>
      <c r="M1278" s="248"/>
      <c r="N1278" s="248"/>
      <c r="P1278" s="248"/>
      <c r="Q1278" s="248"/>
    </row>
    <row r="1279">
      <c r="A1279" s="248"/>
      <c r="B1279" s="248"/>
      <c r="C1279" s="248"/>
      <c r="D1279" s="248"/>
      <c r="E1279" s="248"/>
      <c r="F1279" s="248"/>
      <c r="G1279" s="248"/>
      <c r="I1279" s="248"/>
      <c r="J1279" s="248"/>
      <c r="K1279" s="248"/>
      <c r="L1279" s="248"/>
      <c r="M1279" s="248"/>
      <c r="N1279" s="248"/>
      <c r="P1279" s="248"/>
      <c r="Q1279" s="248"/>
    </row>
    <row r="1280">
      <c r="A1280" s="248"/>
      <c r="B1280" s="248"/>
      <c r="C1280" s="248"/>
      <c r="D1280" s="248"/>
      <c r="E1280" s="248"/>
      <c r="F1280" s="248"/>
      <c r="G1280" s="248"/>
      <c r="I1280" s="248"/>
      <c r="J1280" s="248"/>
      <c r="K1280" s="248"/>
      <c r="L1280" s="248"/>
      <c r="M1280" s="248"/>
      <c r="N1280" s="248"/>
      <c r="P1280" s="248"/>
      <c r="Q1280" s="248"/>
    </row>
    <row r="1281">
      <c r="A1281" s="248"/>
      <c r="B1281" s="248"/>
      <c r="C1281" s="248"/>
      <c r="D1281" s="248"/>
      <c r="E1281" s="248"/>
      <c r="F1281" s="248"/>
      <c r="G1281" s="248"/>
      <c r="I1281" s="248"/>
      <c r="J1281" s="248"/>
      <c r="K1281" s="248"/>
      <c r="L1281" s="248"/>
      <c r="M1281" s="248"/>
      <c r="N1281" s="248"/>
      <c r="P1281" s="248"/>
      <c r="Q1281" s="248"/>
    </row>
    <row r="1282">
      <c r="A1282" s="248"/>
      <c r="B1282" s="248"/>
      <c r="C1282" s="248"/>
      <c r="D1282" s="248"/>
      <c r="E1282" s="248"/>
      <c r="F1282" s="248"/>
      <c r="G1282" s="248"/>
      <c r="I1282" s="248"/>
      <c r="J1282" s="248"/>
      <c r="K1282" s="248"/>
      <c r="L1282" s="248"/>
      <c r="M1282" s="248"/>
      <c r="N1282" s="248"/>
      <c r="P1282" s="248"/>
      <c r="Q1282" s="248"/>
    </row>
    <row r="1283">
      <c r="A1283" s="248"/>
      <c r="B1283" s="248"/>
      <c r="C1283" s="248"/>
      <c r="D1283" s="248"/>
      <c r="E1283" s="248"/>
      <c r="F1283" s="248"/>
      <c r="G1283" s="248"/>
      <c r="I1283" s="248"/>
      <c r="J1283" s="248"/>
      <c r="K1283" s="248"/>
      <c r="L1283" s="248"/>
      <c r="M1283" s="248"/>
      <c r="N1283" s="248"/>
      <c r="P1283" s="248"/>
      <c r="Q1283" s="248"/>
    </row>
    <row r="1284">
      <c r="A1284" s="248"/>
      <c r="B1284" s="248"/>
      <c r="C1284" s="248"/>
      <c r="D1284" s="248"/>
      <c r="E1284" s="248"/>
      <c r="F1284" s="248"/>
      <c r="G1284" s="248"/>
      <c r="I1284" s="248"/>
      <c r="J1284" s="248"/>
      <c r="K1284" s="248"/>
      <c r="L1284" s="248"/>
      <c r="M1284" s="248"/>
      <c r="N1284" s="248"/>
      <c r="P1284" s="248"/>
      <c r="Q1284" s="248"/>
    </row>
    <row r="1285">
      <c r="A1285" s="248"/>
      <c r="B1285" s="248"/>
      <c r="C1285" s="248"/>
      <c r="D1285" s="248"/>
      <c r="E1285" s="248"/>
      <c r="F1285" s="248"/>
      <c r="G1285" s="248"/>
      <c r="I1285" s="248"/>
      <c r="J1285" s="248"/>
      <c r="K1285" s="248"/>
      <c r="L1285" s="248"/>
      <c r="M1285" s="248"/>
      <c r="N1285" s="248"/>
      <c r="P1285" s="248"/>
      <c r="Q1285" s="248"/>
    </row>
    <row r="1286">
      <c r="A1286" s="248"/>
      <c r="B1286" s="248"/>
      <c r="C1286" s="248"/>
      <c r="D1286" s="248"/>
      <c r="E1286" s="248"/>
      <c r="F1286" s="248"/>
      <c r="G1286" s="248"/>
      <c r="I1286" s="248"/>
      <c r="J1286" s="248"/>
      <c r="K1286" s="248"/>
      <c r="L1286" s="248"/>
      <c r="M1286" s="248"/>
      <c r="N1286" s="248"/>
      <c r="P1286" s="248"/>
      <c r="Q1286" s="248"/>
    </row>
    <row r="1287">
      <c r="A1287" s="248"/>
      <c r="B1287" s="248"/>
      <c r="C1287" s="248"/>
      <c r="D1287" s="248"/>
      <c r="E1287" s="248"/>
      <c r="F1287" s="248"/>
      <c r="G1287" s="248"/>
      <c r="I1287" s="248"/>
      <c r="J1287" s="248"/>
      <c r="K1287" s="248"/>
      <c r="L1287" s="248"/>
      <c r="M1287" s="248"/>
      <c r="N1287" s="248"/>
      <c r="P1287" s="248"/>
      <c r="Q1287" s="248"/>
    </row>
    <row r="1288">
      <c r="A1288" s="248"/>
      <c r="B1288" s="248"/>
      <c r="C1288" s="248"/>
      <c r="D1288" s="248"/>
      <c r="E1288" s="248"/>
      <c r="F1288" s="248"/>
      <c r="G1288" s="248"/>
      <c r="I1288" s="248"/>
      <c r="J1288" s="248"/>
      <c r="K1288" s="248"/>
      <c r="L1288" s="248"/>
      <c r="M1288" s="248"/>
      <c r="N1288" s="248"/>
      <c r="P1288" s="248"/>
      <c r="Q1288" s="248"/>
    </row>
    <row r="1289">
      <c r="A1289" s="248"/>
      <c r="B1289" s="248"/>
      <c r="C1289" s="248"/>
      <c r="D1289" s="248"/>
      <c r="E1289" s="248"/>
      <c r="F1289" s="248"/>
      <c r="G1289" s="248"/>
      <c r="I1289" s="248"/>
      <c r="J1289" s="248"/>
      <c r="K1289" s="248"/>
      <c r="L1289" s="248"/>
      <c r="M1289" s="248"/>
      <c r="N1289" s="248"/>
      <c r="P1289" s="248"/>
      <c r="Q1289" s="248"/>
    </row>
    <row r="1290">
      <c r="A1290" s="248"/>
      <c r="B1290" s="248"/>
      <c r="C1290" s="248"/>
      <c r="D1290" s="248"/>
      <c r="E1290" s="248"/>
      <c r="F1290" s="248"/>
      <c r="G1290" s="248"/>
      <c r="I1290" s="248"/>
      <c r="J1290" s="248"/>
      <c r="K1290" s="248"/>
      <c r="L1290" s="248"/>
      <c r="M1290" s="248"/>
      <c r="N1290" s="248"/>
      <c r="P1290" s="248"/>
      <c r="Q1290" s="248"/>
    </row>
    <row r="1291">
      <c r="A1291" s="248"/>
      <c r="B1291" s="248"/>
      <c r="C1291" s="248"/>
      <c r="D1291" s="248"/>
      <c r="E1291" s="248"/>
      <c r="F1291" s="248"/>
      <c r="G1291" s="248"/>
      <c r="I1291" s="248"/>
      <c r="J1291" s="248"/>
      <c r="K1291" s="248"/>
      <c r="L1291" s="248"/>
      <c r="M1291" s="248"/>
      <c r="N1291" s="248"/>
      <c r="P1291" s="248"/>
      <c r="Q1291" s="248"/>
    </row>
    <row r="1292">
      <c r="A1292" s="248"/>
      <c r="B1292" s="248"/>
      <c r="C1292" s="248"/>
      <c r="D1292" s="248"/>
      <c r="E1292" s="248"/>
      <c r="F1292" s="248"/>
      <c r="G1292" s="248"/>
      <c r="I1292" s="248"/>
      <c r="J1292" s="248"/>
      <c r="K1292" s="248"/>
      <c r="L1292" s="248"/>
      <c r="M1292" s="248"/>
      <c r="N1292" s="248"/>
      <c r="P1292" s="248"/>
      <c r="Q1292" s="248"/>
    </row>
    <row r="1293">
      <c r="A1293" s="248"/>
      <c r="B1293" s="248"/>
      <c r="C1293" s="248"/>
      <c r="D1293" s="248"/>
      <c r="E1293" s="248"/>
      <c r="F1293" s="248"/>
      <c r="G1293" s="248"/>
      <c r="I1293" s="248"/>
      <c r="J1293" s="248"/>
      <c r="K1293" s="248"/>
      <c r="L1293" s="248"/>
      <c r="M1293" s="248"/>
      <c r="N1293" s="248"/>
      <c r="P1293" s="248"/>
      <c r="Q1293" s="248"/>
    </row>
    <row r="1294">
      <c r="A1294" s="248"/>
      <c r="B1294" s="248"/>
      <c r="C1294" s="248"/>
      <c r="D1294" s="248"/>
      <c r="E1294" s="248"/>
      <c r="F1294" s="248"/>
      <c r="G1294" s="248"/>
      <c r="I1294" s="248"/>
      <c r="J1294" s="248"/>
      <c r="K1294" s="248"/>
      <c r="L1294" s="248"/>
      <c r="M1294" s="248"/>
      <c r="N1294" s="248"/>
      <c r="P1294" s="248"/>
      <c r="Q1294" s="248"/>
    </row>
    <row r="1295">
      <c r="A1295" s="248"/>
      <c r="B1295" s="248"/>
      <c r="C1295" s="248"/>
      <c r="D1295" s="248"/>
      <c r="E1295" s="248"/>
      <c r="F1295" s="248"/>
      <c r="G1295" s="248"/>
      <c r="I1295" s="248"/>
      <c r="J1295" s="248"/>
      <c r="K1295" s="248"/>
      <c r="L1295" s="248"/>
      <c r="M1295" s="248"/>
      <c r="N1295" s="248"/>
      <c r="P1295" s="248"/>
      <c r="Q1295" s="248"/>
    </row>
    <row r="1296">
      <c r="A1296" s="248"/>
      <c r="B1296" s="248"/>
      <c r="C1296" s="248"/>
      <c r="D1296" s="248"/>
      <c r="E1296" s="248"/>
      <c r="F1296" s="248"/>
      <c r="G1296" s="248"/>
      <c r="I1296" s="248"/>
      <c r="J1296" s="248"/>
      <c r="K1296" s="248"/>
      <c r="L1296" s="248"/>
      <c r="M1296" s="248"/>
      <c r="N1296" s="248"/>
      <c r="P1296" s="248"/>
      <c r="Q1296" s="248"/>
    </row>
    <row r="1297">
      <c r="A1297" s="248"/>
      <c r="B1297" s="248"/>
      <c r="C1297" s="248"/>
      <c r="D1297" s="248"/>
      <c r="E1297" s="248"/>
      <c r="F1297" s="248"/>
      <c r="G1297" s="248"/>
      <c r="I1297" s="248"/>
      <c r="J1297" s="248"/>
      <c r="K1297" s="248"/>
      <c r="L1297" s="248"/>
      <c r="M1297" s="248"/>
      <c r="N1297" s="248"/>
      <c r="P1297" s="248"/>
      <c r="Q1297" s="248"/>
    </row>
    <row r="1298">
      <c r="A1298" s="248"/>
      <c r="B1298" s="248"/>
      <c r="C1298" s="248"/>
      <c r="D1298" s="248"/>
      <c r="E1298" s="248"/>
      <c r="F1298" s="248"/>
      <c r="G1298" s="248"/>
      <c r="I1298" s="248"/>
      <c r="J1298" s="248"/>
      <c r="K1298" s="248"/>
      <c r="L1298" s="248"/>
      <c r="M1298" s="248"/>
      <c r="N1298" s="248"/>
      <c r="P1298" s="248"/>
      <c r="Q1298" s="248"/>
    </row>
    <row r="1299">
      <c r="A1299" s="248"/>
      <c r="B1299" s="248"/>
      <c r="C1299" s="248"/>
      <c r="D1299" s="248"/>
      <c r="E1299" s="248"/>
      <c r="F1299" s="248"/>
      <c r="G1299" s="248"/>
      <c r="I1299" s="248"/>
      <c r="J1299" s="248"/>
      <c r="K1299" s="248"/>
      <c r="L1299" s="248"/>
      <c r="M1299" s="248"/>
      <c r="N1299" s="248"/>
      <c r="P1299" s="248"/>
      <c r="Q1299" s="248"/>
    </row>
    <row r="1300">
      <c r="A1300" s="248"/>
      <c r="B1300" s="248"/>
      <c r="C1300" s="248"/>
      <c r="D1300" s="248"/>
      <c r="E1300" s="248"/>
      <c r="F1300" s="248"/>
      <c r="G1300" s="248"/>
      <c r="I1300" s="248"/>
      <c r="J1300" s="248"/>
      <c r="K1300" s="248"/>
      <c r="L1300" s="248"/>
      <c r="M1300" s="248"/>
      <c r="N1300" s="248"/>
      <c r="P1300" s="248"/>
      <c r="Q1300" s="248"/>
    </row>
    <row r="1301">
      <c r="A1301" s="248"/>
      <c r="B1301" s="248"/>
      <c r="C1301" s="248"/>
      <c r="D1301" s="248"/>
      <c r="E1301" s="248"/>
      <c r="F1301" s="248"/>
      <c r="G1301" s="248"/>
      <c r="I1301" s="248"/>
      <c r="J1301" s="248"/>
      <c r="K1301" s="248"/>
      <c r="L1301" s="248"/>
      <c r="M1301" s="248"/>
      <c r="N1301" s="248"/>
      <c r="P1301" s="248"/>
      <c r="Q1301" s="248"/>
    </row>
    <row r="1302">
      <c r="A1302" s="248"/>
      <c r="B1302" s="248"/>
      <c r="C1302" s="248"/>
      <c r="D1302" s="248"/>
      <c r="E1302" s="248"/>
      <c r="F1302" s="248"/>
      <c r="G1302" s="248"/>
      <c r="I1302" s="248"/>
      <c r="J1302" s="248"/>
      <c r="K1302" s="248"/>
      <c r="L1302" s="248"/>
      <c r="M1302" s="248"/>
      <c r="N1302" s="248"/>
      <c r="P1302" s="248"/>
      <c r="Q1302" s="248"/>
    </row>
    <row r="1303">
      <c r="A1303" s="248"/>
      <c r="B1303" s="248"/>
      <c r="C1303" s="248"/>
      <c r="D1303" s="248"/>
      <c r="E1303" s="248"/>
      <c r="F1303" s="248"/>
      <c r="G1303" s="248"/>
      <c r="I1303" s="248"/>
      <c r="J1303" s="248"/>
      <c r="K1303" s="248"/>
      <c r="L1303" s="248"/>
      <c r="M1303" s="248"/>
      <c r="N1303" s="248"/>
      <c r="P1303" s="248"/>
      <c r="Q1303" s="248"/>
    </row>
    <row r="1304">
      <c r="A1304" s="248"/>
      <c r="B1304" s="248"/>
      <c r="C1304" s="248"/>
      <c r="D1304" s="248"/>
      <c r="E1304" s="248"/>
      <c r="F1304" s="248"/>
      <c r="G1304" s="248"/>
      <c r="I1304" s="248"/>
      <c r="J1304" s="248"/>
      <c r="K1304" s="248"/>
      <c r="L1304" s="248"/>
      <c r="M1304" s="248"/>
      <c r="N1304" s="248"/>
      <c r="P1304" s="248"/>
      <c r="Q1304" s="248"/>
    </row>
    <row r="1305">
      <c r="A1305" s="248"/>
      <c r="B1305" s="248"/>
      <c r="C1305" s="248"/>
      <c r="D1305" s="248"/>
      <c r="E1305" s="248"/>
      <c r="F1305" s="248"/>
      <c r="G1305" s="248"/>
      <c r="I1305" s="248"/>
      <c r="J1305" s="248"/>
      <c r="K1305" s="248"/>
      <c r="L1305" s="248"/>
      <c r="M1305" s="248"/>
      <c r="N1305" s="248"/>
      <c r="P1305" s="248"/>
      <c r="Q1305" s="248"/>
    </row>
    <row r="1306">
      <c r="A1306" s="248"/>
      <c r="B1306" s="248"/>
      <c r="C1306" s="248"/>
      <c r="D1306" s="248"/>
      <c r="E1306" s="248"/>
      <c r="F1306" s="248"/>
      <c r="G1306" s="248"/>
      <c r="I1306" s="248"/>
      <c r="J1306" s="248"/>
      <c r="K1306" s="248"/>
      <c r="L1306" s="248"/>
      <c r="M1306" s="248"/>
      <c r="N1306" s="248"/>
      <c r="P1306" s="248"/>
      <c r="Q1306" s="248"/>
    </row>
    <row r="1307">
      <c r="A1307" s="248"/>
      <c r="B1307" s="248"/>
      <c r="C1307" s="248"/>
      <c r="D1307" s="248"/>
      <c r="E1307" s="248"/>
      <c r="F1307" s="248"/>
      <c r="G1307" s="248"/>
      <c r="I1307" s="248"/>
      <c r="J1307" s="248"/>
      <c r="K1307" s="248"/>
      <c r="L1307" s="248"/>
      <c r="M1307" s="248"/>
      <c r="N1307" s="248"/>
      <c r="P1307" s="248"/>
      <c r="Q1307" s="248"/>
    </row>
    <row r="1308">
      <c r="A1308" s="248"/>
      <c r="B1308" s="248"/>
      <c r="C1308" s="248"/>
      <c r="D1308" s="248"/>
      <c r="E1308" s="248"/>
      <c r="F1308" s="248"/>
      <c r="G1308" s="248"/>
      <c r="I1308" s="248"/>
      <c r="J1308" s="248"/>
      <c r="K1308" s="248"/>
      <c r="L1308" s="248"/>
      <c r="M1308" s="248"/>
      <c r="N1308" s="248"/>
      <c r="P1308" s="248"/>
      <c r="Q1308" s="248"/>
    </row>
    <row r="1309">
      <c r="A1309" s="248"/>
      <c r="B1309" s="248"/>
      <c r="C1309" s="248"/>
      <c r="D1309" s="248"/>
      <c r="E1309" s="248"/>
      <c r="F1309" s="248"/>
      <c r="G1309" s="248"/>
      <c r="I1309" s="248"/>
      <c r="J1309" s="248"/>
      <c r="K1309" s="248"/>
      <c r="L1309" s="248"/>
      <c r="M1309" s="248"/>
      <c r="N1309" s="248"/>
      <c r="P1309" s="248"/>
      <c r="Q1309" s="248"/>
    </row>
    <row r="1310">
      <c r="A1310" s="248"/>
      <c r="B1310" s="248"/>
      <c r="C1310" s="248"/>
      <c r="D1310" s="248"/>
      <c r="E1310" s="248"/>
      <c r="F1310" s="248"/>
      <c r="G1310" s="248"/>
      <c r="I1310" s="248"/>
      <c r="J1310" s="248"/>
      <c r="K1310" s="248"/>
      <c r="L1310" s="248"/>
      <c r="M1310" s="248"/>
      <c r="N1310" s="248"/>
      <c r="P1310" s="248"/>
      <c r="Q1310" s="248"/>
    </row>
    <row r="1311">
      <c r="A1311" s="248"/>
      <c r="B1311" s="248"/>
      <c r="C1311" s="248"/>
      <c r="D1311" s="248"/>
      <c r="E1311" s="248"/>
      <c r="F1311" s="248"/>
      <c r="G1311" s="248"/>
      <c r="I1311" s="248"/>
      <c r="J1311" s="248"/>
      <c r="K1311" s="248"/>
      <c r="L1311" s="248"/>
      <c r="M1311" s="248"/>
      <c r="N1311" s="248"/>
      <c r="P1311" s="248"/>
      <c r="Q1311" s="248"/>
    </row>
    <row r="1312">
      <c r="A1312" s="248"/>
      <c r="B1312" s="248"/>
      <c r="C1312" s="248"/>
      <c r="D1312" s="248"/>
      <c r="E1312" s="248"/>
      <c r="F1312" s="248"/>
      <c r="G1312" s="248"/>
      <c r="I1312" s="248"/>
      <c r="J1312" s="248"/>
      <c r="K1312" s="248"/>
      <c r="L1312" s="248"/>
      <c r="M1312" s="248"/>
      <c r="N1312" s="248"/>
      <c r="P1312" s="248"/>
      <c r="Q1312" s="248"/>
    </row>
    <row r="1313">
      <c r="A1313" s="248"/>
      <c r="B1313" s="248"/>
      <c r="C1313" s="248"/>
      <c r="D1313" s="248"/>
      <c r="E1313" s="248"/>
      <c r="F1313" s="248"/>
      <c r="G1313" s="248"/>
      <c r="I1313" s="248"/>
      <c r="J1313" s="248"/>
      <c r="K1313" s="248"/>
      <c r="L1313" s="248"/>
      <c r="M1313" s="248"/>
      <c r="N1313" s="248"/>
      <c r="P1313" s="248"/>
      <c r="Q1313" s="248"/>
    </row>
    <row r="1314">
      <c r="A1314" s="248"/>
      <c r="B1314" s="248"/>
      <c r="C1314" s="248"/>
      <c r="D1314" s="248"/>
      <c r="E1314" s="248"/>
      <c r="F1314" s="248"/>
      <c r="G1314" s="248"/>
      <c r="I1314" s="248"/>
      <c r="J1314" s="248"/>
      <c r="K1314" s="248"/>
      <c r="L1314" s="248"/>
      <c r="M1314" s="248"/>
      <c r="N1314" s="248"/>
      <c r="P1314" s="248"/>
      <c r="Q1314" s="248"/>
    </row>
    <row r="1315">
      <c r="A1315" s="248"/>
      <c r="B1315" s="248"/>
      <c r="C1315" s="248"/>
      <c r="D1315" s="248"/>
      <c r="E1315" s="248"/>
      <c r="F1315" s="248"/>
      <c r="G1315" s="248"/>
      <c r="I1315" s="248"/>
      <c r="J1315" s="248"/>
      <c r="K1315" s="248"/>
      <c r="L1315" s="248"/>
      <c r="M1315" s="248"/>
      <c r="N1315" s="248"/>
      <c r="P1315" s="248"/>
      <c r="Q1315" s="248"/>
    </row>
    <row r="1316">
      <c r="A1316" s="248"/>
      <c r="B1316" s="248"/>
      <c r="C1316" s="248"/>
      <c r="D1316" s="248"/>
      <c r="E1316" s="248"/>
      <c r="F1316" s="248"/>
      <c r="G1316" s="248"/>
      <c r="I1316" s="248"/>
      <c r="J1316" s="248"/>
      <c r="K1316" s="248"/>
      <c r="L1316" s="248"/>
      <c r="M1316" s="248"/>
      <c r="N1316" s="248"/>
      <c r="P1316" s="248"/>
      <c r="Q1316" s="248"/>
    </row>
    <row r="1317">
      <c r="A1317" s="248"/>
      <c r="B1317" s="248"/>
      <c r="C1317" s="248"/>
      <c r="D1317" s="248"/>
      <c r="E1317" s="248"/>
      <c r="F1317" s="248"/>
      <c r="G1317" s="248"/>
      <c r="I1317" s="248"/>
      <c r="J1317" s="248"/>
      <c r="K1317" s="248"/>
      <c r="L1317" s="248"/>
      <c r="M1317" s="248"/>
      <c r="N1317" s="248"/>
      <c r="P1317" s="248"/>
      <c r="Q1317" s="248"/>
    </row>
    <row r="1318">
      <c r="A1318" s="248"/>
      <c r="B1318" s="248"/>
      <c r="C1318" s="248"/>
      <c r="D1318" s="248"/>
      <c r="E1318" s="248"/>
      <c r="F1318" s="248"/>
      <c r="G1318" s="248"/>
      <c r="I1318" s="248"/>
      <c r="J1318" s="248"/>
      <c r="K1318" s="248"/>
      <c r="L1318" s="248"/>
      <c r="M1318" s="248"/>
      <c r="N1318" s="248"/>
      <c r="P1318" s="248"/>
      <c r="Q1318" s="248"/>
    </row>
    <row r="1319">
      <c r="A1319" s="248"/>
      <c r="B1319" s="248"/>
      <c r="C1319" s="248"/>
      <c r="D1319" s="248"/>
      <c r="E1319" s="248"/>
      <c r="F1319" s="248"/>
      <c r="G1319" s="248"/>
      <c r="I1319" s="248"/>
      <c r="J1319" s="248"/>
      <c r="K1319" s="248"/>
      <c r="L1319" s="248"/>
      <c r="M1319" s="248"/>
      <c r="N1319" s="248"/>
      <c r="P1319" s="248"/>
      <c r="Q1319" s="248"/>
    </row>
    <row r="1320">
      <c r="A1320" s="248"/>
      <c r="B1320" s="248"/>
      <c r="C1320" s="248"/>
      <c r="D1320" s="248"/>
      <c r="E1320" s="248"/>
      <c r="F1320" s="248"/>
      <c r="G1320" s="248"/>
      <c r="I1320" s="248"/>
      <c r="J1320" s="248"/>
      <c r="K1320" s="248"/>
      <c r="L1320" s="248"/>
      <c r="M1320" s="248"/>
      <c r="N1320" s="248"/>
      <c r="P1320" s="248"/>
      <c r="Q1320" s="248"/>
    </row>
    <row r="1321">
      <c r="A1321" s="248"/>
      <c r="B1321" s="248"/>
      <c r="C1321" s="248"/>
      <c r="D1321" s="248"/>
      <c r="E1321" s="248"/>
      <c r="F1321" s="248"/>
      <c r="G1321" s="248"/>
      <c r="I1321" s="248"/>
      <c r="J1321" s="248"/>
      <c r="K1321" s="248"/>
      <c r="L1321" s="248"/>
      <c r="M1321" s="248"/>
      <c r="N1321" s="248"/>
      <c r="P1321" s="248"/>
      <c r="Q1321" s="248"/>
    </row>
    <row r="1322">
      <c r="A1322" s="248"/>
      <c r="B1322" s="248"/>
      <c r="C1322" s="248"/>
      <c r="D1322" s="248"/>
      <c r="E1322" s="248"/>
      <c r="F1322" s="248"/>
      <c r="G1322" s="248"/>
      <c r="I1322" s="248"/>
      <c r="J1322" s="248"/>
      <c r="K1322" s="248"/>
      <c r="L1322" s="248"/>
      <c r="M1322" s="248"/>
      <c r="N1322" s="248"/>
      <c r="P1322" s="248"/>
      <c r="Q1322" s="248"/>
    </row>
    <row r="1323">
      <c r="A1323" s="248"/>
      <c r="B1323" s="248"/>
      <c r="C1323" s="248"/>
      <c r="D1323" s="248"/>
      <c r="E1323" s="248"/>
      <c r="F1323" s="248"/>
      <c r="G1323" s="248"/>
      <c r="I1323" s="248"/>
      <c r="J1323" s="248"/>
      <c r="K1323" s="248"/>
      <c r="L1323" s="248"/>
      <c r="M1323" s="248"/>
      <c r="N1323" s="248"/>
      <c r="P1323" s="248"/>
      <c r="Q1323" s="248"/>
    </row>
    <row r="1324">
      <c r="A1324" s="248"/>
      <c r="B1324" s="248"/>
      <c r="C1324" s="248"/>
      <c r="D1324" s="248"/>
      <c r="E1324" s="248"/>
      <c r="F1324" s="248"/>
      <c r="G1324" s="248"/>
      <c r="I1324" s="248"/>
      <c r="J1324" s="248"/>
      <c r="K1324" s="248"/>
      <c r="L1324" s="248"/>
      <c r="M1324" s="248"/>
      <c r="N1324" s="248"/>
      <c r="P1324" s="248"/>
      <c r="Q1324" s="248"/>
    </row>
    <row r="1325">
      <c r="A1325" s="248"/>
      <c r="B1325" s="248"/>
      <c r="C1325" s="248"/>
      <c r="D1325" s="248"/>
      <c r="E1325" s="248"/>
      <c r="F1325" s="248"/>
      <c r="G1325" s="248"/>
      <c r="I1325" s="248"/>
      <c r="J1325" s="248"/>
      <c r="K1325" s="248"/>
      <c r="L1325" s="248"/>
      <c r="M1325" s="248"/>
      <c r="N1325" s="248"/>
      <c r="P1325" s="248"/>
      <c r="Q1325" s="248"/>
    </row>
    <row r="1326">
      <c r="A1326" s="248"/>
      <c r="B1326" s="248"/>
      <c r="C1326" s="248"/>
      <c r="D1326" s="248"/>
      <c r="E1326" s="248"/>
      <c r="F1326" s="248"/>
      <c r="G1326" s="248"/>
      <c r="I1326" s="248"/>
      <c r="J1326" s="248"/>
      <c r="K1326" s="248"/>
      <c r="L1326" s="248"/>
      <c r="M1326" s="248"/>
      <c r="N1326" s="248"/>
      <c r="P1326" s="248"/>
      <c r="Q1326" s="248"/>
    </row>
    <row r="1327">
      <c r="A1327" s="248"/>
      <c r="B1327" s="248"/>
      <c r="C1327" s="248"/>
      <c r="D1327" s="248"/>
      <c r="E1327" s="248"/>
      <c r="F1327" s="248"/>
      <c r="G1327" s="248"/>
      <c r="I1327" s="248"/>
      <c r="J1327" s="248"/>
      <c r="K1327" s="248"/>
      <c r="L1327" s="248"/>
      <c r="M1327" s="248"/>
      <c r="N1327" s="248"/>
      <c r="P1327" s="248"/>
      <c r="Q1327" s="248"/>
    </row>
    <row r="1328">
      <c r="A1328" s="248"/>
      <c r="B1328" s="248"/>
      <c r="C1328" s="248"/>
      <c r="D1328" s="248"/>
      <c r="E1328" s="248"/>
      <c r="F1328" s="248"/>
      <c r="G1328" s="248"/>
      <c r="I1328" s="248"/>
      <c r="J1328" s="248"/>
      <c r="K1328" s="248"/>
      <c r="L1328" s="248"/>
      <c r="M1328" s="248"/>
      <c r="N1328" s="248"/>
      <c r="P1328" s="248"/>
      <c r="Q1328" s="248"/>
    </row>
    <row r="1329">
      <c r="A1329" s="248"/>
      <c r="B1329" s="248"/>
      <c r="C1329" s="248"/>
      <c r="D1329" s="248"/>
      <c r="E1329" s="248"/>
      <c r="F1329" s="248"/>
      <c r="G1329" s="248"/>
      <c r="I1329" s="248"/>
      <c r="J1329" s="248"/>
      <c r="K1329" s="248"/>
      <c r="L1329" s="248"/>
      <c r="M1329" s="248"/>
      <c r="N1329" s="248"/>
      <c r="P1329" s="248"/>
      <c r="Q1329" s="248"/>
    </row>
    <row r="1330">
      <c r="A1330" s="248"/>
      <c r="B1330" s="248"/>
      <c r="C1330" s="248"/>
      <c r="D1330" s="248"/>
      <c r="E1330" s="248"/>
      <c r="F1330" s="248"/>
      <c r="G1330" s="248"/>
      <c r="I1330" s="248"/>
      <c r="J1330" s="248"/>
      <c r="K1330" s="248"/>
      <c r="L1330" s="248"/>
      <c r="M1330" s="248"/>
      <c r="N1330" s="248"/>
      <c r="P1330" s="248"/>
      <c r="Q1330" s="248"/>
    </row>
    <row r="1331">
      <c r="A1331" s="248"/>
      <c r="B1331" s="248"/>
      <c r="C1331" s="248"/>
      <c r="D1331" s="248"/>
      <c r="E1331" s="248"/>
      <c r="F1331" s="248"/>
      <c r="G1331" s="248"/>
      <c r="I1331" s="248"/>
      <c r="J1331" s="248"/>
      <c r="K1331" s="248"/>
      <c r="L1331" s="248"/>
      <c r="M1331" s="248"/>
      <c r="N1331" s="248"/>
      <c r="P1331" s="248"/>
      <c r="Q1331" s="248"/>
    </row>
    <row r="1332">
      <c r="A1332" s="248"/>
      <c r="B1332" s="248"/>
      <c r="C1332" s="248"/>
      <c r="D1332" s="248"/>
      <c r="E1332" s="248"/>
      <c r="F1332" s="248"/>
      <c r="G1332" s="248"/>
      <c r="I1332" s="248"/>
      <c r="J1332" s="248"/>
      <c r="K1332" s="248"/>
      <c r="L1332" s="248"/>
      <c r="M1332" s="248"/>
      <c r="N1332" s="248"/>
      <c r="P1332" s="248"/>
      <c r="Q1332" s="248"/>
    </row>
    <row r="1333">
      <c r="A1333" s="248"/>
      <c r="B1333" s="248"/>
      <c r="C1333" s="248"/>
      <c r="D1333" s="248"/>
      <c r="E1333" s="248"/>
      <c r="F1333" s="248"/>
      <c r="G1333" s="248"/>
      <c r="I1333" s="248"/>
      <c r="J1333" s="248"/>
      <c r="K1333" s="248"/>
      <c r="L1333" s="248"/>
      <c r="M1333" s="248"/>
      <c r="N1333" s="248"/>
      <c r="P1333" s="248"/>
      <c r="Q1333" s="248"/>
    </row>
    <row r="1334">
      <c r="A1334" s="248"/>
      <c r="B1334" s="248"/>
      <c r="C1334" s="248"/>
      <c r="D1334" s="248"/>
      <c r="E1334" s="248"/>
      <c r="F1334" s="248"/>
      <c r="G1334" s="248"/>
      <c r="I1334" s="248"/>
      <c r="J1334" s="248"/>
      <c r="K1334" s="248"/>
      <c r="L1334" s="248"/>
      <c r="M1334" s="248"/>
      <c r="N1334" s="248"/>
      <c r="P1334" s="248"/>
      <c r="Q1334" s="248"/>
    </row>
    <row r="1335">
      <c r="A1335" s="248"/>
      <c r="B1335" s="248"/>
      <c r="C1335" s="248"/>
      <c r="D1335" s="248"/>
      <c r="E1335" s="248"/>
      <c r="F1335" s="248"/>
      <c r="G1335" s="248"/>
      <c r="I1335" s="248"/>
      <c r="J1335" s="248"/>
      <c r="K1335" s="248"/>
      <c r="L1335" s="248"/>
      <c r="M1335" s="248"/>
      <c r="N1335" s="248"/>
      <c r="P1335" s="248"/>
      <c r="Q1335" s="248"/>
    </row>
    <row r="1336">
      <c r="A1336" s="248"/>
      <c r="B1336" s="248"/>
      <c r="C1336" s="248"/>
      <c r="D1336" s="248"/>
      <c r="E1336" s="248"/>
      <c r="F1336" s="248"/>
      <c r="G1336" s="248"/>
      <c r="I1336" s="248"/>
      <c r="J1336" s="248"/>
      <c r="K1336" s="248"/>
      <c r="L1336" s="248"/>
      <c r="M1336" s="248"/>
      <c r="N1336" s="248"/>
      <c r="P1336" s="248"/>
      <c r="Q1336" s="248"/>
    </row>
    <row r="1337">
      <c r="A1337" s="248"/>
      <c r="B1337" s="248"/>
      <c r="C1337" s="248"/>
      <c r="D1337" s="248"/>
      <c r="E1337" s="248"/>
      <c r="F1337" s="248"/>
      <c r="G1337" s="248"/>
      <c r="I1337" s="248"/>
      <c r="J1337" s="248"/>
      <c r="K1337" s="248"/>
      <c r="L1337" s="248"/>
      <c r="M1337" s="248"/>
      <c r="N1337" s="248"/>
      <c r="P1337" s="248"/>
      <c r="Q1337" s="248"/>
    </row>
    <row r="1338">
      <c r="A1338" s="248"/>
      <c r="B1338" s="248"/>
      <c r="C1338" s="248"/>
      <c r="D1338" s="248"/>
      <c r="E1338" s="248"/>
      <c r="F1338" s="248"/>
      <c r="G1338" s="248"/>
      <c r="I1338" s="248"/>
      <c r="J1338" s="248"/>
      <c r="K1338" s="248"/>
      <c r="L1338" s="248"/>
      <c r="M1338" s="248"/>
      <c r="N1338" s="248"/>
      <c r="P1338" s="248"/>
      <c r="Q1338" s="248"/>
    </row>
    <row r="1339">
      <c r="A1339" s="248"/>
      <c r="B1339" s="248"/>
      <c r="C1339" s="248"/>
      <c r="D1339" s="248"/>
      <c r="E1339" s="248"/>
      <c r="F1339" s="248"/>
      <c r="G1339" s="248"/>
      <c r="I1339" s="248"/>
      <c r="J1339" s="248"/>
      <c r="K1339" s="248"/>
      <c r="L1339" s="248"/>
      <c r="M1339" s="248"/>
      <c r="N1339" s="248"/>
      <c r="P1339" s="248"/>
      <c r="Q1339" s="248"/>
    </row>
    <row r="1340">
      <c r="A1340" s="248"/>
      <c r="B1340" s="248"/>
      <c r="C1340" s="248"/>
      <c r="D1340" s="248"/>
      <c r="E1340" s="248"/>
      <c r="F1340" s="248"/>
      <c r="G1340" s="248"/>
      <c r="I1340" s="248"/>
      <c r="J1340" s="248"/>
      <c r="K1340" s="248"/>
      <c r="L1340" s="248"/>
      <c r="M1340" s="248"/>
      <c r="N1340" s="248"/>
      <c r="P1340" s="248"/>
      <c r="Q1340" s="248"/>
    </row>
    <row r="1341">
      <c r="A1341" s="248"/>
      <c r="B1341" s="248"/>
      <c r="C1341" s="248"/>
      <c r="D1341" s="248"/>
      <c r="E1341" s="248"/>
      <c r="F1341" s="248"/>
      <c r="G1341" s="248"/>
      <c r="I1341" s="248"/>
      <c r="J1341" s="248"/>
      <c r="K1341" s="248"/>
      <c r="L1341" s="248"/>
      <c r="M1341" s="248"/>
      <c r="N1341" s="248"/>
      <c r="P1341" s="248"/>
      <c r="Q1341" s="248"/>
    </row>
    <row r="1342">
      <c r="A1342" s="248"/>
      <c r="B1342" s="248"/>
      <c r="C1342" s="248"/>
      <c r="D1342" s="248"/>
      <c r="E1342" s="248"/>
      <c r="F1342" s="248"/>
      <c r="G1342" s="248"/>
      <c r="I1342" s="248"/>
      <c r="J1342" s="248"/>
      <c r="K1342" s="248"/>
      <c r="L1342" s="248"/>
      <c r="M1342" s="248"/>
      <c r="N1342" s="248"/>
      <c r="P1342" s="248"/>
      <c r="Q1342" s="248"/>
    </row>
    <row r="1343">
      <c r="A1343" s="248"/>
      <c r="B1343" s="248"/>
      <c r="C1343" s="248"/>
      <c r="D1343" s="248"/>
      <c r="E1343" s="248"/>
      <c r="F1343" s="248"/>
      <c r="G1343" s="248"/>
      <c r="I1343" s="248"/>
      <c r="J1343" s="248"/>
      <c r="K1343" s="248"/>
      <c r="L1343" s="248"/>
      <c r="M1343" s="248"/>
      <c r="N1343" s="248"/>
      <c r="P1343" s="248"/>
      <c r="Q1343" s="248"/>
    </row>
    <row r="1344">
      <c r="A1344" s="248"/>
      <c r="B1344" s="248"/>
      <c r="C1344" s="248"/>
      <c r="D1344" s="248"/>
      <c r="E1344" s="248"/>
      <c r="F1344" s="248"/>
      <c r="G1344" s="248"/>
      <c r="I1344" s="248"/>
      <c r="J1344" s="248"/>
      <c r="K1344" s="248"/>
      <c r="L1344" s="248"/>
      <c r="M1344" s="248"/>
      <c r="N1344" s="248"/>
      <c r="P1344" s="248"/>
      <c r="Q1344" s="248"/>
    </row>
    <row r="1345">
      <c r="A1345" s="248"/>
      <c r="B1345" s="248"/>
      <c r="C1345" s="248"/>
      <c r="D1345" s="248"/>
      <c r="E1345" s="248"/>
      <c r="F1345" s="248"/>
      <c r="G1345" s="248"/>
      <c r="I1345" s="248"/>
      <c r="J1345" s="248"/>
      <c r="K1345" s="248"/>
      <c r="L1345" s="248"/>
      <c r="M1345" s="248"/>
      <c r="N1345" s="248"/>
      <c r="P1345" s="248"/>
      <c r="Q1345" s="248"/>
    </row>
    <row r="1346">
      <c r="A1346" s="248"/>
      <c r="B1346" s="248"/>
      <c r="C1346" s="248"/>
      <c r="D1346" s="248"/>
      <c r="E1346" s="248"/>
      <c r="F1346" s="248"/>
      <c r="G1346" s="248"/>
      <c r="I1346" s="248"/>
      <c r="J1346" s="248"/>
      <c r="K1346" s="248"/>
      <c r="L1346" s="248"/>
      <c r="M1346" s="248"/>
      <c r="N1346" s="248"/>
      <c r="P1346" s="248"/>
      <c r="Q1346" s="248"/>
    </row>
    <row r="1347">
      <c r="A1347" s="248"/>
      <c r="B1347" s="248"/>
      <c r="C1347" s="248"/>
      <c r="D1347" s="248"/>
      <c r="E1347" s="248"/>
      <c r="F1347" s="248"/>
      <c r="G1347" s="248"/>
      <c r="I1347" s="248"/>
      <c r="J1347" s="248"/>
      <c r="K1347" s="248"/>
      <c r="L1347" s="248"/>
      <c r="M1347" s="248"/>
      <c r="N1347" s="248"/>
      <c r="P1347" s="248"/>
      <c r="Q1347" s="248"/>
    </row>
    <row r="1348">
      <c r="A1348" s="248"/>
      <c r="B1348" s="248"/>
      <c r="C1348" s="248"/>
      <c r="D1348" s="248"/>
      <c r="E1348" s="248"/>
      <c r="F1348" s="248"/>
      <c r="G1348" s="248"/>
      <c r="I1348" s="248"/>
      <c r="J1348" s="248"/>
      <c r="K1348" s="248"/>
      <c r="L1348" s="248"/>
      <c r="M1348" s="248"/>
      <c r="N1348" s="248"/>
      <c r="P1348" s="248"/>
      <c r="Q1348" s="248"/>
    </row>
    <row r="1349">
      <c r="A1349" s="248"/>
      <c r="B1349" s="248"/>
      <c r="C1349" s="248"/>
      <c r="D1349" s="248"/>
      <c r="E1349" s="248"/>
      <c r="F1349" s="248"/>
      <c r="G1349" s="248"/>
      <c r="I1349" s="248"/>
      <c r="J1349" s="248"/>
      <c r="K1349" s="248"/>
      <c r="L1349" s="248"/>
      <c r="M1349" s="248"/>
      <c r="N1349" s="248"/>
      <c r="P1349" s="248"/>
      <c r="Q1349" s="248"/>
    </row>
    <row r="1350">
      <c r="A1350" s="248"/>
      <c r="B1350" s="248"/>
      <c r="C1350" s="248"/>
      <c r="D1350" s="248"/>
      <c r="E1350" s="248"/>
      <c r="F1350" s="248"/>
      <c r="G1350" s="248"/>
      <c r="I1350" s="248"/>
      <c r="J1350" s="248"/>
      <c r="K1350" s="248"/>
      <c r="L1350" s="248"/>
      <c r="M1350" s="248"/>
      <c r="N1350" s="248"/>
      <c r="P1350" s="248"/>
      <c r="Q1350" s="248"/>
    </row>
    <row r="1351">
      <c r="A1351" s="248"/>
      <c r="B1351" s="248"/>
      <c r="C1351" s="248"/>
      <c r="D1351" s="248"/>
      <c r="E1351" s="248"/>
      <c r="F1351" s="248"/>
      <c r="G1351" s="248"/>
      <c r="I1351" s="248"/>
      <c r="J1351" s="248"/>
      <c r="K1351" s="248"/>
      <c r="L1351" s="248"/>
      <c r="M1351" s="248"/>
      <c r="N1351" s="248"/>
      <c r="P1351" s="248"/>
      <c r="Q1351" s="248"/>
    </row>
    <row r="1352">
      <c r="A1352" s="248"/>
      <c r="B1352" s="248"/>
      <c r="C1352" s="248"/>
      <c r="D1352" s="248"/>
      <c r="E1352" s="248"/>
      <c r="F1352" s="248"/>
      <c r="G1352" s="248"/>
      <c r="I1352" s="248"/>
      <c r="J1352" s="248"/>
      <c r="K1352" s="248"/>
      <c r="L1352" s="248"/>
      <c r="M1352" s="248"/>
      <c r="N1352" s="248"/>
      <c r="P1352" s="248"/>
      <c r="Q1352" s="248"/>
    </row>
    <row r="1353">
      <c r="A1353" s="248"/>
      <c r="B1353" s="248"/>
      <c r="C1353" s="248"/>
      <c r="D1353" s="248"/>
      <c r="E1353" s="248"/>
      <c r="F1353" s="248"/>
      <c r="G1353" s="248"/>
      <c r="I1353" s="248"/>
      <c r="J1353" s="248"/>
      <c r="K1353" s="248"/>
      <c r="L1353" s="248"/>
      <c r="M1353" s="248"/>
      <c r="N1353" s="248"/>
      <c r="P1353" s="248"/>
      <c r="Q1353" s="248"/>
    </row>
    <row r="1354">
      <c r="A1354" s="248"/>
      <c r="B1354" s="248"/>
      <c r="C1354" s="248"/>
      <c r="D1354" s="248"/>
      <c r="E1354" s="248"/>
      <c r="F1354" s="248"/>
      <c r="G1354" s="248"/>
      <c r="I1354" s="248"/>
      <c r="J1354" s="248"/>
      <c r="K1354" s="248"/>
      <c r="L1354" s="248"/>
      <c r="M1354" s="248"/>
      <c r="N1354" s="248"/>
      <c r="P1354" s="248"/>
      <c r="Q1354" s="248"/>
    </row>
    <row r="1355">
      <c r="A1355" s="248"/>
      <c r="B1355" s="248"/>
      <c r="C1355" s="248"/>
      <c r="D1355" s="248"/>
      <c r="E1355" s="248"/>
      <c r="F1355" s="248"/>
      <c r="G1355" s="248"/>
      <c r="I1355" s="248"/>
      <c r="J1355" s="248"/>
      <c r="K1355" s="248"/>
      <c r="L1355" s="248"/>
      <c r="M1355" s="248"/>
      <c r="N1355" s="248"/>
      <c r="P1355" s="248"/>
      <c r="Q1355" s="248"/>
    </row>
    <row r="1356">
      <c r="A1356" s="248"/>
      <c r="B1356" s="248"/>
      <c r="C1356" s="248"/>
      <c r="D1356" s="248"/>
      <c r="E1356" s="248"/>
      <c r="F1356" s="248"/>
      <c r="G1356" s="248"/>
      <c r="I1356" s="248"/>
      <c r="J1356" s="248"/>
      <c r="K1356" s="248"/>
      <c r="L1356" s="248"/>
      <c r="M1356" s="248"/>
      <c r="N1356" s="248"/>
      <c r="P1356" s="248"/>
      <c r="Q1356" s="248"/>
    </row>
    <row r="1357">
      <c r="A1357" s="248"/>
      <c r="B1357" s="248"/>
      <c r="C1357" s="248"/>
      <c r="D1357" s="248"/>
      <c r="E1357" s="248"/>
      <c r="F1357" s="248"/>
      <c r="G1357" s="248"/>
      <c r="I1357" s="248"/>
      <c r="J1357" s="248"/>
      <c r="K1357" s="248"/>
      <c r="L1357" s="248"/>
      <c r="M1357" s="248"/>
      <c r="N1357" s="248"/>
      <c r="P1357" s="248"/>
      <c r="Q1357" s="248"/>
    </row>
    <row r="1358">
      <c r="A1358" s="248"/>
      <c r="B1358" s="248"/>
      <c r="C1358" s="248"/>
      <c r="D1358" s="248"/>
      <c r="E1358" s="248"/>
      <c r="F1358" s="248"/>
      <c r="G1358" s="248"/>
      <c r="I1358" s="248"/>
      <c r="J1358" s="248"/>
      <c r="K1358" s="248"/>
      <c r="L1358" s="248"/>
      <c r="M1358" s="248"/>
      <c r="N1358" s="248"/>
      <c r="P1358" s="248"/>
      <c r="Q1358" s="248"/>
    </row>
    <row r="1359">
      <c r="A1359" s="248"/>
      <c r="B1359" s="248"/>
      <c r="C1359" s="248"/>
      <c r="D1359" s="248"/>
      <c r="E1359" s="248"/>
      <c r="F1359" s="248"/>
      <c r="G1359" s="248"/>
      <c r="I1359" s="248"/>
      <c r="J1359" s="248"/>
      <c r="K1359" s="248"/>
      <c r="L1359" s="248"/>
      <c r="M1359" s="248"/>
      <c r="N1359" s="248"/>
      <c r="P1359" s="248"/>
      <c r="Q1359" s="248"/>
    </row>
    <row r="1360">
      <c r="A1360" s="248"/>
      <c r="B1360" s="248"/>
      <c r="C1360" s="248"/>
      <c r="D1360" s="248"/>
      <c r="E1360" s="248"/>
      <c r="F1360" s="248"/>
      <c r="G1360" s="248"/>
      <c r="I1360" s="248"/>
      <c r="J1360" s="248"/>
      <c r="K1360" s="248"/>
      <c r="L1360" s="248"/>
      <c r="M1360" s="248"/>
      <c r="N1360" s="248"/>
      <c r="P1360" s="248"/>
      <c r="Q1360" s="248"/>
    </row>
    <row r="1361">
      <c r="A1361" s="248"/>
      <c r="B1361" s="248"/>
      <c r="C1361" s="248"/>
      <c r="D1361" s="248"/>
      <c r="E1361" s="248"/>
      <c r="F1361" s="248"/>
      <c r="G1361" s="248"/>
      <c r="I1361" s="248"/>
      <c r="J1361" s="248"/>
      <c r="K1361" s="248"/>
      <c r="L1361" s="248"/>
      <c r="M1361" s="248"/>
      <c r="N1361" s="248"/>
      <c r="P1361" s="248"/>
      <c r="Q1361" s="248"/>
    </row>
    <row r="1362">
      <c r="A1362" s="248"/>
      <c r="B1362" s="248"/>
      <c r="C1362" s="248"/>
      <c r="D1362" s="248"/>
      <c r="E1362" s="248"/>
      <c r="F1362" s="248"/>
      <c r="G1362" s="248"/>
      <c r="I1362" s="248"/>
      <c r="J1362" s="248"/>
      <c r="K1362" s="248"/>
      <c r="L1362" s="248"/>
      <c r="M1362" s="248"/>
      <c r="N1362" s="248"/>
      <c r="P1362" s="248"/>
      <c r="Q1362" s="248"/>
    </row>
    <row r="1363">
      <c r="A1363" s="248"/>
      <c r="B1363" s="248"/>
      <c r="C1363" s="248"/>
      <c r="D1363" s="248"/>
      <c r="E1363" s="248"/>
      <c r="F1363" s="248"/>
      <c r="G1363" s="248"/>
      <c r="I1363" s="248"/>
      <c r="J1363" s="248"/>
      <c r="K1363" s="248"/>
      <c r="L1363" s="248"/>
      <c r="M1363" s="248"/>
      <c r="N1363" s="248"/>
      <c r="P1363" s="248"/>
      <c r="Q1363" s="248"/>
    </row>
    <row r="1364">
      <c r="A1364" s="248"/>
      <c r="B1364" s="248"/>
      <c r="C1364" s="248"/>
      <c r="D1364" s="248"/>
      <c r="E1364" s="248"/>
      <c r="F1364" s="248"/>
      <c r="G1364" s="248"/>
      <c r="I1364" s="248"/>
      <c r="J1364" s="248"/>
      <c r="K1364" s="248"/>
      <c r="L1364" s="248"/>
      <c r="M1364" s="248"/>
      <c r="N1364" s="248"/>
      <c r="P1364" s="248"/>
      <c r="Q1364" s="248"/>
    </row>
    <row r="1365">
      <c r="A1365" s="248"/>
      <c r="B1365" s="248"/>
      <c r="C1365" s="248"/>
      <c r="D1365" s="248"/>
      <c r="E1365" s="248"/>
      <c r="F1365" s="248"/>
      <c r="G1365" s="248"/>
      <c r="I1365" s="248"/>
      <c r="J1365" s="248"/>
      <c r="K1365" s="248"/>
      <c r="L1365" s="248"/>
      <c r="M1365" s="248"/>
      <c r="N1365" s="248"/>
      <c r="P1365" s="248"/>
      <c r="Q1365" s="248"/>
    </row>
    <row r="1366">
      <c r="A1366" s="248"/>
      <c r="B1366" s="248"/>
      <c r="C1366" s="248"/>
      <c r="D1366" s="248"/>
      <c r="E1366" s="248"/>
      <c r="F1366" s="248"/>
      <c r="G1366" s="248"/>
      <c r="I1366" s="248"/>
      <c r="J1366" s="248"/>
      <c r="K1366" s="248"/>
      <c r="L1366" s="248"/>
      <c r="M1366" s="248"/>
      <c r="N1366" s="248"/>
      <c r="P1366" s="248"/>
      <c r="Q1366" s="248"/>
    </row>
    <row r="1367">
      <c r="A1367" s="248"/>
      <c r="B1367" s="248"/>
      <c r="C1367" s="248"/>
      <c r="D1367" s="248"/>
      <c r="E1367" s="248"/>
      <c r="F1367" s="248"/>
      <c r="G1367" s="248"/>
      <c r="I1367" s="248"/>
      <c r="J1367" s="248"/>
      <c r="K1367" s="248"/>
      <c r="L1367" s="248"/>
      <c r="M1367" s="248"/>
      <c r="N1367" s="248"/>
      <c r="P1367" s="248"/>
      <c r="Q1367" s="248"/>
    </row>
    <row r="1368">
      <c r="A1368" s="248"/>
      <c r="B1368" s="248"/>
      <c r="C1368" s="248"/>
      <c r="D1368" s="248"/>
      <c r="E1368" s="248"/>
      <c r="F1368" s="248"/>
      <c r="G1368" s="248"/>
      <c r="I1368" s="248"/>
      <c r="J1368" s="248"/>
      <c r="K1368" s="248"/>
      <c r="L1368" s="248"/>
      <c r="M1368" s="248"/>
      <c r="N1368" s="248"/>
      <c r="P1368" s="248"/>
      <c r="Q1368" s="248"/>
    </row>
    <row r="1369">
      <c r="A1369" s="248"/>
      <c r="B1369" s="248"/>
      <c r="C1369" s="248"/>
      <c r="D1369" s="248"/>
      <c r="E1369" s="248"/>
      <c r="F1369" s="248"/>
      <c r="G1369" s="248"/>
      <c r="I1369" s="248"/>
      <c r="J1369" s="248"/>
      <c r="K1369" s="248"/>
      <c r="L1369" s="248"/>
      <c r="M1369" s="248"/>
      <c r="N1369" s="248"/>
      <c r="P1369" s="248"/>
      <c r="Q1369" s="248"/>
    </row>
    <row r="1370">
      <c r="A1370" s="248"/>
      <c r="B1370" s="248"/>
      <c r="C1370" s="248"/>
      <c r="D1370" s="248"/>
      <c r="E1370" s="248"/>
      <c r="F1370" s="248"/>
      <c r="G1370" s="248"/>
      <c r="I1370" s="248"/>
      <c r="J1370" s="248"/>
      <c r="K1370" s="248"/>
      <c r="L1370" s="248"/>
      <c r="M1370" s="248"/>
      <c r="N1370" s="248"/>
      <c r="P1370" s="248"/>
      <c r="Q1370" s="248"/>
    </row>
    <row r="1371">
      <c r="A1371" s="248"/>
      <c r="B1371" s="248"/>
      <c r="C1371" s="248"/>
      <c r="D1371" s="248"/>
      <c r="E1371" s="248"/>
      <c r="F1371" s="248"/>
      <c r="G1371" s="248"/>
      <c r="I1371" s="248"/>
      <c r="J1371" s="248"/>
      <c r="K1371" s="248"/>
      <c r="L1371" s="248"/>
      <c r="M1371" s="248"/>
      <c r="N1371" s="248"/>
      <c r="P1371" s="248"/>
      <c r="Q1371" s="248"/>
    </row>
    <row r="1372">
      <c r="A1372" s="248"/>
      <c r="B1372" s="248"/>
      <c r="C1372" s="248"/>
      <c r="D1372" s="248"/>
      <c r="E1372" s="248"/>
      <c r="F1372" s="248"/>
      <c r="G1372" s="248"/>
      <c r="I1372" s="248"/>
      <c r="J1372" s="248"/>
      <c r="K1372" s="248"/>
      <c r="L1372" s="248"/>
      <c r="M1372" s="248"/>
      <c r="N1372" s="248"/>
      <c r="P1372" s="248"/>
      <c r="Q1372" s="248"/>
    </row>
    <row r="1373">
      <c r="A1373" s="248"/>
      <c r="B1373" s="248"/>
      <c r="C1373" s="248"/>
      <c r="D1373" s="248"/>
      <c r="E1373" s="248"/>
      <c r="F1373" s="248"/>
      <c r="G1373" s="248"/>
      <c r="I1373" s="248"/>
      <c r="J1373" s="248"/>
      <c r="K1373" s="248"/>
      <c r="L1373" s="248"/>
      <c r="M1373" s="248"/>
      <c r="N1373" s="248"/>
      <c r="P1373" s="248"/>
      <c r="Q1373" s="248"/>
    </row>
    <row r="1374">
      <c r="A1374" s="248"/>
      <c r="B1374" s="248"/>
      <c r="C1374" s="248"/>
      <c r="D1374" s="248"/>
      <c r="E1374" s="248"/>
      <c r="F1374" s="248"/>
      <c r="G1374" s="248"/>
      <c r="I1374" s="248"/>
      <c r="J1374" s="248"/>
      <c r="K1374" s="248"/>
      <c r="L1374" s="248"/>
      <c r="M1374" s="248"/>
      <c r="N1374" s="248"/>
      <c r="P1374" s="248"/>
      <c r="Q1374" s="248"/>
    </row>
    <row r="1375">
      <c r="A1375" s="248"/>
      <c r="B1375" s="248"/>
      <c r="C1375" s="248"/>
      <c r="D1375" s="248"/>
      <c r="E1375" s="248"/>
      <c r="F1375" s="248"/>
      <c r="G1375" s="248"/>
      <c r="I1375" s="248"/>
      <c r="J1375" s="248"/>
      <c r="K1375" s="248"/>
      <c r="L1375" s="248"/>
      <c r="M1375" s="248"/>
      <c r="N1375" s="248"/>
      <c r="P1375" s="248"/>
      <c r="Q1375" s="248"/>
    </row>
    <row r="1376">
      <c r="A1376" s="248"/>
      <c r="B1376" s="248"/>
      <c r="C1376" s="248"/>
      <c r="D1376" s="248"/>
      <c r="E1376" s="248"/>
      <c r="F1376" s="248"/>
      <c r="G1376" s="248"/>
      <c r="I1376" s="248"/>
      <c r="J1376" s="248"/>
      <c r="K1376" s="248"/>
      <c r="L1376" s="248"/>
      <c r="M1376" s="248"/>
      <c r="N1376" s="248"/>
      <c r="P1376" s="248"/>
      <c r="Q1376" s="248"/>
    </row>
    <row r="1377">
      <c r="A1377" s="248"/>
      <c r="B1377" s="248"/>
      <c r="C1377" s="248"/>
      <c r="D1377" s="248"/>
      <c r="E1377" s="248"/>
      <c r="F1377" s="248"/>
      <c r="G1377" s="248"/>
      <c r="I1377" s="248"/>
      <c r="J1377" s="248"/>
      <c r="K1377" s="248"/>
      <c r="L1377" s="248"/>
      <c r="M1377" s="248"/>
      <c r="N1377" s="248"/>
      <c r="P1377" s="248"/>
      <c r="Q1377" s="248"/>
    </row>
    <row r="1378">
      <c r="A1378" s="248"/>
      <c r="B1378" s="248"/>
      <c r="C1378" s="248"/>
      <c r="D1378" s="248"/>
      <c r="E1378" s="248"/>
      <c r="F1378" s="248"/>
      <c r="G1378" s="248"/>
      <c r="I1378" s="248"/>
      <c r="J1378" s="248"/>
      <c r="K1378" s="248"/>
      <c r="L1378" s="248"/>
      <c r="M1378" s="248"/>
      <c r="N1378" s="248"/>
      <c r="P1378" s="248"/>
      <c r="Q1378" s="248"/>
    </row>
    <row r="1379">
      <c r="A1379" s="248"/>
      <c r="B1379" s="248"/>
      <c r="C1379" s="248"/>
      <c r="D1379" s="248"/>
      <c r="E1379" s="248"/>
      <c r="F1379" s="248"/>
      <c r="G1379" s="248"/>
      <c r="I1379" s="248"/>
      <c r="J1379" s="248"/>
      <c r="K1379" s="248"/>
      <c r="L1379" s="248"/>
      <c r="M1379" s="248"/>
      <c r="N1379" s="248"/>
      <c r="P1379" s="248"/>
      <c r="Q1379" s="248"/>
    </row>
    <row r="1380">
      <c r="A1380" s="248"/>
      <c r="B1380" s="248"/>
      <c r="C1380" s="248"/>
      <c r="D1380" s="248"/>
      <c r="E1380" s="248"/>
      <c r="F1380" s="248"/>
      <c r="G1380" s="248"/>
      <c r="I1380" s="248"/>
      <c r="J1380" s="248"/>
      <c r="K1380" s="248"/>
      <c r="L1380" s="248"/>
      <c r="M1380" s="248"/>
      <c r="N1380" s="248"/>
      <c r="P1380" s="248"/>
      <c r="Q1380" s="248"/>
    </row>
    <row r="1381">
      <c r="A1381" s="248"/>
      <c r="B1381" s="248"/>
      <c r="C1381" s="248"/>
      <c r="D1381" s="248"/>
      <c r="E1381" s="248"/>
      <c r="F1381" s="248"/>
      <c r="G1381" s="248"/>
      <c r="I1381" s="248"/>
      <c r="J1381" s="248"/>
      <c r="K1381" s="248"/>
      <c r="L1381" s="248"/>
      <c r="M1381" s="248"/>
      <c r="N1381" s="248"/>
      <c r="P1381" s="248"/>
      <c r="Q1381" s="248"/>
    </row>
    <row r="1382">
      <c r="A1382" s="248"/>
      <c r="B1382" s="248"/>
      <c r="C1382" s="248"/>
      <c r="D1382" s="248"/>
      <c r="E1382" s="248"/>
      <c r="F1382" s="248"/>
      <c r="G1382" s="248"/>
      <c r="I1382" s="248"/>
      <c r="J1382" s="248"/>
      <c r="K1382" s="248"/>
      <c r="L1382" s="248"/>
      <c r="M1382" s="248"/>
      <c r="N1382" s="248"/>
      <c r="P1382" s="248"/>
      <c r="Q1382" s="248"/>
    </row>
    <row r="1383">
      <c r="A1383" s="248"/>
      <c r="B1383" s="248"/>
      <c r="C1383" s="248"/>
      <c r="D1383" s="248"/>
      <c r="E1383" s="248"/>
      <c r="F1383" s="248"/>
      <c r="G1383" s="248"/>
      <c r="I1383" s="248"/>
      <c r="J1383" s="248"/>
      <c r="K1383" s="248"/>
      <c r="L1383" s="248"/>
      <c r="M1383" s="248"/>
      <c r="N1383" s="248"/>
      <c r="P1383" s="248"/>
      <c r="Q1383" s="248"/>
    </row>
    <row r="1384">
      <c r="A1384" s="248"/>
      <c r="B1384" s="248"/>
      <c r="C1384" s="248"/>
      <c r="D1384" s="248"/>
      <c r="E1384" s="248"/>
      <c r="F1384" s="248"/>
      <c r="G1384" s="248"/>
      <c r="I1384" s="248"/>
      <c r="J1384" s="248"/>
      <c r="K1384" s="248"/>
      <c r="L1384" s="248"/>
      <c r="M1384" s="248"/>
      <c r="N1384" s="248"/>
      <c r="P1384" s="248"/>
      <c r="Q1384" s="248"/>
    </row>
    <row r="1385">
      <c r="A1385" s="248"/>
      <c r="B1385" s="248"/>
      <c r="C1385" s="248"/>
      <c r="D1385" s="248"/>
      <c r="E1385" s="248"/>
      <c r="F1385" s="248"/>
      <c r="G1385" s="248"/>
      <c r="I1385" s="248"/>
      <c r="J1385" s="248"/>
      <c r="K1385" s="248"/>
      <c r="L1385" s="248"/>
      <c r="M1385" s="248"/>
      <c r="N1385" s="248"/>
      <c r="P1385" s="248"/>
      <c r="Q1385" s="248"/>
    </row>
    <row r="1386">
      <c r="A1386" s="248"/>
      <c r="B1386" s="248"/>
      <c r="C1386" s="248"/>
      <c r="D1386" s="248"/>
      <c r="E1386" s="248"/>
      <c r="F1386" s="248"/>
      <c r="G1386" s="248"/>
      <c r="I1386" s="248"/>
      <c r="J1386" s="248"/>
      <c r="K1386" s="248"/>
      <c r="L1386" s="248"/>
      <c r="M1386" s="248"/>
      <c r="N1386" s="248"/>
      <c r="P1386" s="248"/>
      <c r="Q1386" s="248"/>
    </row>
    <row r="1387">
      <c r="A1387" s="248"/>
      <c r="B1387" s="248"/>
      <c r="C1387" s="248"/>
      <c r="D1387" s="248"/>
      <c r="E1387" s="248"/>
      <c r="F1387" s="248"/>
      <c r="G1387" s="248"/>
      <c r="I1387" s="248"/>
      <c r="J1387" s="248"/>
      <c r="K1387" s="248"/>
      <c r="L1387" s="248"/>
      <c r="M1387" s="248"/>
      <c r="N1387" s="248"/>
      <c r="P1387" s="248"/>
      <c r="Q1387" s="248"/>
    </row>
    <row r="1388">
      <c r="A1388" s="248"/>
      <c r="B1388" s="248"/>
      <c r="C1388" s="248"/>
      <c r="D1388" s="248"/>
      <c r="E1388" s="248"/>
      <c r="F1388" s="248"/>
      <c r="G1388" s="248"/>
      <c r="I1388" s="248"/>
      <c r="J1388" s="248"/>
      <c r="K1388" s="248"/>
      <c r="L1388" s="248"/>
      <c r="M1388" s="248"/>
      <c r="N1388" s="248"/>
      <c r="P1388" s="248"/>
      <c r="Q1388" s="248"/>
    </row>
    <row r="1389">
      <c r="A1389" s="248"/>
      <c r="B1389" s="248"/>
      <c r="C1389" s="248"/>
      <c r="D1389" s="248"/>
      <c r="E1389" s="248"/>
      <c r="F1389" s="248"/>
      <c r="G1389" s="248"/>
      <c r="I1389" s="248"/>
      <c r="J1389" s="248"/>
      <c r="K1389" s="248"/>
      <c r="L1389" s="248"/>
      <c r="M1389" s="248"/>
      <c r="N1389" s="248"/>
      <c r="P1389" s="248"/>
      <c r="Q1389" s="248"/>
    </row>
    <row r="1390">
      <c r="A1390" s="248"/>
      <c r="B1390" s="248"/>
      <c r="C1390" s="248"/>
      <c r="D1390" s="248"/>
      <c r="E1390" s="248"/>
      <c r="F1390" s="248"/>
      <c r="G1390" s="248"/>
      <c r="I1390" s="248"/>
      <c r="J1390" s="248"/>
      <c r="K1390" s="248"/>
      <c r="L1390" s="248"/>
      <c r="M1390" s="248"/>
      <c r="N1390" s="248"/>
      <c r="P1390" s="248"/>
      <c r="Q1390" s="248"/>
    </row>
    <row r="1391">
      <c r="A1391" s="248"/>
      <c r="B1391" s="248"/>
      <c r="C1391" s="248"/>
      <c r="D1391" s="248"/>
      <c r="E1391" s="248"/>
      <c r="F1391" s="248"/>
      <c r="G1391" s="248"/>
      <c r="I1391" s="248"/>
      <c r="J1391" s="248"/>
      <c r="K1391" s="248"/>
      <c r="L1391" s="248"/>
      <c r="M1391" s="248"/>
      <c r="N1391" s="248"/>
      <c r="P1391" s="248"/>
      <c r="Q1391" s="248"/>
    </row>
    <row r="1392">
      <c r="A1392" s="248"/>
      <c r="B1392" s="248"/>
      <c r="C1392" s="248"/>
      <c r="D1392" s="248"/>
      <c r="E1392" s="248"/>
      <c r="F1392" s="248"/>
      <c r="G1392" s="248"/>
      <c r="I1392" s="248"/>
      <c r="J1392" s="248"/>
      <c r="K1392" s="248"/>
      <c r="L1392" s="248"/>
      <c r="M1392" s="248"/>
      <c r="N1392" s="248"/>
      <c r="P1392" s="248"/>
      <c r="Q1392" s="248"/>
    </row>
    <row r="1393">
      <c r="A1393" s="248"/>
      <c r="B1393" s="248"/>
      <c r="C1393" s="248"/>
      <c r="D1393" s="248"/>
      <c r="E1393" s="248"/>
      <c r="F1393" s="248"/>
      <c r="G1393" s="248"/>
      <c r="I1393" s="248"/>
      <c r="J1393" s="248"/>
      <c r="K1393" s="248"/>
      <c r="L1393" s="248"/>
      <c r="M1393" s="248"/>
      <c r="N1393" s="248"/>
      <c r="P1393" s="248"/>
      <c r="Q1393" s="248"/>
    </row>
    <row r="1394">
      <c r="A1394" s="248"/>
      <c r="B1394" s="248"/>
      <c r="C1394" s="248"/>
      <c r="D1394" s="248"/>
      <c r="E1394" s="248"/>
      <c r="F1394" s="248"/>
      <c r="G1394" s="248"/>
      <c r="I1394" s="248"/>
      <c r="J1394" s="248"/>
      <c r="K1394" s="248"/>
      <c r="L1394" s="248"/>
      <c r="M1394" s="248"/>
      <c r="N1394" s="248"/>
      <c r="P1394" s="248"/>
      <c r="Q1394" s="248"/>
    </row>
    <row r="1395">
      <c r="A1395" s="248"/>
      <c r="B1395" s="248"/>
      <c r="C1395" s="248"/>
      <c r="D1395" s="248"/>
      <c r="E1395" s="248"/>
      <c r="F1395" s="248"/>
      <c r="G1395" s="248"/>
      <c r="I1395" s="248"/>
      <c r="J1395" s="248"/>
      <c r="K1395" s="248"/>
      <c r="L1395" s="248"/>
      <c r="M1395" s="248"/>
      <c r="N1395" s="248"/>
      <c r="P1395" s="248"/>
      <c r="Q1395" s="248"/>
    </row>
    <row r="1396">
      <c r="A1396" s="248"/>
      <c r="B1396" s="248"/>
      <c r="C1396" s="248"/>
      <c r="D1396" s="248"/>
      <c r="E1396" s="248"/>
      <c r="F1396" s="248"/>
      <c r="G1396" s="248"/>
      <c r="I1396" s="248"/>
      <c r="J1396" s="248"/>
      <c r="K1396" s="248"/>
      <c r="L1396" s="248"/>
      <c r="M1396" s="248"/>
      <c r="N1396" s="248"/>
      <c r="P1396" s="248"/>
      <c r="Q1396" s="248"/>
    </row>
    <row r="1397">
      <c r="A1397" s="248"/>
      <c r="B1397" s="248"/>
      <c r="C1397" s="248"/>
      <c r="D1397" s="248"/>
      <c r="E1397" s="248"/>
      <c r="F1397" s="248"/>
      <c r="G1397" s="248"/>
      <c r="I1397" s="248"/>
      <c r="J1397" s="248"/>
      <c r="K1397" s="248"/>
      <c r="L1397" s="248"/>
      <c r="M1397" s="248"/>
      <c r="N1397" s="248"/>
      <c r="P1397" s="248"/>
      <c r="Q1397" s="248"/>
    </row>
    <row r="1398">
      <c r="A1398" s="248"/>
      <c r="B1398" s="248"/>
      <c r="C1398" s="248"/>
      <c r="D1398" s="248"/>
      <c r="E1398" s="248"/>
      <c r="F1398" s="248"/>
      <c r="G1398" s="248"/>
      <c r="I1398" s="248"/>
      <c r="J1398" s="248"/>
      <c r="K1398" s="248"/>
      <c r="L1398" s="248"/>
      <c r="M1398" s="248"/>
      <c r="N1398" s="248"/>
      <c r="P1398" s="248"/>
      <c r="Q1398" s="248"/>
    </row>
    <row r="1399">
      <c r="A1399" s="248"/>
      <c r="B1399" s="248"/>
      <c r="C1399" s="248"/>
      <c r="D1399" s="248"/>
      <c r="E1399" s="248"/>
      <c r="F1399" s="248"/>
      <c r="G1399" s="248"/>
      <c r="I1399" s="248"/>
      <c r="J1399" s="248"/>
      <c r="K1399" s="248"/>
      <c r="L1399" s="248"/>
      <c r="M1399" s="248"/>
      <c r="N1399" s="248"/>
      <c r="P1399" s="248"/>
      <c r="Q1399" s="248"/>
    </row>
    <row r="1400">
      <c r="A1400" s="248"/>
      <c r="B1400" s="248"/>
      <c r="C1400" s="248"/>
      <c r="D1400" s="248"/>
      <c r="E1400" s="248"/>
      <c r="F1400" s="248"/>
      <c r="G1400" s="248"/>
      <c r="I1400" s="248"/>
      <c r="J1400" s="248"/>
      <c r="K1400" s="248"/>
      <c r="L1400" s="248"/>
      <c r="M1400" s="248"/>
      <c r="N1400" s="248"/>
      <c r="P1400" s="248"/>
      <c r="Q1400" s="248"/>
    </row>
    <row r="1401">
      <c r="A1401" s="248"/>
      <c r="B1401" s="248"/>
      <c r="C1401" s="248"/>
      <c r="D1401" s="248"/>
      <c r="E1401" s="248"/>
      <c r="F1401" s="248"/>
      <c r="G1401" s="248"/>
      <c r="I1401" s="248"/>
      <c r="J1401" s="248"/>
      <c r="K1401" s="248"/>
      <c r="L1401" s="248"/>
      <c r="M1401" s="248"/>
      <c r="N1401" s="248"/>
      <c r="P1401" s="248"/>
      <c r="Q1401" s="248"/>
    </row>
    <row r="1402">
      <c r="A1402" s="248"/>
      <c r="B1402" s="248"/>
      <c r="C1402" s="248"/>
      <c r="D1402" s="248"/>
      <c r="E1402" s="248"/>
      <c r="F1402" s="248"/>
      <c r="G1402" s="248"/>
      <c r="I1402" s="248"/>
      <c r="J1402" s="248"/>
      <c r="K1402" s="248"/>
      <c r="L1402" s="248"/>
      <c r="M1402" s="248"/>
      <c r="N1402" s="248"/>
      <c r="P1402" s="248"/>
      <c r="Q1402" s="248"/>
    </row>
    <row r="1403">
      <c r="A1403" s="248"/>
      <c r="B1403" s="248"/>
      <c r="C1403" s="248"/>
      <c r="D1403" s="248"/>
      <c r="E1403" s="248"/>
      <c r="F1403" s="248"/>
      <c r="G1403" s="248"/>
      <c r="I1403" s="248"/>
      <c r="J1403" s="248"/>
      <c r="K1403" s="248"/>
      <c r="L1403" s="248"/>
      <c r="M1403" s="248"/>
      <c r="N1403" s="248"/>
      <c r="P1403" s="248"/>
      <c r="Q1403" s="248"/>
    </row>
    <row r="1404">
      <c r="A1404" s="248"/>
      <c r="B1404" s="248"/>
      <c r="C1404" s="248"/>
      <c r="D1404" s="248"/>
      <c r="E1404" s="248"/>
      <c r="F1404" s="248"/>
      <c r="G1404" s="248"/>
      <c r="I1404" s="248"/>
      <c r="J1404" s="248"/>
      <c r="K1404" s="248"/>
      <c r="L1404" s="248"/>
      <c r="M1404" s="248"/>
      <c r="N1404" s="248"/>
      <c r="P1404" s="248"/>
      <c r="Q1404" s="248"/>
    </row>
    <row r="1405">
      <c r="A1405" s="248"/>
      <c r="B1405" s="248"/>
      <c r="C1405" s="248"/>
      <c r="D1405" s="248"/>
      <c r="E1405" s="248"/>
      <c r="F1405" s="248"/>
      <c r="G1405" s="248"/>
      <c r="I1405" s="248"/>
      <c r="J1405" s="248"/>
      <c r="K1405" s="248"/>
      <c r="L1405" s="248"/>
      <c r="M1405" s="248"/>
      <c r="N1405" s="248"/>
      <c r="P1405" s="248"/>
      <c r="Q1405" s="248"/>
    </row>
    <row r="1406">
      <c r="A1406" s="248"/>
      <c r="B1406" s="248"/>
      <c r="C1406" s="248"/>
      <c r="D1406" s="248"/>
      <c r="E1406" s="248"/>
      <c r="F1406" s="248"/>
      <c r="G1406" s="248"/>
      <c r="I1406" s="248"/>
      <c r="J1406" s="248"/>
      <c r="K1406" s="248"/>
      <c r="L1406" s="248"/>
      <c r="M1406" s="248"/>
      <c r="N1406" s="248"/>
      <c r="P1406" s="248"/>
      <c r="Q1406" s="248"/>
    </row>
    <row r="1407">
      <c r="A1407" s="248"/>
      <c r="B1407" s="248"/>
      <c r="C1407" s="248"/>
      <c r="D1407" s="248"/>
      <c r="E1407" s="248"/>
      <c r="F1407" s="248"/>
      <c r="G1407" s="248"/>
      <c r="I1407" s="248"/>
      <c r="J1407" s="248"/>
      <c r="K1407" s="248"/>
      <c r="L1407" s="248"/>
      <c r="M1407" s="248"/>
      <c r="N1407" s="248"/>
      <c r="P1407" s="248"/>
      <c r="Q1407" s="248"/>
    </row>
    <row r="1408">
      <c r="A1408" s="248"/>
      <c r="B1408" s="248"/>
      <c r="C1408" s="248"/>
      <c r="D1408" s="248"/>
      <c r="E1408" s="248"/>
      <c r="F1408" s="248"/>
      <c r="G1408" s="248"/>
      <c r="I1408" s="248"/>
      <c r="J1408" s="248"/>
      <c r="K1408" s="248"/>
      <c r="L1408" s="248"/>
      <c r="M1408" s="248"/>
      <c r="N1408" s="248"/>
      <c r="P1408" s="248"/>
      <c r="Q1408" s="248"/>
    </row>
    <row r="1409">
      <c r="A1409" s="248"/>
      <c r="B1409" s="248"/>
      <c r="C1409" s="248"/>
      <c r="D1409" s="248"/>
      <c r="E1409" s="248"/>
      <c r="F1409" s="248"/>
      <c r="G1409" s="248"/>
      <c r="I1409" s="248"/>
      <c r="J1409" s="248"/>
      <c r="K1409" s="248"/>
      <c r="L1409" s="248"/>
      <c r="M1409" s="248"/>
      <c r="N1409" s="248"/>
      <c r="P1409" s="248"/>
      <c r="Q1409" s="248"/>
    </row>
    <row r="1410">
      <c r="A1410" s="248"/>
      <c r="B1410" s="248"/>
      <c r="C1410" s="248"/>
      <c r="D1410" s="248"/>
      <c r="E1410" s="248"/>
      <c r="F1410" s="248"/>
      <c r="G1410" s="248"/>
      <c r="I1410" s="248"/>
      <c r="J1410" s="248"/>
      <c r="K1410" s="248"/>
      <c r="L1410" s="248"/>
      <c r="M1410" s="248"/>
      <c r="N1410" s="248"/>
      <c r="P1410" s="248"/>
      <c r="Q1410" s="248"/>
    </row>
    <row r="1411">
      <c r="A1411" s="248"/>
      <c r="B1411" s="248"/>
      <c r="C1411" s="248"/>
      <c r="D1411" s="248"/>
      <c r="E1411" s="248"/>
      <c r="F1411" s="248"/>
      <c r="G1411" s="248"/>
      <c r="I1411" s="248"/>
      <c r="J1411" s="248"/>
      <c r="K1411" s="248"/>
      <c r="L1411" s="248"/>
      <c r="M1411" s="248"/>
      <c r="N1411" s="248"/>
      <c r="P1411" s="248"/>
      <c r="Q1411" s="248"/>
    </row>
    <row r="1412">
      <c r="A1412" s="248"/>
      <c r="B1412" s="248"/>
      <c r="C1412" s="248"/>
      <c r="D1412" s="248"/>
      <c r="E1412" s="248"/>
      <c r="F1412" s="248"/>
      <c r="G1412" s="248"/>
      <c r="I1412" s="248"/>
      <c r="J1412" s="248"/>
      <c r="K1412" s="248"/>
      <c r="L1412" s="248"/>
      <c r="M1412" s="248"/>
      <c r="N1412" s="248"/>
      <c r="P1412" s="248"/>
      <c r="Q1412" s="248"/>
    </row>
    <row r="1413">
      <c r="A1413" s="248"/>
      <c r="B1413" s="248"/>
      <c r="C1413" s="248"/>
      <c r="D1413" s="248"/>
      <c r="E1413" s="248"/>
      <c r="F1413" s="248"/>
      <c r="G1413" s="248"/>
      <c r="I1413" s="248"/>
      <c r="J1413" s="248"/>
      <c r="K1413" s="248"/>
      <c r="L1413" s="248"/>
      <c r="M1413" s="248"/>
      <c r="N1413" s="248"/>
      <c r="P1413" s="248"/>
      <c r="Q1413" s="248"/>
    </row>
    <row r="1414">
      <c r="A1414" s="248"/>
      <c r="B1414" s="248"/>
      <c r="C1414" s="248"/>
      <c r="D1414" s="248"/>
      <c r="E1414" s="248"/>
      <c r="F1414" s="248"/>
      <c r="G1414" s="248"/>
      <c r="I1414" s="248"/>
      <c r="J1414" s="248"/>
      <c r="K1414" s="248"/>
      <c r="L1414" s="248"/>
      <c r="M1414" s="248"/>
      <c r="N1414" s="248"/>
      <c r="P1414" s="248"/>
      <c r="Q1414" s="248"/>
    </row>
    <row r="1415">
      <c r="A1415" s="248"/>
      <c r="B1415" s="248"/>
      <c r="C1415" s="248"/>
      <c r="D1415" s="248"/>
      <c r="E1415" s="248"/>
      <c r="F1415" s="248"/>
      <c r="G1415" s="248"/>
      <c r="I1415" s="248"/>
      <c r="J1415" s="248"/>
      <c r="K1415" s="248"/>
      <c r="L1415" s="248"/>
      <c r="M1415" s="248"/>
      <c r="N1415" s="248"/>
      <c r="P1415" s="248"/>
      <c r="Q1415" s="248"/>
    </row>
    <row r="1416">
      <c r="A1416" s="248"/>
      <c r="B1416" s="248"/>
      <c r="C1416" s="248"/>
      <c r="D1416" s="248"/>
      <c r="E1416" s="248"/>
      <c r="F1416" s="248"/>
      <c r="G1416" s="248"/>
      <c r="I1416" s="248"/>
      <c r="J1416" s="248"/>
      <c r="K1416" s="248"/>
      <c r="L1416" s="248"/>
      <c r="M1416" s="248"/>
      <c r="N1416" s="248"/>
      <c r="P1416" s="248"/>
      <c r="Q1416" s="248"/>
    </row>
    <row r="1417">
      <c r="A1417" s="248"/>
      <c r="B1417" s="248"/>
      <c r="C1417" s="248"/>
      <c r="D1417" s="248"/>
      <c r="E1417" s="248"/>
      <c r="F1417" s="248"/>
      <c r="G1417" s="248"/>
      <c r="I1417" s="248"/>
      <c r="J1417" s="248"/>
      <c r="K1417" s="248"/>
      <c r="L1417" s="248"/>
      <c r="M1417" s="248"/>
      <c r="N1417" s="248"/>
      <c r="P1417" s="248"/>
      <c r="Q1417" s="248"/>
    </row>
    <row r="1418">
      <c r="A1418" s="248"/>
      <c r="B1418" s="248"/>
      <c r="C1418" s="248"/>
      <c r="D1418" s="248"/>
      <c r="E1418" s="248"/>
      <c r="F1418" s="248"/>
      <c r="G1418" s="248"/>
      <c r="I1418" s="248"/>
      <c r="J1418" s="248"/>
      <c r="K1418" s="248"/>
      <c r="L1418" s="248"/>
      <c r="M1418" s="248"/>
      <c r="N1418" s="248"/>
      <c r="P1418" s="248"/>
      <c r="Q1418" s="248"/>
    </row>
    <row r="1419">
      <c r="A1419" s="248"/>
      <c r="B1419" s="248"/>
      <c r="C1419" s="248"/>
      <c r="D1419" s="248"/>
      <c r="E1419" s="248"/>
      <c r="F1419" s="248"/>
      <c r="G1419" s="248"/>
      <c r="I1419" s="248"/>
      <c r="J1419" s="248"/>
      <c r="K1419" s="248"/>
      <c r="L1419" s="248"/>
      <c r="M1419" s="248"/>
      <c r="N1419" s="248"/>
      <c r="P1419" s="248"/>
      <c r="Q1419" s="248"/>
    </row>
    <row r="1420">
      <c r="A1420" s="248"/>
      <c r="B1420" s="248"/>
      <c r="C1420" s="248"/>
      <c r="D1420" s="248"/>
      <c r="E1420" s="248"/>
      <c r="F1420" s="248"/>
      <c r="G1420" s="248"/>
      <c r="I1420" s="248"/>
      <c r="J1420" s="248"/>
      <c r="K1420" s="248"/>
      <c r="L1420" s="248"/>
      <c r="M1420" s="248"/>
      <c r="N1420" s="248"/>
      <c r="P1420" s="248"/>
      <c r="Q1420" s="248"/>
    </row>
    <row r="1421">
      <c r="A1421" s="248"/>
      <c r="B1421" s="248"/>
      <c r="C1421" s="248"/>
      <c r="D1421" s="248"/>
      <c r="E1421" s="248"/>
      <c r="F1421" s="248"/>
      <c r="G1421" s="248"/>
      <c r="I1421" s="248"/>
      <c r="J1421" s="248"/>
      <c r="K1421" s="248"/>
      <c r="L1421" s="248"/>
      <c r="M1421" s="248"/>
      <c r="N1421" s="248"/>
      <c r="P1421" s="248"/>
      <c r="Q1421" s="248"/>
    </row>
    <row r="1422">
      <c r="A1422" s="248"/>
      <c r="B1422" s="248"/>
      <c r="C1422" s="248"/>
      <c r="D1422" s="248"/>
      <c r="E1422" s="248"/>
      <c r="F1422" s="248"/>
      <c r="G1422" s="248"/>
      <c r="I1422" s="248"/>
      <c r="J1422" s="248"/>
      <c r="K1422" s="248"/>
      <c r="L1422" s="248"/>
      <c r="M1422" s="248"/>
      <c r="N1422" s="248"/>
      <c r="P1422" s="248"/>
      <c r="Q1422" s="248"/>
    </row>
    <row r="1423">
      <c r="A1423" s="248"/>
      <c r="B1423" s="248"/>
      <c r="C1423" s="248"/>
      <c r="D1423" s="248"/>
      <c r="E1423" s="248"/>
      <c r="F1423" s="248"/>
      <c r="G1423" s="248"/>
      <c r="I1423" s="248"/>
      <c r="J1423" s="248"/>
      <c r="K1423" s="248"/>
      <c r="L1423" s="248"/>
      <c r="M1423" s="248"/>
      <c r="N1423" s="248"/>
      <c r="P1423" s="248"/>
      <c r="Q1423" s="248"/>
    </row>
    <row r="1424">
      <c r="A1424" s="248"/>
      <c r="B1424" s="248"/>
      <c r="C1424" s="248"/>
      <c r="D1424" s="248"/>
      <c r="E1424" s="248"/>
      <c r="F1424" s="248"/>
      <c r="G1424" s="248"/>
      <c r="I1424" s="248"/>
      <c r="J1424" s="248"/>
      <c r="K1424" s="248"/>
      <c r="L1424" s="248"/>
      <c r="M1424" s="248"/>
      <c r="N1424" s="248"/>
      <c r="P1424" s="248"/>
      <c r="Q1424" s="248"/>
    </row>
    <row r="1425">
      <c r="A1425" s="248"/>
      <c r="B1425" s="248"/>
      <c r="C1425" s="248"/>
      <c r="D1425" s="248"/>
      <c r="E1425" s="248"/>
      <c r="F1425" s="248"/>
      <c r="G1425" s="248"/>
      <c r="I1425" s="248"/>
      <c r="J1425" s="248"/>
      <c r="K1425" s="248"/>
      <c r="L1425" s="248"/>
      <c r="M1425" s="248"/>
      <c r="N1425" s="248"/>
      <c r="P1425" s="248"/>
      <c r="Q1425" s="248"/>
    </row>
    <row r="1426">
      <c r="A1426" s="248"/>
      <c r="B1426" s="248"/>
      <c r="C1426" s="248"/>
      <c r="D1426" s="248"/>
      <c r="E1426" s="248"/>
      <c r="F1426" s="248"/>
      <c r="G1426" s="248"/>
      <c r="I1426" s="248"/>
      <c r="J1426" s="248"/>
      <c r="K1426" s="248"/>
      <c r="L1426" s="248"/>
      <c r="M1426" s="248"/>
      <c r="N1426" s="248"/>
      <c r="P1426" s="248"/>
      <c r="Q1426" s="248"/>
    </row>
    <row r="1427">
      <c r="A1427" s="248"/>
      <c r="B1427" s="248"/>
      <c r="C1427" s="248"/>
      <c r="D1427" s="248"/>
      <c r="E1427" s="248"/>
      <c r="F1427" s="248"/>
      <c r="G1427" s="248"/>
      <c r="I1427" s="248"/>
      <c r="J1427" s="248"/>
      <c r="K1427" s="248"/>
      <c r="L1427" s="248"/>
      <c r="M1427" s="248"/>
      <c r="N1427" s="248"/>
      <c r="P1427" s="248"/>
      <c r="Q1427" s="248"/>
    </row>
    <row r="1428">
      <c r="A1428" s="248"/>
      <c r="B1428" s="248"/>
      <c r="C1428" s="248"/>
      <c r="D1428" s="248"/>
      <c r="E1428" s="248"/>
      <c r="F1428" s="248"/>
      <c r="G1428" s="248"/>
      <c r="I1428" s="248"/>
      <c r="J1428" s="248"/>
      <c r="K1428" s="248"/>
      <c r="L1428" s="248"/>
      <c r="M1428" s="248"/>
      <c r="N1428" s="248"/>
      <c r="P1428" s="248"/>
      <c r="Q1428" s="248"/>
    </row>
    <row r="1429">
      <c r="A1429" s="248"/>
      <c r="B1429" s="248"/>
      <c r="C1429" s="248"/>
      <c r="D1429" s="248"/>
      <c r="E1429" s="248"/>
      <c r="F1429" s="248"/>
      <c r="G1429" s="248"/>
      <c r="I1429" s="248"/>
      <c r="J1429" s="248"/>
      <c r="K1429" s="248"/>
      <c r="L1429" s="248"/>
      <c r="M1429" s="248"/>
      <c r="N1429" s="248"/>
      <c r="P1429" s="248"/>
      <c r="Q1429" s="248"/>
    </row>
    <row r="1430">
      <c r="A1430" s="248"/>
      <c r="B1430" s="248"/>
      <c r="C1430" s="248"/>
      <c r="D1430" s="248"/>
      <c r="E1430" s="248"/>
      <c r="F1430" s="248"/>
      <c r="G1430" s="248"/>
      <c r="I1430" s="248"/>
      <c r="J1430" s="248"/>
      <c r="K1430" s="248"/>
      <c r="L1430" s="248"/>
      <c r="M1430" s="248"/>
      <c r="N1430" s="248"/>
      <c r="P1430" s="248"/>
      <c r="Q1430" s="248"/>
    </row>
    <row r="1431">
      <c r="A1431" s="248"/>
      <c r="B1431" s="248"/>
      <c r="C1431" s="248"/>
      <c r="D1431" s="248"/>
      <c r="E1431" s="248"/>
      <c r="F1431" s="248"/>
      <c r="G1431" s="248"/>
      <c r="I1431" s="248"/>
      <c r="J1431" s="248"/>
      <c r="K1431" s="248"/>
      <c r="L1431" s="248"/>
      <c r="M1431" s="248"/>
      <c r="N1431" s="248"/>
      <c r="P1431" s="248"/>
      <c r="Q1431" s="248"/>
    </row>
    <row r="1432">
      <c r="A1432" s="248"/>
      <c r="B1432" s="248"/>
      <c r="C1432" s="248"/>
      <c r="D1432" s="248"/>
      <c r="E1432" s="248"/>
      <c r="F1432" s="248"/>
      <c r="G1432" s="248"/>
      <c r="I1432" s="248"/>
      <c r="J1432" s="248"/>
      <c r="K1432" s="248"/>
      <c r="L1432" s="248"/>
      <c r="M1432" s="248"/>
      <c r="N1432" s="248"/>
      <c r="P1432" s="248"/>
      <c r="Q1432" s="248"/>
    </row>
    <row r="1433">
      <c r="A1433" s="248"/>
      <c r="B1433" s="248"/>
      <c r="C1433" s="248"/>
      <c r="D1433" s="248"/>
      <c r="E1433" s="248"/>
      <c r="F1433" s="248"/>
      <c r="G1433" s="248"/>
      <c r="I1433" s="248"/>
      <c r="J1433" s="248"/>
      <c r="K1433" s="248"/>
      <c r="L1433" s="248"/>
      <c r="M1433" s="248"/>
      <c r="N1433" s="248"/>
      <c r="P1433" s="248"/>
      <c r="Q1433" s="248"/>
    </row>
    <row r="1434">
      <c r="A1434" s="248"/>
      <c r="B1434" s="248"/>
      <c r="C1434" s="248"/>
      <c r="D1434" s="248"/>
      <c r="E1434" s="248"/>
      <c r="F1434" s="248"/>
      <c r="G1434" s="248"/>
      <c r="I1434" s="248"/>
      <c r="J1434" s="248"/>
      <c r="K1434" s="248"/>
      <c r="L1434" s="248"/>
      <c r="M1434" s="248"/>
      <c r="N1434" s="248"/>
      <c r="P1434" s="248"/>
      <c r="Q1434" s="248"/>
    </row>
    <row r="1435">
      <c r="A1435" s="248"/>
      <c r="B1435" s="248"/>
      <c r="C1435" s="248"/>
      <c r="D1435" s="248"/>
      <c r="E1435" s="248"/>
      <c r="F1435" s="248"/>
      <c r="G1435" s="248"/>
      <c r="I1435" s="248"/>
      <c r="J1435" s="248"/>
      <c r="K1435" s="248"/>
      <c r="L1435" s="248"/>
      <c r="M1435" s="248"/>
      <c r="N1435" s="248"/>
      <c r="P1435" s="248"/>
      <c r="Q1435" s="248"/>
    </row>
    <row r="1436">
      <c r="A1436" s="248"/>
      <c r="B1436" s="248"/>
      <c r="C1436" s="248"/>
      <c r="D1436" s="248"/>
      <c r="E1436" s="248"/>
      <c r="F1436" s="248"/>
      <c r="G1436" s="248"/>
      <c r="I1436" s="248"/>
      <c r="J1436" s="248"/>
      <c r="K1436" s="248"/>
      <c r="L1436" s="248"/>
      <c r="M1436" s="248"/>
      <c r="N1436" s="248"/>
      <c r="P1436" s="248"/>
      <c r="Q1436" s="248"/>
    </row>
    <row r="1437">
      <c r="A1437" s="248"/>
      <c r="B1437" s="248"/>
      <c r="C1437" s="248"/>
      <c r="D1437" s="248"/>
      <c r="E1437" s="248"/>
      <c r="F1437" s="248"/>
      <c r="G1437" s="248"/>
      <c r="I1437" s="248"/>
      <c r="J1437" s="248"/>
      <c r="K1437" s="248"/>
      <c r="L1437" s="248"/>
      <c r="M1437" s="248"/>
      <c r="N1437" s="248"/>
      <c r="P1437" s="248"/>
      <c r="Q1437" s="248"/>
    </row>
    <row r="1438">
      <c r="A1438" s="248"/>
      <c r="B1438" s="248"/>
      <c r="C1438" s="248"/>
      <c r="D1438" s="248"/>
      <c r="E1438" s="248"/>
      <c r="F1438" s="248"/>
      <c r="G1438" s="248"/>
      <c r="I1438" s="248"/>
      <c r="J1438" s="248"/>
      <c r="K1438" s="248"/>
      <c r="L1438" s="248"/>
      <c r="M1438" s="248"/>
      <c r="N1438" s="248"/>
      <c r="P1438" s="248"/>
      <c r="Q1438" s="248"/>
    </row>
    <row r="1439">
      <c r="A1439" s="248"/>
      <c r="B1439" s="248"/>
      <c r="C1439" s="248"/>
      <c r="D1439" s="248"/>
      <c r="E1439" s="248"/>
      <c r="F1439" s="248"/>
      <c r="G1439" s="248"/>
      <c r="I1439" s="248"/>
      <c r="J1439" s="248"/>
      <c r="K1439" s="248"/>
      <c r="L1439" s="248"/>
      <c r="M1439" s="248"/>
      <c r="N1439" s="248"/>
      <c r="P1439" s="248"/>
      <c r="Q1439" s="248"/>
    </row>
    <row r="1440">
      <c r="A1440" s="248"/>
      <c r="B1440" s="248"/>
      <c r="C1440" s="248"/>
      <c r="D1440" s="248"/>
      <c r="E1440" s="248"/>
      <c r="F1440" s="248"/>
      <c r="G1440" s="248"/>
      <c r="I1440" s="248"/>
      <c r="J1440" s="248"/>
      <c r="K1440" s="248"/>
      <c r="L1440" s="248"/>
      <c r="M1440" s="248"/>
      <c r="N1440" s="248"/>
      <c r="P1440" s="248"/>
      <c r="Q1440" s="248"/>
    </row>
    <row r="1441">
      <c r="A1441" s="248"/>
      <c r="B1441" s="248"/>
      <c r="C1441" s="248"/>
      <c r="D1441" s="248"/>
      <c r="E1441" s="248"/>
      <c r="F1441" s="248"/>
      <c r="G1441" s="248"/>
      <c r="I1441" s="248"/>
      <c r="J1441" s="248"/>
      <c r="K1441" s="248"/>
      <c r="L1441" s="248"/>
      <c r="M1441" s="248"/>
      <c r="N1441" s="248"/>
      <c r="P1441" s="248"/>
      <c r="Q1441" s="248"/>
    </row>
    <row r="1442">
      <c r="A1442" s="248"/>
      <c r="B1442" s="248"/>
      <c r="C1442" s="248"/>
      <c r="D1442" s="248"/>
      <c r="E1442" s="248"/>
      <c r="F1442" s="248"/>
      <c r="G1442" s="248"/>
      <c r="I1442" s="248"/>
      <c r="J1442" s="248"/>
      <c r="K1442" s="248"/>
      <c r="L1442" s="248"/>
      <c r="M1442" s="248"/>
      <c r="N1442" s="248"/>
      <c r="P1442" s="248"/>
      <c r="Q1442" s="248"/>
    </row>
    <row r="1443">
      <c r="A1443" s="248"/>
      <c r="B1443" s="248"/>
      <c r="C1443" s="248"/>
      <c r="D1443" s="248"/>
      <c r="E1443" s="248"/>
      <c r="F1443" s="248"/>
      <c r="G1443" s="248"/>
      <c r="I1443" s="248"/>
      <c r="J1443" s="248"/>
      <c r="K1443" s="248"/>
      <c r="L1443" s="248"/>
      <c r="M1443" s="248"/>
      <c r="N1443" s="248"/>
      <c r="P1443" s="248"/>
      <c r="Q1443" s="248"/>
    </row>
    <row r="1444">
      <c r="A1444" s="248"/>
      <c r="B1444" s="248"/>
      <c r="C1444" s="248"/>
      <c r="D1444" s="248"/>
      <c r="E1444" s="248"/>
      <c r="F1444" s="248"/>
      <c r="G1444" s="248"/>
      <c r="I1444" s="248"/>
      <c r="J1444" s="248"/>
      <c r="K1444" s="248"/>
      <c r="L1444" s="248"/>
      <c r="M1444" s="248"/>
      <c r="N1444" s="248"/>
      <c r="P1444" s="248"/>
      <c r="Q1444" s="248"/>
    </row>
    <row r="1445">
      <c r="A1445" s="248"/>
      <c r="B1445" s="248"/>
      <c r="C1445" s="248"/>
      <c r="D1445" s="248"/>
      <c r="E1445" s="248"/>
      <c r="F1445" s="248"/>
      <c r="G1445" s="248"/>
      <c r="I1445" s="248"/>
      <c r="J1445" s="248"/>
      <c r="K1445" s="248"/>
      <c r="L1445" s="248"/>
      <c r="M1445" s="248"/>
      <c r="N1445" s="248"/>
      <c r="P1445" s="248"/>
      <c r="Q1445" s="248"/>
    </row>
    <row r="1446">
      <c r="A1446" s="248"/>
      <c r="B1446" s="248"/>
      <c r="C1446" s="248"/>
      <c r="D1446" s="248"/>
      <c r="E1446" s="248"/>
      <c r="F1446" s="248"/>
      <c r="G1446" s="248"/>
      <c r="I1446" s="248"/>
      <c r="J1446" s="248"/>
      <c r="K1446" s="248"/>
      <c r="L1446" s="248"/>
      <c r="M1446" s="248"/>
      <c r="N1446" s="248"/>
      <c r="P1446" s="248"/>
      <c r="Q1446" s="248"/>
    </row>
    <row r="1447">
      <c r="A1447" s="248"/>
      <c r="B1447" s="248"/>
      <c r="C1447" s="248"/>
      <c r="D1447" s="248"/>
      <c r="E1447" s="248"/>
      <c r="F1447" s="248"/>
      <c r="G1447" s="248"/>
      <c r="I1447" s="248"/>
      <c r="J1447" s="248"/>
      <c r="K1447" s="248"/>
      <c r="L1447" s="248"/>
      <c r="M1447" s="248"/>
      <c r="N1447" s="248"/>
      <c r="P1447" s="248"/>
      <c r="Q1447" s="248"/>
    </row>
    <row r="1448">
      <c r="A1448" s="248"/>
      <c r="B1448" s="248"/>
      <c r="C1448" s="248"/>
      <c r="D1448" s="248"/>
      <c r="E1448" s="248"/>
      <c r="F1448" s="248"/>
      <c r="G1448" s="248"/>
      <c r="I1448" s="248"/>
      <c r="J1448" s="248"/>
      <c r="K1448" s="248"/>
      <c r="L1448" s="248"/>
      <c r="M1448" s="248"/>
      <c r="N1448" s="248"/>
      <c r="P1448" s="248"/>
      <c r="Q1448" s="248"/>
    </row>
    <row r="1449">
      <c r="A1449" s="248"/>
      <c r="B1449" s="248"/>
      <c r="C1449" s="248"/>
      <c r="D1449" s="248"/>
      <c r="E1449" s="248"/>
      <c r="F1449" s="248"/>
      <c r="G1449" s="248"/>
      <c r="I1449" s="248"/>
      <c r="J1449" s="248"/>
      <c r="K1449" s="248"/>
      <c r="L1449" s="248"/>
      <c r="M1449" s="248"/>
      <c r="N1449" s="248"/>
      <c r="P1449" s="248"/>
      <c r="Q1449" s="248"/>
    </row>
    <row r="1450">
      <c r="A1450" s="248"/>
      <c r="B1450" s="248"/>
      <c r="C1450" s="248"/>
      <c r="D1450" s="248"/>
      <c r="E1450" s="248"/>
      <c r="F1450" s="248"/>
      <c r="G1450" s="248"/>
      <c r="I1450" s="248"/>
      <c r="J1450" s="248"/>
      <c r="K1450" s="248"/>
      <c r="L1450" s="248"/>
      <c r="M1450" s="248"/>
      <c r="N1450" s="248"/>
      <c r="P1450" s="248"/>
      <c r="Q1450" s="248"/>
    </row>
    <row r="1451">
      <c r="A1451" s="248"/>
      <c r="B1451" s="248"/>
      <c r="C1451" s="248"/>
      <c r="D1451" s="248"/>
      <c r="E1451" s="248"/>
      <c r="F1451" s="248"/>
      <c r="G1451" s="248"/>
      <c r="I1451" s="248"/>
      <c r="J1451" s="248"/>
      <c r="K1451" s="248"/>
      <c r="L1451" s="248"/>
      <c r="M1451" s="248"/>
      <c r="N1451" s="248"/>
      <c r="P1451" s="248"/>
      <c r="Q1451" s="248"/>
    </row>
    <row r="1452">
      <c r="A1452" s="248"/>
      <c r="B1452" s="248"/>
      <c r="C1452" s="248"/>
      <c r="D1452" s="248"/>
      <c r="E1452" s="248"/>
      <c r="F1452" s="248"/>
      <c r="G1452" s="248"/>
      <c r="I1452" s="248"/>
      <c r="J1452" s="248"/>
      <c r="K1452" s="248"/>
      <c r="L1452" s="248"/>
      <c r="M1452" s="248"/>
      <c r="N1452" s="248"/>
      <c r="P1452" s="248"/>
      <c r="Q1452" s="248"/>
    </row>
    <row r="1453">
      <c r="A1453" s="248"/>
      <c r="B1453" s="248"/>
      <c r="C1453" s="248"/>
      <c r="D1453" s="248"/>
      <c r="E1453" s="248"/>
      <c r="F1453" s="248"/>
      <c r="G1453" s="248"/>
      <c r="I1453" s="248"/>
      <c r="J1453" s="248"/>
      <c r="K1453" s="248"/>
      <c r="L1453" s="248"/>
      <c r="M1453" s="248"/>
      <c r="N1453" s="248"/>
      <c r="P1453" s="248"/>
      <c r="Q1453" s="248"/>
    </row>
    <row r="1454">
      <c r="A1454" s="248"/>
      <c r="B1454" s="248"/>
      <c r="C1454" s="248"/>
      <c r="D1454" s="248"/>
      <c r="E1454" s="248"/>
      <c r="F1454" s="248"/>
      <c r="G1454" s="248"/>
      <c r="I1454" s="248"/>
      <c r="J1454" s="248"/>
      <c r="K1454" s="248"/>
      <c r="L1454" s="248"/>
      <c r="M1454" s="248"/>
      <c r="N1454" s="248"/>
      <c r="P1454" s="248"/>
      <c r="Q1454" s="248"/>
    </row>
    <row r="1455">
      <c r="A1455" s="248"/>
      <c r="B1455" s="248"/>
      <c r="C1455" s="248"/>
      <c r="D1455" s="248"/>
      <c r="E1455" s="248"/>
      <c r="F1455" s="248"/>
      <c r="G1455" s="248"/>
      <c r="I1455" s="248"/>
      <c r="J1455" s="248"/>
      <c r="K1455" s="248"/>
      <c r="L1455" s="248"/>
      <c r="M1455" s="248"/>
      <c r="N1455" s="248"/>
      <c r="P1455" s="248"/>
      <c r="Q1455" s="248"/>
    </row>
    <row r="1456">
      <c r="A1456" s="248"/>
      <c r="B1456" s="248"/>
      <c r="C1456" s="248"/>
      <c r="D1456" s="248"/>
      <c r="E1456" s="248"/>
      <c r="F1456" s="248"/>
      <c r="G1456" s="248"/>
      <c r="I1456" s="248"/>
      <c r="J1456" s="248"/>
      <c r="K1456" s="248"/>
      <c r="L1456" s="248"/>
      <c r="M1456" s="248"/>
      <c r="N1456" s="248"/>
      <c r="P1456" s="248"/>
      <c r="Q1456" s="248"/>
    </row>
    <row r="1457">
      <c r="A1457" s="248"/>
      <c r="B1457" s="248"/>
      <c r="C1457" s="248"/>
      <c r="D1457" s="248"/>
      <c r="E1457" s="248"/>
      <c r="F1457" s="248"/>
      <c r="G1457" s="248"/>
      <c r="I1457" s="248"/>
      <c r="J1457" s="248"/>
      <c r="K1457" s="248"/>
      <c r="L1457" s="248"/>
      <c r="M1457" s="248"/>
      <c r="N1457" s="248"/>
      <c r="P1457" s="248"/>
      <c r="Q1457" s="248"/>
    </row>
    <row r="1458">
      <c r="A1458" s="248"/>
      <c r="B1458" s="248"/>
      <c r="C1458" s="248"/>
      <c r="D1458" s="248"/>
      <c r="E1458" s="248"/>
      <c r="F1458" s="248"/>
      <c r="G1458" s="248"/>
      <c r="I1458" s="248"/>
      <c r="J1458" s="248"/>
      <c r="K1458" s="248"/>
      <c r="L1458" s="248"/>
      <c r="M1458" s="248"/>
      <c r="N1458" s="248"/>
      <c r="P1458" s="248"/>
      <c r="Q1458" s="248"/>
    </row>
    <row r="1459">
      <c r="A1459" s="248"/>
      <c r="B1459" s="248"/>
      <c r="C1459" s="248"/>
      <c r="D1459" s="248"/>
      <c r="E1459" s="248"/>
      <c r="F1459" s="248"/>
      <c r="G1459" s="248"/>
      <c r="I1459" s="248"/>
      <c r="J1459" s="248"/>
      <c r="K1459" s="248"/>
      <c r="L1459" s="248"/>
      <c r="M1459" s="248"/>
      <c r="N1459" s="248"/>
      <c r="P1459" s="248"/>
      <c r="Q1459" s="248"/>
    </row>
    <row r="1460">
      <c r="A1460" s="248"/>
      <c r="B1460" s="248"/>
      <c r="C1460" s="248"/>
      <c r="D1460" s="248"/>
      <c r="E1460" s="248"/>
      <c r="F1460" s="248"/>
      <c r="G1460" s="248"/>
      <c r="I1460" s="248"/>
      <c r="J1460" s="248"/>
      <c r="K1460" s="248"/>
      <c r="L1460" s="248"/>
      <c r="M1460" s="248"/>
      <c r="N1460" s="248"/>
      <c r="P1460" s="248"/>
      <c r="Q1460" s="248"/>
    </row>
    <row r="1461">
      <c r="A1461" s="248"/>
      <c r="B1461" s="248"/>
      <c r="C1461" s="248"/>
      <c r="D1461" s="248"/>
      <c r="E1461" s="248"/>
      <c r="F1461" s="248"/>
      <c r="G1461" s="248"/>
      <c r="I1461" s="248"/>
      <c r="J1461" s="248"/>
      <c r="K1461" s="248"/>
      <c r="L1461" s="248"/>
      <c r="M1461" s="248"/>
      <c r="N1461" s="248"/>
      <c r="P1461" s="248"/>
      <c r="Q1461" s="248"/>
    </row>
    <row r="1462">
      <c r="A1462" s="248"/>
      <c r="B1462" s="248"/>
      <c r="C1462" s="248"/>
      <c r="D1462" s="248"/>
      <c r="E1462" s="248"/>
      <c r="F1462" s="248"/>
      <c r="G1462" s="248"/>
      <c r="I1462" s="248"/>
      <c r="J1462" s="248"/>
      <c r="K1462" s="248"/>
      <c r="L1462" s="248"/>
      <c r="M1462" s="248"/>
      <c r="N1462" s="248"/>
      <c r="P1462" s="248"/>
      <c r="Q1462" s="248"/>
    </row>
    <row r="1463">
      <c r="A1463" s="248"/>
      <c r="B1463" s="248"/>
      <c r="C1463" s="248"/>
      <c r="D1463" s="248"/>
      <c r="E1463" s="248"/>
      <c r="F1463" s="248"/>
      <c r="G1463" s="248"/>
      <c r="I1463" s="248"/>
      <c r="J1463" s="248"/>
      <c r="K1463" s="248"/>
      <c r="L1463" s="248"/>
      <c r="M1463" s="248"/>
      <c r="N1463" s="248"/>
      <c r="P1463" s="248"/>
      <c r="Q1463" s="248"/>
    </row>
    <row r="1464">
      <c r="A1464" s="248"/>
      <c r="B1464" s="248"/>
      <c r="C1464" s="248"/>
      <c r="D1464" s="248"/>
      <c r="E1464" s="248"/>
      <c r="F1464" s="248"/>
      <c r="G1464" s="248"/>
      <c r="I1464" s="248"/>
      <c r="J1464" s="248"/>
      <c r="K1464" s="248"/>
      <c r="L1464" s="248"/>
      <c r="M1464" s="248"/>
      <c r="N1464" s="248"/>
      <c r="P1464" s="248"/>
      <c r="Q1464" s="248"/>
    </row>
    <row r="1465">
      <c r="A1465" s="248"/>
      <c r="B1465" s="248"/>
      <c r="C1465" s="248"/>
      <c r="D1465" s="248"/>
      <c r="E1465" s="248"/>
      <c r="F1465" s="248"/>
      <c r="G1465" s="248"/>
      <c r="I1465" s="248"/>
      <c r="J1465" s="248"/>
      <c r="K1465" s="248"/>
      <c r="L1465" s="248"/>
      <c r="M1465" s="248"/>
      <c r="N1465" s="248"/>
      <c r="P1465" s="248"/>
      <c r="Q1465" s="248"/>
    </row>
    <row r="1466">
      <c r="A1466" s="248"/>
      <c r="B1466" s="248"/>
      <c r="C1466" s="248"/>
      <c r="D1466" s="248"/>
      <c r="E1466" s="248"/>
      <c r="F1466" s="248"/>
      <c r="G1466" s="248"/>
      <c r="I1466" s="248"/>
      <c r="J1466" s="248"/>
      <c r="K1466" s="248"/>
      <c r="L1466" s="248"/>
      <c r="M1466" s="248"/>
      <c r="N1466" s="248"/>
      <c r="P1466" s="248"/>
      <c r="Q1466" s="248"/>
    </row>
    <row r="1467">
      <c r="A1467" s="248"/>
      <c r="B1467" s="248"/>
      <c r="C1467" s="248"/>
      <c r="D1467" s="248"/>
      <c r="E1467" s="248"/>
      <c r="F1467" s="248"/>
      <c r="G1467" s="248"/>
      <c r="I1467" s="248"/>
      <c r="J1467" s="248"/>
      <c r="K1467" s="248"/>
      <c r="L1467" s="248"/>
      <c r="M1467" s="248"/>
      <c r="N1467" s="248"/>
      <c r="P1467" s="248"/>
      <c r="Q1467" s="248"/>
    </row>
    <row r="1468">
      <c r="A1468" s="248"/>
      <c r="B1468" s="248"/>
      <c r="C1468" s="248"/>
      <c r="D1468" s="248"/>
      <c r="E1468" s="248"/>
      <c r="F1468" s="248"/>
      <c r="G1468" s="248"/>
      <c r="I1468" s="248"/>
      <c r="J1468" s="248"/>
      <c r="K1468" s="248"/>
      <c r="L1468" s="248"/>
      <c r="M1468" s="248"/>
      <c r="N1468" s="248"/>
      <c r="P1468" s="248"/>
      <c r="Q1468" s="248"/>
    </row>
    <row r="1469">
      <c r="A1469" s="248"/>
      <c r="B1469" s="248"/>
      <c r="C1469" s="248"/>
      <c r="D1469" s="248"/>
      <c r="E1469" s="248"/>
      <c r="F1469" s="248"/>
      <c r="G1469" s="248"/>
      <c r="I1469" s="248"/>
      <c r="J1469" s="248"/>
      <c r="K1469" s="248"/>
      <c r="L1469" s="248"/>
      <c r="M1469" s="248"/>
      <c r="N1469" s="248"/>
      <c r="P1469" s="248"/>
      <c r="Q1469" s="248"/>
    </row>
    <row r="1470">
      <c r="A1470" s="248"/>
      <c r="B1470" s="248"/>
      <c r="C1470" s="248"/>
      <c r="D1470" s="248"/>
      <c r="E1470" s="248"/>
      <c r="F1470" s="248"/>
      <c r="G1470" s="248"/>
      <c r="I1470" s="248"/>
      <c r="J1470" s="248"/>
      <c r="K1470" s="248"/>
      <c r="L1470" s="248"/>
      <c r="M1470" s="248"/>
      <c r="N1470" s="248"/>
      <c r="P1470" s="248"/>
      <c r="Q1470" s="248"/>
    </row>
    <row r="1471">
      <c r="A1471" s="248"/>
      <c r="B1471" s="248"/>
      <c r="C1471" s="248"/>
      <c r="D1471" s="248"/>
      <c r="E1471" s="248"/>
      <c r="F1471" s="248"/>
      <c r="G1471" s="248"/>
      <c r="I1471" s="248"/>
      <c r="J1471" s="248"/>
      <c r="K1471" s="248"/>
      <c r="L1471" s="248"/>
      <c r="M1471" s="248"/>
      <c r="N1471" s="248"/>
      <c r="P1471" s="248"/>
      <c r="Q1471" s="248"/>
    </row>
    <row r="1472">
      <c r="A1472" s="248"/>
      <c r="B1472" s="248"/>
      <c r="C1472" s="248"/>
      <c r="D1472" s="248"/>
      <c r="E1472" s="248"/>
      <c r="F1472" s="248"/>
      <c r="G1472" s="248"/>
      <c r="I1472" s="248"/>
      <c r="J1472" s="248"/>
      <c r="K1472" s="248"/>
      <c r="L1472" s="248"/>
      <c r="M1472" s="248"/>
      <c r="N1472" s="248"/>
      <c r="P1472" s="248"/>
      <c r="Q1472" s="248"/>
    </row>
    <row r="1473">
      <c r="A1473" s="248"/>
      <c r="B1473" s="248"/>
      <c r="C1473" s="248"/>
      <c r="D1473" s="248"/>
      <c r="E1473" s="248"/>
      <c r="F1473" s="248"/>
      <c r="G1473" s="248"/>
      <c r="I1473" s="248"/>
      <c r="J1473" s="248"/>
      <c r="K1473" s="248"/>
      <c r="L1473" s="248"/>
      <c r="M1473" s="248"/>
      <c r="N1473" s="248"/>
      <c r="P1473" s="248"/>
      <c r="Q1473" s="248"/>
    </row>
    <row r="1474">
      <c r="A1474" s="248"/>
      <c r="B1474" s="248"/>
      <c r="C1474" s="248"/>
      <c r="D1474" s="248"/>
      <c r="E1474" s="248"/>
      <c r="F1474" s="248"/>
      <c r="G1474" s="248"/>
      <c r="I1474" s="248"/>
      <c r="J1474" s="248"/>
      <c r="K1474" s="248"/>
      <c r="L1474" s="248"/>
      <c r="M1474" s="248"/>
      <c r="N1474" s="248"/>
      <c r="P1474" s="248"/>
      <c r="Q1474" s="248"/>
    </row>
    <row r="1475">
      <c r="A1475" s="248"/>
      <c r="B1475" s="248"/>
      <c r="C1475" s="248"/>
      <c r="D1475" s="248"/>
      <c r="E1475" s="248"/>
      <c r="F1475" s="248"/>
      <c r="G1475" s="248"/>
      <c r="I1475" s="248"/>
      <c r="J1475" s="248"/>
      <c r="K1475" s="248"/>
      <c r="L1475" s="248"/>
      <c r="M1475" s="248"/>
      <c r="N1475" s="248"/>
      <c r="P1475" s="248"/>
      <c r="Q1475" s="248"/>
    </row>
    <row r="1476">
      <c r="A1476" s="248"/>
      <c r="B1476" s="248"/>
      <c r="C1476" s="248"/>
      <c r="D1476" s="248"/>
      <c r="E1476" s="248"/>
      <c r="F1476" s="248"/>
      <c r="G1476" s="248"/>
      <c r="I1476" s="248"/>
      <c r="J1476" s="248"/>
      <c r="K1476" s="248"/>
      <c r="L1476" s="248"/>
      <c r="M1476" s="248"/>
      <c r="N1476" s="248"/>
      <c r="P1476" s="248"/>
      <c r="Q1476" s="248"/>
    </row>
    <row r="1477">
      <c r="A1477" s="248"/>
      <c r="B1477" s="248"/>
      <c r="C1477" s="248"/>
      <c r="D1477" s="248"/>
      <c r="E1477" s="248"/>
      <c r="F1477" s="248"/>
      <c r="G1477" s="248"/>
      <c r="I1477" s="248"/>
      <c r="J1477" s="248"/>
      <c r="K1477" s="248"/>
      <c r="L1477" s="248"/>
      <c r="M1477" s="248"/>
      <c r="N1477" s="248"/>
      <c r="P1477" s="248"/>
      <c r="Q1477" s="248"/>
    </row>
    <row r="1478">
      <c r="A1478" s="248"/>
      <c r="B1478" s="248"/>
      <c r="C1478" s="248"/>
      <c r="D1478" s="248"/>
      <c r="E1478" s="248"/>
      <c r="F1478" s="248"/>
      <c r="G1478" s="248"/>
      <c r="I1478" s="248"/>
      <c r="J1478" s="248"/>
      <c r="K1478" s="248"/>
      <c r="L1478" s="248"/>
      <c r="M1478" s="248"/>
      <c r="N1478" s="248"/>
      <c r="P1478" s="248"/>
      <c r="Q1478" s="248"/>
    </row>
    <row r="1479">
      <c r="A1479" s="248"/>
      <c r="B1479" s="248"/>
      <c r="C1479" s="248"/>
      <c r="D1479" s="248"/>
      <c r="E1479" s="248"/>
      <c r="F1479" s="248"/>
      <c r="G1479" s="248"/>
      <c r="I1479" s="248"/>
      <c r="J1479" s="248"/>
      <c r="K1479" s="248"/>
      <c r="L1479" s="248"/>
      <c r="M1479" s="248"/>
      <c r="N1479" s="248"/>
      <c r="P1479" s="248"/>
      <c r="Q1479" s="248"/>
    </row>
    <row r="1480">
      <c r="A1480" s="248"/>
      <c r="B1480" s="248"/>
      <c r="C1480" s="248"/>
      <c r="D1480" s="248"/>
      <c r="E1480" s="248"/>
      <c r="F1480" s="248"/>
      <c r="G1480" s="248"/>
      <c r="I1480" s="248"/>
      <c r="J1480" s="248"/>
      <c r="K1480" s="248"/>
      <c r="L1480" s="248"/>
      <c r="M1480" s="248"/>
      <c r="N1480" s="248"/>
      <c r="P1480" s="248"/>
      <c r="Q1480" s="248"/>
    </row>
    <row r="1481">
      <c r="A1481" s="248"/>
      <c r="B1481" s="248"/>
      <c r="C1481" s="248"/>
      <c r="D1481" s="248"/>
      <c r="E1481" s="248"/>
      <c r="F1481" s="248"/>
      <c r="G1481" s="248"/>
      <c r="I1481" s="248"/>
      <c r="J1481" s="248"/>
      <c r="K1481" s="248"/>
      <c r="L1481" s="248"/>
      <c r="M1481" s="248"/>
      <c r="N1481" s="248"/>
      <c r="P1481" s="248"/>
      <c r="Q1481" s="248"/>
    </row>
    <row r="1482">
      <c r="A1482" s="248"/>
      <c r="B1482" s="248"/>
      <c r="C1482" s="248"/>
      <c r="D1482" s="248"/>
      <c r="E1482" s="248"/>
      <c r="F1482" s="248"/>
      <c r="G1482" s="248"/>
      <c r="I1482" s="248"/>
      <c r="J1482" s="248"/>
      <c r="K1482" s="248"/>
      <c r="L1482" s="248"/>
      <c r="M1482" s="248"/>
      <c r="N1482" s="248"/>
      <c r="P1482" s="248"/>
      <c r="Q1482" s="248"/>
    </row>
    <row r="1483">
      <c r="A1483" s="248"/>
      <c r="B1483" s="248"/>
      <c r="C1483" s="248"/>
      <c r="D1483" s="248"/>
      <c r="E1483" s="248"/>
      <c r="F1483" s="248"/>
      <c r="G1483" s="248"/>
      <c r="I1483" s="248"/>
      <c r="J1483" s="248"/>
      <c r="K1483" s="248"/>
      <c r="L1483" s="248"/>
      <c r="M1483" s="248"/>
      <c r="N1483" s="248"/>
      <c r="P1483" s="248"/>
      <c r="Q1483" s="248"/>
    </row>
    <row r="1484">
      <c r="A1484" s="248"/>
      <c r="B1484" s="248"/>
      <c r="C1484" s="248"/>
      <c r="D1484" s="248"/>
      <c r="E1484" s="248"/>
      <c r="F1484" s="248"/>
      <c r="G1484" s="248"/>
      <c r="I1484" s="248"/>
      <c r="J1484" s="248"/>
      <c r="K1484" s="248"/>
      <c r="L1484" s="248"/>
      <c r="M1484" s="248"/>
      <c r="N1484" s="248"/>
      <c r="P1484" s="248"/>
      <c r="Q1484" s="248"/>
    </row>
    <row r="1485">
      <c r="A1485" s="248"/>
      <c r="B1485" s="248"/>
      <c r="C1485" s="248"/>
      <c r="D1485" s="248"/>
      <c r="E1485" s="248"/>
      <c r="F1485" s="248"/>
      <c r="G1485" s="248"/>
      <c r="I1485" s="248"/>
      <c r="J1485" s="248"/>
      <c r="K1485" s="248"/>
      <c r="L1485" s="248"/>
      <c r="M1485" s="248"/>
      <c r="N1485" s="248"/>
      <c r="P1485" s="248"/>
      <c r="Q1485" s="248"/>
    </row>
    <row r="1486">
      <c r="A1486" s="248"/>
      <c r="B1486" s="248"/>
      <c r="C1486" s="248"/>
      <c r="D1486" s="248"/>
      <c r="E1486" s="248"/>
      <c r="F1486" s="248"/>
      <c r="G1486" s="248"/>
      <c r="I1486" s="248"/>
      <c r="J1486" s="248"/>
      <c r="K1486" s="248"/>
      <c r="L1486" s="248"/>
      <c r="M1486" s="248"/>
      <c r="N1486" s="248"/>
      <c r="P1486" s="248"/>
      <c r="Q1486" s="248"/>
    </row>
    <row r="1487">
      <c r="A1487" s="248"/>
      <c r="B1487" s="248"/>
      <c r="C1487" s="248"/>
      <c r="D1487" s="248"/>
      <c r="E1487" s="248"/>
      <c r="F1487" s="248"/>
      <c r="G1487" s="248"/>
      <c r="I1487" s="248"/>
      <c r="J1487" s="248"/>
      <c r="K1487" s="248"/>
      <c r="L1487" s="248"/>
      <c r="M1487" s="248"/>
      <c r="N1487" s="248"/>
      <c r="P1487" s="248"/>
      <c r="Q1487" s="248"/>
    </row>
    <row r="1488">
      <c r="A1488" s="248"/>
      <c r="B1488" s="248"/>
      <c r="C1488" s="248"/>
      <c r="D1488" s="248"/>
      <c r="E1488" s="248"/>
      <c r="F1488" s="248"/>
      <c r="G1488" s="248"/>
      <c r="I1488" s="248"/>
      <c r="J1488" s="248"/>
      <c r="K1488" s="248"/>
      <c r="L1488" s="248"/>
      <c r="M1488" s="248"/>
      <c r="N1488" s="248"/>
      <c r="P1488" s="248"/>
      <c r="Q1488" s="248"/>
    </row>
    <row r="1489">
      <c r="A1489" s="248"/>
      <c r="B1489" s="248"/>
      <c r="C1489" s="248"/>
      <c r="D1489" s="248"/>
      <c r="E1489" s="248"/>
      <c r="F1489" s="248"/>
      <c r="G1489" s="248"/>
      <c r="I1489" s="248"/>
      <c r="J1489" s="248"/>
      <c r="K1489" s="248"/>
      <c r="L1489" s="248"/>
      <c r="M1489" s="248"/>
      <c r="N1489" s="248"/>
      <c r="P1489" s="248"/>
      <c r="Q1489" s="248"/>
    </row>
    <row r="1490">
      <c r="A1490" s="248"/>
      <c r="B1490" s="248"/>
      <c r="C1490" s="248"/>
      <c r="D1490" s="248"/>
      <c r="E1490" s="248"/>
      <c r="F1490" s="248"/>
      <c r="G1490" s="248"/>
      <c r="I1490" s="248"/>
      <c r="J1490" s="248"/>
      <c r="K1490" s="248"/>
      <c r="L1490" s="248"/>
      <c r="M1490" s="248"/>
      <c r="N1490" s="248"/>
      <c r="P1490" s="248"/>
      <c r="Q1490" s="248"/>
    </row>
    <row r="1491">
      <c r="A1491" s="248"/>
      <c r="B1491" s="248"/>
      <c r="C1491" s="248"/>
      <c r="D1491" s="248"/>
      <c r="E1491" s="248"/>
      <c r="F1491" s="248"/>
      <c r="G1491" s="248"/>
      <c r="I1491" s="248"/>
      <c r="J1491" s="248"/>
      <c r="K1491" s="248"/>
      <c r="L1491" s="248"/>
      <c r="M1491" s="248"/>
      <c r="N1491" s="248"/>
      <c r="P1491" s="248"/>
      <c r="Q1491" s="248"/>
    </row>
    <row r="1492">
      <c r="A1492" s="248"/>
      <c r="B1492" s="248"/>
      <c r="C1492" s="248"/>
      <c r="D1492" s="248"/>
      <c r="E1492" s="248"/>
      <c r="F1492" s="248"/>
      <c r="G1492" s="248"/>
      <c r="I1492" s="248"/>
      <c r="J1492" s="248"/>
      <c r="K1492" s="248"/>
      <c r="L1492" s="248"/>
      <c r="M1492" s="248"/>
      <c r="N1492" s="248"/>
      <c r="P1492" s="248"/>
      <c r="Q1492" s="248"/>
    </row>
    <row r="1493">
      <c r="A1493" s="248"/>
      <c r="B1493" s="248"/>
      <c r="C1493" s="248"/>
      <c r="D1493" s="248"/>
      <c r="E1493" s="248"/>
      <c r="F1493" s="248"/>
      <c r="G1493" s="248"/>
      <c r="I1493" s="248"/>
      <c r="J1493" s="248"/>
      <c r="K1493" s="248"/>
      <c r="L1493" s="248"/>
      <c r="M1493" s="248"/>
      <c r="N1493" s="248"/>
      <c r="P1493" s="248"/>
      <c r="Q1493" s="248"/>
    </row>
    <row r="1494">
      <c r="A1494" s="248"/>
      <c r="B1494" s="248"/>
      <c r="C1494" s="248"/>
      <c r="D1494" s="248"/>
      <c r="E1494" s="248"/>
      <c r="F1494" s="248"/>
      <c r="G1494" s="248"/>
      <c r="I1494" s="248"/>
      <c r="J1494" s="248"/>
      <c r="K1494" s="248"/>
      <c r="L1494" s="248"/>
      <c r="M1494" s="248"/>
      <c r="N1494" s="248"/>
      <c r="P1494" s="248"/>
      <c r="Q1494" s="248"/>
    </row>
    <row r="1495">
      <c r="A1495" s="248"/>
      <c r="B1495" s="248"/>
      <c r="C1495" s="248"/>
      <c r="D1495" s="248"/>
      <c r="E1495" s="248"/>
      <c r="F1495" s="248"/>
      <c r="G1495" s="248"/>
      <c r="I1495" s="248"/>
      <c r="J1495" s="248"/>
      <c r="K1495" s="248"/>
      <c r="L1495" s="248"/>
      <c r="M1495" s="248"/>
      <c r="N1495" s="248"/>
      <c r="P1495" s="248"/>
      <c r="Q1495" s="248"/>
    </row>
    <row r="1496">
      <c r="A1496" s="248"/>
      <c r="B1496" s="248"/>
      <c r="C1496" s="248"/>
      <c r="D1496" s="248"/>
      <c r="E1496" s="248"/>
      <c r="F1496" s="248"/>
      <c r="G1496" s="248"/>
      <c r="I1496" s="248"/>
      <c r="J1496" s="248"/>
      <c r="K1496" s="248"/>
      <c r="L1496" s="248"/>
      <c r="M1496" s="248"/>
      <c r="N1496" s="248"/>
      <c r="P1496" s="248"/>
      <c r="Q1496" s="248"/>
    </row>
    <row r="1497">
      <c r="A1497" s="248"/>
      <c r="B1497" s="248"/>
      <c r="C1497" s="248"/>
      <c r="D1497" s="248"/>
      <c r="E1497" s="248"/>
      <c r="F1497" s="248"/>
      <c r="G1497" s="248"/>
      <c r="I1497" s="248"/>
      <c r="J1497" s="248"/>
      <c r="K1497" s="248"/>
      <c r="L1497" s="248"/>
      <c r="M1497" s="248"/>
      <c r="N1497" s="248"/>
      <c r="P1497" s="248"/>
      <c r="Q1497" s="248"/>
    </row>
    <row r="1498">
      <c r="A1498" s="248"/>
      <c r="B1498" s="248"/>
      <c r="C1498" s="248"/>
      <c r="D1498" s="248"/>
      <c r="E1498" s="248"/>
      <c r="F1498" s="248"/>
      <c r="G1498" s="248"/>
      <c r="I1498" s="248"/>
      <c r="J1498" s="248"/>
      <c r="K1498" s="248"/>
      <c r="L1498" s="248"/>
      <c r="M1498" s="248"/>
      <c r="N1498" s="248"/>
      <c r="P1498" s="248"/>
      <c r="Q1498" s="248"/>
    </row>
    <row r="1499">
      <c r="A1499" s="248"/>
      <c r="B1499" s="248"/>
      <c r="C1499" s="248"/>
      <c r="D1499" s="248"/>
      <c r="E1499" s="248"/>
      <c r="F1499" s="248"/>
      <c r="G1499" s="248"/>
      <c r="I1499" s="248"/>
      <c r="J1499" s="248"/>
      <c r="K1499" s="248"/>
      <c r="L1499" s="248"/>
      <c r="M1499" s="248"/>
      <c r="N1499" s="248"/>
      <c r="P1499" s="248"/>
      <c r="Q1499" s="248"/>
    </row>
    <row r="1500">
      <c r="A1500" s="248"/>
      <c r="B1500" s="248"/>
      <c r="C1500" s="248"/>
      <c r="D1500" s="248"/>
      <c r="E1500" s="248"/>
      <c r="F1500" s="248"/>
      <c r="G1500" s="248"/>
      <c r="I1500" s="248"/>
      <c r="J1500" s="248"/>
      <c r="K1500" s="248"/>
      <c r="L1500" s="248"/>
      <c r="M1500" s="248"/>
      <c r="N1500" s="248"/>
      <c r="P1500" s="248"/>
      <c r="Q1500" s="248"/>
    </row>
    <row r="1501">
      <c r="A1501" s="248"/>
      <c r="B1501" s="248"/>
      <c r="C1501" s="248"/>
      <c r="D1501" s="248"/>
      <c r="E1501" s="248"/>
      <c r="F1501" s="248"/>
      <c r="G1501" s="248"/>
      <c r="I1501" s="248"/>
      <c r="J1501" s="248"/>
      <c r="K1501" s="248"/>
      <c r="L1501" s="248"/>
      <c r="M1501" s="248"/>
      <c r="N1501" s="248"/>
      <c r="P1501" s="248"/>
      <c r="Q1501" s="248"/>
    </row>
    <row r="1502">
      <c r="A1502" s="248"/>
      <c r="B1502" s="248"/>
      <c r="C1502" s="248"/>
      <c r="D1502" s="248"/>
      <c r="E1502" s="248"/>
      <c r="F1502" s="248"/>
      <c r="G1502" s="248"/>
      <c r="I1502" s="248"/>
      <c r="J1502" s="248"/>
      <c r="K1502" s="248"/>
      <c r="L1502" s="248"/>
      <c r="M1502" s="248"/>
      <c r="N1502" s="248"/>
      <c r="P1502" s="248"/>
      <c r="Q1502" s="248"/>
    </row>
    <row r="1503">
      <c r="A1503" s="248"/>
      <c r="B1503" s="248"/>
      <c r="C1503" s="248"/>
      <c r="D1503" s="248"/>
      <c r="E1503" s="248"/>
      <c r="F1503" s="248"/>
      <c r="G1503" s="248"/>
      <c r="I1503" s="248"/>
      <c r="J1503" s="248"/>
      <c r="K1503" s="248"/>
      <c r="L1503" s="248"/>
      <c r="M1503" s="248"/>
      <c r="N1503" s="248"/>
      <c r="P1503" s="248"/>
      <c r="Q1503" s="248"/>
    </row>
    <row r="1504">
      <c r="A1504" s="248"/>
      <c r="B1504" s="248"/>
      <c r="C1504" s="248"/>
      <c r="D1504" s="248"/>
      <c r="E1504" s="248"/>
      <c r="F1504" s="248"/>
      <c r="G1504" s="248"/>
      <c r="I1504" s="248"/>
      <c r="J1504" s="248"/>
      <c r="K1504" s="248"/>
      <c r="L1504" s="248"/>
      <c r="M1504" s="248"/>
      <c r="N1504" s="248"/>
      <c r="P1504" s="248"/>
      <c r="Q1504" s="248"/>
    </row>
    <row r="1505">
      <c r="A1505" s="248"/>
      <c r="B1505" s="248"/>
      <c r="C1505" s="248"/>
      <c r="D1505" s="248"/>
      <c r="E1505" s="248"/>
      <c r="F1505" s="248"/>
      <c r="G1505" s="248"/>
      <c r="I1505" s="248"/>
      <c r="J1505" s="248"/>
      <c r="K1505" s="248"/>
      <c r="L1505" s="248"/>
      <c r="M1505" s="248"/>
      <c r="N1505" s="248"/>
      <c r="P1505" s="248"/>
      <c r="Q1505" s="248"/>
    </row>
    <row r="1506">
      <c r="A1506" s="248"/>
      <c r="B1506" s="248"/>
      <c r="C1506" s="248"/>
      <c r="D1506" s="248"/>
      <c r="E1506" s="248"/>
      <c r="F1506" s="248"/>
      <c r="G1506" s="248"/>
      <c r="I1506" s="248"/>
      <c r="J1506" s="248"/>
      <c r="K1506" s="248"/>
      <c r="L1506" s="248"/>
      <c r="M1506" s="248"/>
      <c r="N1506" s="248"/>
      <c r="P1506" s="248"/>
      <c r="Q1506" s="248"/>
    </row>
    <row r="1507">
      <c r="A1507" s="248"/>
      <c r="B1507" s="248"/>
      <c r="C1507" s="248"/>
      <c r="D1507" s="248"/>
      <c r="E1507" s="248"/>
      <c r="F1507" s="248"/>
      <c r="G1507" s="248"/>
      <c r="I1507" s="248"/>
      <c r="J1507" s="248"/>
      <c r="K1507" s="248"/>
      <c r="L1507" s="248"/>
      <c r="M1507" s="248"/>
      <c r="N1507" s="248"/>
      <c r="P1507" s="248"/>
      <c r="Q1507" s="248"/>
    </row>
    <row r="1508">
      <c r="A1508" s="248"/>
      <c r="B1508" s="248"/>
      <c r="C1508" s="248"/>
      <c r="D1508" s="248"/>
      <c r="E1508" s="248"/>
      <c r="F1508" s="248"/>
      <c r="G1508" s="248"/>
      <c r="I1508" s="248"/>
      <c r="J1508" s="248"/>
      <c r="K1508" s="248"/>
      <c r="L1508" s="248"/>
      <c r="M1508" s="248"/>
      <c r="N1508" s="248"/>
      <c r="P1508" s="248"/>
      <c r="Q1508" s="248"/>
    </row>
    <row r="1509">
      <c r="A1509" s="248"/>
      <c r="B1509" s="248"/>
      <c r="C1509" s="248"/>
      <c r="D1509" s="248"/>
      <c r="E1509" s="248"/>
      <c r="F1509" s="248"/>
      <c r="G1509" s="248"/>
      <c r="I1509" s="248"/>
      <c r="J1509" s="248"/>
      <c r="K1509" s="248"/>
      <c r="L1509" s="248"/>
      <c r="M1509" s="248"/>
      <c r="N1509" s="248"/>
      <c r="P1509" s="248"/>
      <c r="Q1509" s="248"/>
    </row>
    <row r="1510">
      <c r="A1510" s="248"/>
      <c r="B1510" s="248"/>
      <c r="C1510" s="248"/>
      <c r="D1510" s="248"/>
      <c r="E1510" s="248"/>
      <c r="F1510" s="248"/>
      <c r="G1510" s="248"/>
      <c r="I1510" s="248"/>
      <c r="J1510" s="248"/>
      <c r="K1510" s="248"/>
      <c r="L1510" s="248"/>
      <c r="M1510" s="248"/>
      <c r="N1510" s="248"/>
      <c r="P1510" s="248"/>
      <c r="Q1510" s="248"/>
    </row>
    <row r="1511">
      <c r="A1511" s="248"/>
      <c r="B1511" s="248"/>
      <c r="C1511" s="248"/>
      <c r="D1511" s="248"/>
      <c r="E1511" s="248"/>
      <c r="F1511" s="248"/>
      <c r="G1511" s="248"/>
      <c r="I1511" s="248"/>
      <c r="J1511" s="248"/>
      <c r="K1511" s="248"/>
      <c r="L1511" s="248"/>
      <c r="M1511" s="248"/>
      <c r="N1511" s="248"/>
      <c r="P1511" s="248"/>
      <c r="Q1511" s="248"/>
    </row>
    <row r="1512">
      <c r="A1512" s="248"/>
      <c r="B1512" s="248"/>
      <c r="C1512" s="248"/>
      <c r="D1512" s="248"/>
      <c r="E1512" s="248"/>
      <c r="F1512" s="248"/>
      <c r="G1512" s="248"/>
      <c r="I1512" s="248"/>
      <c r="J1512" s="248"/>
      <c r="K1512" s="248"/>
      <c r="L1512" s="248"/>
      <c r="M1512" s="248"/>
      <c r="N1512" s="248"/>
      <c r="P1512" s="248"/>
      <c r="Q1512" s="248"/>
    </row>
    <row r="1513">
      <c r="A1513" s="248"/>
      <c r="B1513" s="248"/>
      <c r="C1513" s="248"/>
      <c r="D1513" s="248"/>
      <c r="E1513" s="248"/>
      <c r="F1513" s="248"/>
      <c r="G1513" s="248"/>
      <c r="I1513" s="248"/>
      <c r="J1513" s="248"/>
      <c r="K1513" s="248"/>
      <c r="L1513" s="248"/>
      <c r="M1513" s="248"/>
      <c r="N1513" s="248"/>
      <c r="P1513" s="248"/>
      <c r="Q1513" s="248"/>
    </row>
    <row r="1514">
      <c r="A1514" s="248"/>
      <c r="B1514" s="248"/>
      <c r="C1514" s="248"/>
      <c r="D1514" s="248"/>
      <c r="E1514" s="248"/>
      <c r="F1514" s="248"/>
      <c r="G1514" s="248"/>
      <c r="I1514" s="248"/>
      <c r="J1514" s="248"/>
      <c r="K1514" s="248"/>
      <c r="L1514" s="248"/>
      <c r="M1514" s="248"/>
      <c r="N1514" s="248"/>
      <c r="P1514" s="248"/>
      <c r="Q1514" s="248"/>
    </row>
    <row r="1515">
      <c r="A1515" s="248"/>
      <c r="B1515" s="248"/>
      <c r="C1515" s="248"/>
      <c r="D1515" s="248"/>
      <c r="E1515" s="248"/>
      <c r="F1515" s="248"/>
      <c r="G1515" s="248"/>
      <c r="I1515" s="248"/>
      <c r="J1515" s="248"/>
      <c r="K1515" s="248"/>
      <c r="L1515" s="248"/>
      <c r="M1515" s="248"/>
      <c r="N1515" s="248"/>
      <c r="P1515" s="248"/>
      <c r="Q1515" s="248"/>
    </row>
    <row r="1516">
      <c r="A1516" s="248"/>
      <c r="B1516" s="248"/>
      <c r="C1516" s="248"/>
      <c r="D1516" s="248"/>
      <c r="E1516" s="248"/>
      <c r="F1516" s="248"/>
      <c r="G1516" s="248"/>
      <c r="I1516" s="248"/>
      <c r="J1516" s="248"/>
      <c r="K1516" s="248"/>
      <c r="L1516" s="248"/>
      <c r="M1516" s="248"/>
      <c r="N1516" s="248"/>
      <c r="P1516" s="248"/>
      <c r="Q1516" s="248"/>
    </row>
    <row r="1517">
      <c r="A1517" s="248"/>
      <c r="B1517" s="248"/>
      <c r="C1517" s="248"/>
      <c r="D1517" s="248"/>
      <c r="E1517" s="248"/>
      <c r="F1517" s="248"/>
      <c r="G1517" s="248"/>
      <c r="I1517" s="248"/>
      <c r="J1517" s="248"/>
      <c r="K1517" s="248"/>
      <c r="L1517" s="248"/>
      <c r="M1517" s="248"/>
      <c r="N1517" s="248"/>
      <c r="P1517" s="248"/>
      <c r="Q1517" s="248"/>
    </row>
    <row r="1518">
      <c r="A1518" s="248"/>
      <c r="B1518" s="248"/>
      <c r="C1518" s="248"/>
      <c r="D1518" s="248"/>
      <c r="E1518" s="248"/>
      <c r="F1518" s="248"/>
      <c r="G1518" s="248"/>
      <c r="I1518" s="248"/>
      <c r="J1518" s="248"/>
      <c r="K1518" s="248"/>
      <c r="L1518" s="248"/>
      <c r="M1518" s="248"/>
      <c r="N1518" s="248"/>
      <c r="P1518" s="248"/>
      <c r="Q1518" s="248"/>
    </row>
    <row r="1519">
      <c r="A1519" s="248"/>
      <c r="B1519" s="248"/>
      <c r="C1519" s="248"/>
      <c r="D1519" s="248"/>
      <c r="E1519" s="248"/>
      <c r="F1519" s="248"/>
      <c r="G1519" s="248"/>
      <c r="I1519" s="248"/>
      <c r="J1519" s="248"/>
      <c r="K1519" s="248"/>
      <c r="L1519" s="248"/>
      <c r="M1519" s="248"/>
      <c r="N1519" s="248"/>
      <c r="P1519" s="248"/>
      <c r="Q1519" s="248"/>
    </row>
    <row r="1520">
      <c r="A1520" s="248"/>
      <c r="B1520" s="248"/>
      <c r="C1520" s="248"/>
      <c r="D1520" s="248"/>
      <c r="E1520" s="248"/>
      <c r="F1520" s="248"/>
      <c r="G1520" s="248"/>
      <c r="I1520" s="248"/>
      <c r="J1520" s="248"/>
      <c r="K1520" s="248"/>
      <c r="L1520" s="248"/>
      <c r="M1520" s="248"/>
      <c r="N1520" s="248"/>
      <c r="P1520" s="248"/>
      <c r="Q1520" s="248"/>
    </row>
    <row r="1521">
      <c r="A1521" s="248"/>
      <c r="B1521" s="248"/>
      <c r="C1521" s="248"/>
      <c r="D1521" s="248"/>
      <c r="E1521" s="248"/>
      <c r="F1521" s="248"/>
      <c r="G1521" s="248"/>
      <c r="I1521" s="248"/>
      <c r="J1521" s="248"/>
      <c r="K1521" s="248"/>
      <c r="L1521" s="248"/>
      <c r="M1521" s="248"/>
      <c r="N1521" s="248"/>
      <c r="P1521" s="248"/>
      <c r="Q1521" s="248"/>
    </row>
    <row r="1522">
      <c r="A1522" s="248"/>
      <c r="B1522" s="248"/>
      <c r="C1522" s="248"/>
      <c r="D1522" s="248"/>
      <c r="E1522" s="248"/>
      <c r="F1522" s="248"/>
      <c r="G1522" s="248"/>
      <c r="I1522" s="248"/>
      <c r="J1522" s="248"/>
      <c r="K1522" s="248"/>
      <c r="L1522" s="248"/>
      <c r="M1522" s="248"/>
      <c r="N1522" s="248"/>
      <c r="P1522" s="248"/>
      <c r="Q1522" s="248"/>
    </row>
    <row r="1523">
      <c r="A1523" s="248"/>
      <c r="B1523" s="248"/>
      <c r="C1523" s="248"/>
      <c r="D1523" s="248"/>
      <c r="E1523" s="248"/>
      <c r="F1523" s="248"/>
      <c r="G1523" s="248"/>
      <c r="I1523" s="248"/>
      <c r="J1523" s="248"/>
      <c r="K1523" s="248"/>
      <c r="L1523" s="248"/>
      <c r="M1523" s="248"/>
      <c r="N1523" s="248"/>
      <c r="P1523" s="248"/>
      <c r="Q1523" s="248"/>
    </row>
    <row r="1524">
      <c r="A1524" s="248"/>
      <c r="B1524" s="248"/>
      <c r="C1524" s="248"/>
      <c r="D1524" s="248"/>
      <c r="E1524" s="248"/>
      <c r="F1524" s="248"/>
      <c r="G1524" s="248"/>
      <c r="I1524" s="248"/>
      <c r="J1524" s="248"/>
      <c r="K1524" s="248"/>
      <c r="L1524" s="248"/>
      <c r="M1524" s="248"/>
      <c r="N1524" s="248"/>
      <c r="P1524" s="248"/>
      <c r="Q1524" s="248"/>
    </row>
    <row r="1525">
      <c r="A1525" s="248"/>
      <c r="B1525" s="248"/>
      <c r="C1525" s="248"/>
      <c r="D1525" s="248"/>
      <c r="E1525" s="248"/>
      <c r="F1525" s="248"/>
      <c r="G1525" s="248"/>
      <c r="I1525" s="248"/>
      <c r="J1525" s="248"/>
      <c r="K1525" s="248"/>
      <c r="L1525" s="248"/>
      <c r="M1525" s="248"/>
      <c r="N1525" s="248"/>
      <c r="P1525" s="248"/>
      <c r="Q1525" s="248"/>
    </row>
    <row r="1526">
      <c r="A1526" s="248"/>
      <c r="B1526" s="248"/>
      <c r="C1526" s="248"/>
      <c r="D1526" s="248"/>
      <c r="E1526" s="248"/>
      <c r="F1526" s="248"/>
      <c r="G1526" s="248"/>
      <c r="I1526" s="248"/>
      <c r="J1526" s="248"/>
      <c r="K1526" s="248"/>
      <c r="L1526" s="248"/>
      <c r="M1526" s="248"/>
      <c r="N1526" s="248"/>
      <c r="P1526" s="248"/>
      <c r="Q1526" s="248"/>
    </row>
    <row r="1527">
      <c r="A1527" s="248"/>
      <c r="B1527" s="248"/>
      <c r="C1527" s="248"/>
      <c r="D1527" s="248"/>
      <c r="E1527" s="248"/>
      <c r="F1527" s="248"/>
      <c r="G1527" s="248"/>
      <c r="I1527" s="248"/>
      <c r="J1527" s="248"/>
      <c r="K1527" s="248"/>
      <c r="L1527" s="248"/>
      <c r="M1527" s="248"/>
      <c r="N1527" s="248"/>
      <c r="P1527" s="248"/>
      <c r="Q1527" s="248"/>
    </row>
    <row r="1528">
      <c r="A1528" s="248"/>
      <c r="B1528" s="248"/>
      <c r="C1528" s="248"/>
      <c r="D1528" s="248"/>
      <c r="E1528" s="248"/>
      <c r="F1528" s="248"/>
      <c r="G1528" s="248"/>
      <c r="I1528" s="248"/>
      <c r="J1528" s="248"/>
      <c r="K1528" s="248"/>
      <c r="L1528" s="248"/>
      <c r="M1528" s="248"/>
      <c r="N1528" s="248"/>
      <c r="P1528" s="248"/>
      <c r="Q1528" s="248"/>
    </row>
    <row r="1529">
      <c r="A1529" s="248"/>
      <c r="B1529" s="248"/>
      <c r="C1529" s="248"/>
      <c r="D1529" s="248"/>
      <c r="E1529" s="248"/>
      <c r="F1529" s="248"/>
      <c r="G1529" s="248"/>
      <c r="I1529" s="248"/>
      <c r="J1529" s="248"/>
      <c r="K1529" s="248"/>
      <c r="L1529" s="248"/>
      <c r="M1529" s="248"/>
      <c r="N1529" s="248"/>
      <c r="P1529" s="248"/>
      <c r="Q1529" s="248"/>
    </row>
    <row r="1530">
      <c r="A1530" s="248"/>
      <c r="B1530" s="248"/>
      <c r="C1530" s="248"/>
      <c r="D1530" s="248"/>
      <c r="E1530" s="248"/>
      <c r="F1530" s="248"/>
      <c r="G1530" s="248"/>
      <c r="I1530" s="248"/>
      <c r="J1530" s="248"/>
      <c r="K1530" s="248"/>
      <c r="L1530" s="248"/>
      <c r="M1530" s="248"/>
      <c r="N1530" s="248"/>
      <c r="P1530" s="248"/>
      <c r="Q1530" s="248"/>
    </row>
    <row r="1531">
      <c r="A1531" s="248"/>
      <c r="B1531" s="248"/>
      <c r="C1531" s="248"/>
      <c r="D1531" s="248"/>
      <c r="E1531" s="248"/>
      <c r="F1531" s="248"/>
      <c r="G1531" s="248"/>
      <c r="I1531" s="248"/>
      <c r="J1531" s="248"/>
      <c r="K1531" s="248"/>
      <c r="L1531" s="248"/>
      <c r="M1531" s="248"/>
      <c r="N1531" s="248"/>
      <c r="P1531" s="248"/>
      <c r="Q1531" s="248"/>
    </row>
    <row r="1532">
      <c r="A1532" s="248"/>
      <c r="B1532" s="248"/>
      <c r="C1532" s="248"/>
      <c r="D1532" s="248"/>
      <c r="E1532" s="248"/>
      <c r="F1532" s="248"/>
      <c r="G1532" s="248"/>
      <c r="I1532" s="248"/>
      <c r="J1532" s="248"/>
      <c r="K1532" s="248"/>
      <c r="L1532" s="248"/>
      <c r="M1532" s="248"/>
      <c r="N1532" s="248"/>
      <c r="P1532" s="248"/>
      <c r="Q1532" s="248"/>
    </row>
    <row r="1533">
      <c r="A1533" s="248"/>
      <c r="B1533" s="248"/>
      <c r="C1533" s="248"/>
      <c r="D1533" s="248"/>
      <c r="E1533" s="248"/>
      <c r="F1533" s="248"/>
      <c r="G1533" s="248"/>
      <c r="I1533" s="248"/>
      <c r="J1533" s="248"/>
      <c r="K1533" s="248"/>
      <c r="L1533" s="248"/>
      <c r="M1533" s="248"/>
      <c r="N1533" s="248"/>
      <c r="P1533" s="248"/>
      <c r="Q1533" s="248"/>
    </row>
    <row r="1534">
      <c r="A1534" s="248"/>
      <c r="B1534" s="248"/>
      <c r="C1534" s="248"/>
      <c r="D1534" s="248"/>
      <c r="E1534" s="248"/>
      <c r="F1534" s="248"/>
      <c r="G1534" s="248"/>
      <c r="I1534" s="248"/>
      <c r="J1534" s="248"/>
      <c r="K1534" s="248"/>
      <c r="L1534" s="248"/>
      <c r="M1534" s="248"/>
      <c r="N1534" s="248"/>
      <c r="P1534" s="248"/>
      <c r="Q1534" s="248"/>
    </row>
    <row r="1535">
      <c r="A1535" s="248"/>
      <c r="B1535" s="248"/>
      <c r="C1535" s="248"/>
      <c r="D1535" s="248"/>
      <c r="E1535" s="248"/>
      <c r="F1535" s="248"/>
      <c r="G1535" s="248"/>
      <c r="I1535" s="248"/>
      <c r="J1535" s="248"/>
      <c r="K1535" s="248"/>
      <c r="L1535" s="248"/>
      <c r="M1535" s="248"/>
      <c r="N1535" s="248"/>
      <c r="P1535" s="248"/>
      <c r="Q1535" s="248"/>
    </row>
    <row r="1536">
      <c r="A1536" s="248"/>
      <c r="B1536" s="248"/>
      <c r="C1536" s="248"/>
      <c r="D1536" s="248"/>
      <c r="E1536" s="248"/>
      <c r="F1536" s="248"/>
      <c r="G1536" s="248"/>
      <c r="I1536" s="248"/>
      <c r="J1536" s="248"/>
      <c r="K1536" s="248"/>
      <c r="L1536" s="248"/>
      <c r="M1536" s="248"/>
      <c r="N1536" s="248"/>
      <c r="P1536" s="248"/>
      <c r="Q1536" s="248"/>
    </row>
    <row r="1537">
      <c r="A1537" s="248"/>
      <c r="B1537" s="248"/>
      <c r="C1537" s="248"/>
      <c r="D1537" s="248"/>
      <c r="E1537" s="248"/>
      <c r="F1537" s="248"/>
      <c r="G1537" s="248"/>
      <c r="I1537" s="248"/>
      <c r="J1537" s="248"/>
      <c r="K1537" s="248"/>
      <c r="L1537" s="248"/>
      <c r="M1537" s="248"/>
      <c r="N1537" s="248"/>
      <c r="P1537" s="248"/>
      <c r="Q1537" s="248"/>
    </row>
    <row r="1538">
      <c r="A1538" s="248"/>
      <c r="B1538" s="248"/>
      <c r="C1538" s="248"/>
      <c r="D1538" s="248"/>
      <c r="E1538" s="248"/>
      <c r="F1538" s="248"/>
      <c r="G1538" s="248"/>
      <c r="I1538" s="248"/>
      <c r="J1538" s="248"/>
      <c r="K1538" s="248"/>
      <c r="L1538" s="248"/>
      <c r="M1538" s="248"/>
      <c r="N1538" s="248"/>
      <c r="P1538" s="248"/>
      <c r="Q1538" s="248"/>
    </row>
    <row r="1539">
      <c r="A1539" s="248"/>
      <c r="B1539" s="248"/>
      <c r="C1539" s="248"/>
      <c r="D1539" s="248"/>
      <c r="E1539" s="248"/>
      <c r="F1539" s="248"/>
      <c r="G1539" s="248"/>
      <c r="I1539" s="248"/>
      <c r="J1539" s="248"/>
      <c r="K1539" s="248"/>
      <c r="L1539" s="248"/>
      <c r="M1539" s="248"/>
      <c r="N1539" s="248"/>
      <c r="P1539" s="248"/>
      <c r="Q1539" s="248"/>
    </row>
    <row r="1540">
      <c r="A1540" s="248"/>
      <c r="B1540" s="248"/>
      <c r="C1540" s="248"/>
      <c r="D1540" s="248"/>
      <c r="E1540" s="248"/>
      <c r="F1540" s="248"/>
      <c r="G1540" s="248"/>
      <c r="I1540" s="248"/>
      <c r="J1540" s="248"/>
      <c r="K1540" s="248"/>
      <c r="L1540" s="248"/>
      <c r="M1540" s="248"/>
      <c r="N1540" s="248"/>
      <c r="P1540" s="248"/>
      <c r="Q1540" s="248"/>
    </row>
    <row r="1541">
      <c r="A1541" s="248"/>
      <c r="B1541" s="248"/>
      <c r="C1541" s="248"/>
      <c r="D1541" s="248"/>
      <c r="E1541" s="248"/>
      <c r="F1541" s="248"/>
      <c r="G1541" s="248"/>
      <c r="I1541" s="248"/>
      <c r="J1541" s="248"/>
      <c r="K1541" s="248"/>
      <c r="L1541" s="248"/>
      <c r="M1541" s="248"/>
      <c r="N1541" s="248"/>
      <c r="P1541" s="248"/>
      <c r="Q1541" s="248"/>
    </row>
    <row r="1542">
      <c r="A1542" s="248"/>
      <c r="B1542" s="248"/>
      <c r="C1542" s="248"/>
      <c r="D1542" s="248"/>
      <c r="E1542" s="248"/>
      <c r="F1542" s="248"/>
      <c r="G1542" s="248"/>
      <c r="I1542" s="248"/>
      <c r="J1542" s="248"/>
      <c r="K1542" s="248"/>
      <c r="L1542" s="248"/>
      <c r="M1542" s="248"/>
      <c r="N1542" s="248"/>
      <c r="P1542" s="248"/>
      <c r="Q1542" s="248"/>
    </row>
    <row r="1543">
      <c r="A1543" s="248"/>
      <c r="B1543" s="248"/>
      <c r="C1543" s="248"/>
      <c r="D1543" s="248"/>
      <c r="E1543" s="248"/>
      <c r="F1543" s="248"/>
      <c r="G1543" s="248"/>
      <c r="I1543" s="248"/>
      <c r="J1543" s="248"/>
      <c r="K1543" s="248"/>
      <c r="L1543" s="248"/>
      <c r="M1543" s="248"/>
      <c r="N1543" s="248"/>
      <c r="P1543" s="248"/>
      <c r="Q1543" s="248"/>
    </row>
    <row r="1544">
      <c r="A1544" s="248"/>
      <c r="B1544" s="248"/>
      <c r="C1544" s="248"/>
      <c r="D1544" s="248"/>
      <c r="E1544" s="248"/>
      <c r="F1544" s="248"/>
      <c r="G1544" s="248"/>
      <c r="I1544" s="248"/>
      <c r="J1544" s="248"/>
      <c r="K1544" s="248"/>
      <c r="L1544" s="248"/>
      <c r="M1544" s="248"/>
      <c r="N1544" s="248"/>
      <c r="P1544" s="248"/>
      <c r="Q1544" s="248"/>
    </row>
    <row r="1545">
      <c r="A1545" s="248"/>
      <c r="B1545" s="248"/>
      <c r="C1545" s="248"/>
      <c r="D1545" s="248"/>
      <c r="E1545" s="248"/>
      <c r="F1545" s="248"/>
      <c r="G1545" s="248"/>
      <c r="I1545" s="248"/>
      <c r="J1545" s="248"/>
      <c r="K1545" s="248"/>
      <c r="L1545" s="248"/>
      <c r="M1545" s="248"/>
      <c r="N1545" s="248"/>
      <c r="P1545" s="248"/>
      <c r="Q1545" s="248"/>
    </row>
    <row r="1546">
      <c r="A1546" s="248"/>
      <c r="B1546" s="248"/>
      <c r="C1546" s="248"/>
      <c r="D1546" s="248"/>
      <c r="E1546" s="248"/>
      <c r="F1546" s="248"/>
      <c r="G1546" s="248"/>
      <c r="I1546" s="248"/>
      <c r="J1546" s="248"/>
      <c r="K1546" s="248"/>
      <c r="L1546" s="248"/>
      <c r="M1546" s="248"/>
      <c r="N1546" s="248"/>
      <c r="P1546" s="248"/>
      <c r="Q1546" s="248"/>
    </row>
    <row r="1547">
      <c r="A1547" s="248"/>
      <c r="B1547" s="248"/>
      <c r="C1547" s="248"/>
      <c r="D1547" s="248"/>
      <c r="E1547" s="248"/>
      <c r="F1547" s="248"/>
      <c r="G1547" s="248"/>
      <c r="I1547" s="248"/>
      <c r="J1547" s="248"/>
      <c r="K1547" s="248"/>
      <c r="L1547" s="248"/>
      <c r="M1547" s="248"/>
      <c r="N1547" s="248"/>
      <c r="P1547" s="248"/>
      <c r="Q1547" s="248"/>
    </row>
    <row r="1548">
      <c r="A1548" s="248"/>
      <c r="B1548" s="248"/>
      <c r="C1548" s="248"/>
      <c r="D1548" s="248"/>
      <c r="E1548" s="248"/>
      <c r="F1548" s="248"/>
      <c r="G1548" s="248"/>
      <c r="I1548" s="248"/>
      <c r="J1548" s="248"/>
      <c r="K1548" s="248"/>
      <c r="L1548" s="248"/>
      <c r="M1548" s="248"/>
      <c r="N1548" s="248"/>
      <c r="P1548" s="248"/>
      <c r="Q1548" s="248"/>
    </row>
    <row r="1549">
      <c r="A1549" s="248"/>
      <c r="B1549" s="248"/>
      <c r="C1549" s="248"/>
      <c r="D1549" s="248"/>
      <c r="E1549" s="248"/>
      <c r="F1549" s="248"/>
      <c r="G1549" s="248"/>
      <c r="I1549" s="248"/>
      <c r="J1549" s="248"/>
      <c r="K1549" s="248"/>
      <c r="L1549" s="248"/>
      <c r="M1549" s="248"/>
      <c r="N1549" s="248"/>
      <c r="P1549" s="248"/>
      <c r="Q1549" s="248"/>
    </row>
    <row r="1550">
      <c r="A1550" s="248"/>
      <c r="B1550" s="248"/>
      <c r="C1550" s="248"/>
      <c r="D1550" s="248"/>
      <c r="E1550" s="248"/>
      <c r="F1550" s="248"/>
      <c r="G1550" s="248"/>
      <c r="I1550" s="248"/>
      <c r="J1550" s="248"/>
      <c r="K1550" s="248"/>
      <c r="L1550" s="248"/>
      <c r="M1550" s="248"/>
      <c r="N1550" s="248"/>
      <c r="P1550" s="248"/>
      <c r="Q1550" s="248"/>
    </row>
    <row r="1551">
      <c r="A1551" s="248"/>
      <c r="B1551" s="248"/>
      <c r="C1551" s="248"/>
      <c r="D1551" s="248"/>
      <c r="E1551" s="248"/>
      <c r="F1551" s="248"/>
      <c r="G1551" s="248"/>
      <c r="I1551" s="248"/>
      <c r="J1551" s="248"/>
      <c r="K1551" s="248"/>
      <c r="L1551" s="248"/>
      <c r="M1551" s="248"/>
      <c r="N1551" s="248"/>
      <c r="P1551" s="248"/>
      <c r="Q1551" s="248"/>
    </row>
    <row r="1552">
      <c r="A1552" s="248"/>
      <c r="B1552" s="248"/>
      <c r="C1552" s="248"/>
      <c r="D1552" s="248"/>
      <c r="E1552" s="248"/>
      <c r="F1552" s="248"/>
      <c r="G1552" s="248"/>
      <c r="I1552" s="248"/>
      <c r="J1552" s="248"/>
      <c r="K1552" s="248"/>
      <c r="L1552" s="248"/>
      <c r="M1552" s="248"/>
      <c r="N1552" s="248"/>
      <c r="P1552" s="248"/>
      <c r="Q1552" s="248"/>
    </row>
    <row r="1553">
      <c r="A1553" s="248"/>
      <c r="B1553" s="248"/>
      <c r="C1553" s="248"/>
      <c r="D1553" s="248"/>
      <c r="E1553" s="248"/>
      <c r="F1553" s="248"/>
      <c r="G1553" s="248"/>
      <c r="I1553" s="248"/>
      <c r="J1553" s="248"/>
      <c r="K1553" s="248"/>
      <c r="L1553" s="248"/>
      <c r="M1553" s="248"/>
      <c r="N1553" s="248"/>
      <c r="P1553" s="248"/>
      <c r="Q1553" s="248"/>
    </row>
    <row r="1554">
      <c r="A1554" s="248"/>
      <c r="B1554" s="248"/>
      <c r="C1554" s="248"/>
      <c r="D1554" s="248"/>
      <c r="E1554" s="248"/>
      <c r="F1554" s="248"/>
      <c r="G1554" s="248"/>
      <c r="I1554" s="248"/>
      <c r="J1554" s="248"/>
      <c r="K1554" s="248"/>
      <c r="L1554" s="248"/>
      <c r="M1554" s="248"/>
      <c r="N1554" s="248"/>
      <c r="P1554" s="248"/>
      <c r="Q1554" s="248"/>
    </row>
    <row r="1555">
      <c r="A1555" s="248"/>
      <c r="B1555" s="248"/>
      <c r="C1555" s="248"/>
      <c r="D1555" s="248"/>
      <c r="E1555" s="248"/>
      <c r="F1555" s="248"/>
      <c r="G1555" s="248"/>
      <c r="I1555" s="248"/>
      <c r="J1555" s="248"/>
      <c r="K1555" s="248"/>
      <c r="L1555" s="248"/>
      <c r="M1555" s="248"/>
      <c r="N1555" s="248"/>
      <c r="P1555" s="248"/>
      <c r="Q1555" s="248"/>
    </row>
    <row r="1556">
      <c r="A1556" s="248"/>
      <c r="B1556" s="248"/>
      <c r="C1556" s="248"/>
      <c r="D1556" s="248"/>
      <c r="E1556" s="248"/>
      <c r="F1556" s="248"/>
      <c r="G1556" s="248"/>
      <c r="I1556" s="248"/>
      <c r="J1556" s="248"/>
      <c r="K1556" s="248"/>
      <c r="L1556" s="248"/>
      <c r="M1556" s="248"/>
      <c r="N1556" s="248"/>
      <c r="P1556" s="248"/>
      <c r="Q1556" s="248"/>
    </row>
    <row r="1557">
      <c r="A1557" s="248"/>
      <c r="B1557" s="248"/>
      <c r="C1557" s="248"/>
      <c r="D1557" s="248"/>
      <c r="E1557" s="248"/>
      <c r="F1557" s="248"/>
      <c r="G1557" s="248"/>
      <c r="I1557" s="248"/>
      <c r="J1557" s="248"/>
      <c r="K1557" s="248"/>
      <c r="L1557" s="248"/>
      <c r="M1557" s="248"/>
      <c r="N1557" s="248"/>
      <c r="P1557" s="248"/>
      <c r="Q1557" s="248"/>
    </row>
    <row r="1558">
      <c r="A1558" s="248"/>
      <c r="B1558" s="248"/>
      <c r="C1558" s="248"/>
      <c r="D1558" s="248"/>
      <c r="E1558" s="248"/>
      <c r="F1558" s="248"/>
      <c r="G1558" s="248"/>
      <c r="I1558" s="248"/>
      <c r="J1558" s="248"/>
      <c r="K1558" s="248"/>
      <c r="L1558" s="248"/>
      <c r="M1558" s="248"/>
      <c r="N1558" s="248"/>
      <c r="P1558" s="248"/>
      <c r="Q1558" s="248"/>
    </row>
    <row r="1559">
      <c r="A1559" s="248"/>
      <c r="B1559" s="248"/>
      <c r="C1559" s="248"/>
      <c r="D1559" s="248"/>
      <c r="E1559" s="248"/>
      <c r="F1559" s="248"/>
      <c r="G1559" s="248"/>
      <c r="I1559" s="248"/>
      <c r="J1559" s="248"/>
      <c r="K1559" s="248"/>
      <c r="L1559" s="248"/>
      <c r="M1559" s="248"/>
      <c r="N1559" s="248"/>
      <c r="P1559" s="248"/>
      <c r="Q1559" s="248"/>
    </row>
    <row r="1560">
      <c r="A1560" s="248"/>
      <c r="B1560" s="248"/>
      <c r="C1560" s="248"/>
      <c r="D1560" s="248"/>
      <c r="E1560" s="248"/>
      <c r="F1560" s="248"/>
      <c r="G1560" s="248"/>
      <c r="I1560" s="248"/>
      <c r="J1560" s="248"/>
      <c r="K1560" s="248"/>
      <c r="L1560" s="248"/>
      <c r="M1560" s="248"/>
      <c r="N1560" s="248"/>
      <c r="P1560" s="248"/>
      <c r="Q1560" s="248"/>
    </row>
    <row r="1561">
      <c r="A1561" s="248"/>
      <c r="B1561" s="248"/>
      <c r="C1561" s="248"/>
      <c r="D1561" s="248"/>
      <c r="E1561" s="248"/>
      <c r="F1561" s="248"/>
      <c r="G1561" s="248"/>
      <c r="I1561" s="248"/>
      <c r="J1561" s="248"/>
      <c r="K1561" s="248"/>
      <c r="L1561" s="248"/>
      <c r="M1561" s="248"/>
      <c r="N1561" s="248"/>
      <c r="P1561" s="248"/>
      <c r="Q1561" s="248"/>
    </row>
    <row r="1562">
      <c r="A1562" s="248"/>
      <c r="B1562" s="248"/>
      <c r="C1562" s="248"/>
      <c r="D1562" s="248"/>
      <c r="E1562" s="248"/>
      <c r="F1562" s="248"/>
      <c r="G1562" s="248"/>
      <c r="I1562" s="248"/>
      <c r="J1562" s="248"/>
      <c r="K1562" s="248"/>
      <c r="L1562" s="248"/>
      <c r="M1562" s="248"/>
      <c r="N1562" s="248"/>
      <c r="P1562" s="248"/>
      <c r="Q1562" s="248"/>
    </row>
    <row r="1563">
      <c r="A1563" s="248"/>
      <c r="B1563" s="248"/>
      <c r="C1563" s="248"/>
      <c r="D1563" s="248"/>
      <c r="E1563" s="248"/>
      <c r="F1563" s="248"/>
      <c r="G1563" s="248"/>
      <c r="I1563" s="248"/>
      <c r="J1563" s="248"/>
      <c r="K1563" s="248"/>
      <c r="L1563" s="248"/>
      <c r="M1563" s="248"/>
      <c r="N1563" s="248"/>
      <c r="P1563" s="248"/>
      <c r="Q1563" s="248"/>
    </row>
    <row r="1564">
      <c r="A1564" s="248"/>
      <c r="B1564" s="248"/>
      <c r="C1564" s="248"/>
      <c r="D1564" s="248"/>
      <c r="E1564" s="248"/>
      <c r="F1564" s="248"/>
      <c r="G1564" s="248"/>
      <c r="I1564" s="248"/>
      <c r="J1564" s="248"/>
      <c r="K1564" s="248"/>
      <c r="L1564" s="248"/>
      <c r="M1564" s="248"/>
      <c r="N1564" s="248"/>
      <c r="P1564" s="248"/>
      <c r="Q1564" s="248"/>
    </row>
    <row r="1565">
      <c r="A1565" s="248"/>
      <c r="B1565" s="248"/>
      <c r="C1565" s="248"/>
      <c r="D1565" s="248"/>
      <c r="E1565" s="248"/>
      <c r="F1565" s="248"/>
      <c r="G1565" s="248"/>
      <c r="I1565" s="248"/>
      <c r="J1565" s="248"/>
      <c r="K1565" s="248"/>
      <c r="L1565" s="248"/>
      <c r="M1565" s="248"/>
      <c r="N1565" s="248"/>
      <c r="P1565" s="248"/>
      <c r="Q1565" s="248"/>
    </row>
    <row r="1566">
      <c r="A1566" s="248"/>
      <c r="B1566" s="248"/>
      <c r="C1566" s="248"/>
      <c r="D1566" s="248"/>
      <c r="E1566" s="248"/>
      <c r="F1566" s="248"/>
      <c r="G1566" s="248"/>
      <c r="I1566" s="248"/>
      <c r="J1566" s="248"/>
      <c r="K1566" s="248"/>
      <c r="L1566" s="248"/>
      <c r="M1566" s="248"/>
      <c r="N1566" s="248"/>
      <c r="P1566" s="248"/>
      <c r="Q1566" s="248"/>
    </row>
    <row r="1567">
      <c r="A1567" s="248"/>
      <c r="B1567" s="248"/>
      <c r="C1567" s="248"/>
      <c r="D1567" s="248"/>
      <c r="E1567" s="248"/>
      <c r="F1567" s="248"/>
      <c r="G1567" s="248"/>
      <c r="I1567" s="248"/>
      <c r="J1567" s="248"/>
      <c r="K1567" s="248"/>
      <c r="L1567" s="248"/>
      <c r="M1567" s="248"/>
      <c r="N1567" s="248"/>
      <c r="P1567" s="248"/>
      <c r="Q1567" s="248"/>
    </row>
    <row r="1568">
      <c r="A1568" s="248"/>
      <c r="B1568" s="248"/>
      <c r="C1568" s="248"/>
      <c r="D1568" s="248"/>
      <c r="E1568" s="248"/>
      <c r="F1568" s="248"/>
      <c r="G1568" s="248"/>
      <c r="I1568" s="248"/>
      <c r="J1568" s="248"/>
      <c r="K1568" s="248"/>
      <c r="L1568" s="248"/>
      <c r="M1568" s="248"/>
      <c r="N1568" s="248"/>
      <c r="P1568" s="248"/>
      <c r="Q1568" s="248"/>
    </row>
    <row r="1569">
      <c r="A1569" s="248"/>
      <c r="B1569" s="248"/>
      <c r="C1569" s="248"/>
      <c r="D1569" s="248"/>
      <c r="E1569" s="248"/>
      <c r="F1569" s="248"/>
      <c r="G1569" s="248"/>
      <c r="I1569" s="248"/>
      <c r="J1569" s="248"/>
      <c r="K1569" s="248"/>
      <c r="L1569" s="248"/>
      <c r="M1569" s="248"/>
      <c r="N1569" s="248"/>
      <c r="P1569" s="248"/>
      <c r="Q1569" s="248"/>
    </row>
    <row r="1570">
      <c r="A1570" s="248"/>
      <c r="B1570" s="248"/>
      <c r="C1570" s="248"/>
      <c r="D1570" s="248"/>
      <c r="E1570" s="248"/>
      <c r="F1570" s="248"/>
      <c r="G1570" s="248"/>
      <c r="I1570" s="248"/>
      <c r="J1570" s="248"/>
      <c r="K1570" s="248"/>
      <c r="L1570" s="248"/>
      <c r="M1570" s="248"/>
      <c r="N1570" s="248"/>
      <c r="P1570" s="248"/>
      <c r="Q1570" s="248"/>
    </row>
    <row r="1571">
      <c r="A1571" s="248"/>
      <c r="B1571" s="248"/>
      <c r="C1571" s="248"/>
      <c r="D1571" s="248"/>
      <c r="E1571" s="248"/>
      <c r="F1571" s="248"/>
      <c r="G1571" s="248"/>
      <c r="I1571" s="248"/>
      <c r="J1571" s="248"/>
      <c r="K1571" s="248"/>
      <c r="L1571" s="248"/>
      <c r="M1571" s="248"/>
      <c r="N1571" s="248"/>
      <c r="P1571" s="248"/>
      <c r="Q1571" s="248"/>
    </row>
    <row r="1572">
      <c r="A1572" s="248"/>
      <c r="B1572" s="248"/>
      <c r="C1572" s="248"/>
      <c r="D1572" s="248"/>
      <c r="E1572" s="248"/>
      <c r="F1572" s="248"/>
      <c r="G1572" s="248"/>
      <c r="I1572" s="248"/>
      <c r="J1572" s="248"/>
      <c r="K1572" s="248"/>
      <c r="L1572" s="248"/>
      <c r="M1572" s="248"/>
      <c r="N1572" s="248"/>
      <c r="P1572" s="248"/>
      <c r="Q1572" s="248"/>
    </row>
    <row r="1573">
      <c r="A1573" s="248"/>
      <c r="B1573" s="248"/>
      <c r="C1573" s="248"/>
      <c r="D1573" s="248"/>
      <c r="E1573" s="248"/>
      <c r="F1573" s="248"/>
      <c r="G1573" s="248"/>
      <c r="I1573" s="248"/>
      <c r="J1573" s="248"/>
      <c r="K1573" s="248"/>
      <c r="L1573" s="248"/>
      <c r="M1573" s="248"/>
      <c r="N1573" s="248"/>
      <c r="P1573" s="248"/>
      <c r="Q1573" s="248"/>
    </row>
    <row r="1574">
      <c r="A1574" s="248"/>
      <c r="B1574" s="248"/>
      <c r="C1574" s="248"/>
      <c r="D1574" s="248"/>
      <c r="E1574" s="248"/>
      <c r="F1574" s="248"/>
      <c r="G1574" s="248"/>
      <c r="I1574" s="248"/>
      <c r="J1574" s="248"/>
      <c r="K1574" s="248"/>
      <c r="L1574" s="248"/>
      <c r="M1574" s="248"/>
      <c r="N1574" s="248"/>
      <c r="P1574" s="248"/>
      <c r="Q1574" s="248"/>
    </row>
    <row r="1575">
      <c r="A1575" s="248"/>
      <c r="B1575" s="248"/>
      <c r="C1575" s="248"/>
      <c r="D1575" s="248"/>
      <c r="E1575" s="248"/>
      <c r="F1575" s="248"/>
      <c r="G1575" s="248"/>
      <c r="I1575" s="248"/>
      <c r="J1575" s="248"/>
      <c r="K1575" s="248"/>
      <c r="L1575" s="248"/>
      <c r="M1575" s="248"/>
      <c r="N1575" s="248"/>
      <c r="P1575" s="248"/>
      <c r="Q1575" s="248"/>
    </row>
    <row r="1576">
      <c r="A1576" s="248"/>
      <c r="B1576" s="248"/>
      <c r="C1576" s="248"/>
      <c r="D1576" s="248"/>
      <c r="E1576" s="248"/>
      <c r="F1576" s="248"/>
      <c r="G1576" s="248"/>
      <c r="I1576" s="248"/>
      <c r="J1576" s="248"/>
      <c r="K1576" s="248"/>
      <c r="L1576" s="248"/>
      <c r="M1576" s="248"/>
      <c r="N1576" s="248"/>
      <c r="P1576" s="248"/>
      <c r="Q1576" s="248"/>
    </row>
    <row r="1577">
      <c r="A1577" s="248"/>
      <c r="B1577" s="248"/>
      <c r="C1577" s="248"/>
      <c r="D1577" s="248"/>
      <c r="E1577" s="248"/>
      <c r="F1577" s="248"/>
      <c r="G1577" s="248"/>
      <c r="I1577" s="248"/>
      <c r="J1577" s="248"/>
      <c r="K1577" s="248"/>
      <c r="L1577" s="248"/>
      <c r="M1577" s="248"/>
      <c r="N1577" s="248"/>
      <c r="P1577" s="248"/>
      <c r="Q1577" s="248"/>
    </row>
    <row r="1578">
      <c r="A1578" s="248"/>
      <c r="B1578" s="248"/>
      <c r="C1578" s="248"/>
      <c r="D1578" s="248"/>
      <c r="E1578" s="248"/>
      <c r="F1578" s="248"/>
      <c r="G1578" s="248"/>
      <c r="I1578" s="248"/>
      <c r="J1578" s="248"/>
      <c r="K1578" s="248"/>
      <c r="L1578" s="248"/>
      <c r="M1578" s="248"/>
      <c r="N1578" s="248"/>
      <c r="P1578" s="248"/>
      <c r="Q1578" s="248"/>
    </row>
    <row r="1579">
      <c r="A1579" s="248"/>
      <c r="B1579" s="248"/>
      <c r="C1579" s="248"/>
      <c r="D1579" s="248"/>
      <c r="E1579" s="248"/>
      <c r="F1579" s="248"/>
      <c r="G1579" s="248"/>
      <c r="I1579" s="248"/>
      <c r="J1579" s="248"/>
      <c r="K1579" s="248"/>
      <c r="L1579" s="248"/>
      <c r="M1579" s="248"/>
      <c r="N1579" s="248"/>
      <c r="P1579" s="248"/>
      <c r="Q1579" s="248"/>
    </row>
    <row r="1580">
      <c r="A1580" s="248"/>
      <c r="B1580" s="248"/>
      <c r="C1580" s="248"/>
      <c r="D1580" s="248"/>
      <c r="E1580" s="248"/>
      <c r="F1580" s="248"/>
      <c r="G1580" s="248"/>
      <c r="I1580" s="248"/>
      <c r="J1580" s="248"/>
      <c r="K1580" s="248"/>
      <c r="L1580" s="248"/>
      <c r="M1580" s="248"/>
      <c r="N1580" s="248"/>
      <c r="P1580" s="248"/>
      <c r="Q1580" s="248"/>
    </row>
    <row r="1581">
      <c r="A1581" s="248"/>
      <c r="B1581" s="248"/>
      <c r="C1581" s="248"/>
      <c r="D1581" s="248"/>
      <c r="E1581" s="248"/>
      <c r="F1581" s="248"/>
      <c r="G1581" s="248"/>
      <c r="I1581" s="248"/>
      <c r="J1581" s="248"/>
      <c r="K1581" s="248"/>
      <c r="L1581" s="248"/>
      <c r="M1581" s="248"/>
      <c r="N1581" s="248"/>
      <c r="P1581" s="248"/>
      <c r="Q1581" s="248"/>
    </row>
    <row r="1582">
      <c r="A1582" s="248"/>
      <c r="B1582" s="248"/>
      <c r="C1582" s="248"/>
      <c r="D1582" s="248"/>
      <c r="E1582" s="248"/>
      <c r="F1582" s="248"/>
      <c r="G1582" s="248"/>
      <c r="I1582" s="248"/>
      <c r="J1582" s="248"/>
      <c r="K1582" s="248"/>
      <c r="L1582" s="248"/>
      <c r="M1582" s="248"/>
      <c r="N1582" s="248"/>
      <c r="P1582" s="248"/>
      <c r="Q1582" s="248"/>
    </row>
    <row r="1583">
      <c r="A1583" s="248"/>
      <c r="B1583" s="248"/>
      <c r="C1583" s="248"/>
      <c r="D1583" s="248"/>
      <c r="E1583" s="248"/>
      <c r="F1583" s="248"/>
      <c r="G1583" s="248"/>
      <c r="I1583" s="248"/>
      <c r="J1583" s="248"/>
      <c r="K1583" s="248"/>
      <c r="L1583" s="248"/>
      <c r="M1583" s="248"/>
      <c r="N1583" s="248"/>
      <c r="P1583" s="248"/>
      <c r="Q1583" s="248"/>
    </row>
    <row r="1584">
      <c r="A1584" s="248"/>
      <c r="B1584" s="248"/>
      <c r="C1584" s="248"/>
      <c r="D1584" s="248"/>
      <c r="E1584" s="248"/>
      <c r="F1584" s="248"/>
      <c r="G1584" s="248"/>
      <c r="I1584" s="248"/>
      <c r="J1584" s="248"/>
      <c r="K1584" s="248"/>
      <c r="L1584" s="248"/>
      <c r="M1584" s="248"/>
      <c r="N1584" s="248"/>
      <c r="P1584" s="248"/>
      <c r="Q1584" s="248"/>
    </row>
    <row r="1585">
      <c r="A1585" s="248"/>
      <c r="B1585" s="248"/>
      <c r="C1585" s="248"/>
      <c r="D1585" s="248"/>
      <c r="E1585" s="248"/>
      <c r="F1585" s="248"/>
      <c r="G1585" s="248"/>
      <c r="I1585" s="248"/>
      <c r="J1585" s="248"/>
      <c r="K1585" s="248"/>
      <c r="L1585" s="248"/>
      <c r="M1585" s="248"/>
      <c r="N1585" s="248"/>
      <c r="P1585" s="248"/>
      <c r="Q1585" s="248"/>
    </row>
    <row r="1586">
      <c r="A1586" s="248"/>
      <c r="B1586" s="248"/>
      <c r="C1586" s="248"/>
      <c r="D1586" s="248"/>
      <c r="E1586" s="248"/>
      <c r="F1586" s="248"/>
      <c r="G1586" s="248"/>
      <c r="I1586" s="248"/>
      <c r="J1586" s="248"/>
      <c r="K1586" s="248"/>
      <c r="L1586" s="248"/>
      <c r="M1586" s="248"/>
      <c r="N1586" s="248"/>
      <c r="P1586" s="248"/>
      <c r="Q1586" s="248"/>
    </row>
    <row r="1587">
      <c r="A1587" s="248"/>
      <c r="B1587" s="248"/>
      <c r="C1587" s="248"/>
      <c r="D1587" s="248"/>
      <c r="E1587" s="248"/>
      <c r="F1587" s="248"/>
      <c r="G1587" s="248"/>
      <c r="I1587" s="248"/>
      <c r="J1587" s="248"/>
      <c r="K1587" s="248"/>
      <c r="L1587" s="248"/>
      <c r="M1587" s="248"/>
      <c r="N1587" s="248"/>
      <c r="P1587" s="248"/>
      <c r="Q1587" s="248"/>
    </row>
    <row r="1588">
      <c r="A1588" s="248"/>
      <c r="B1588" s="248"/>
      <c r="C1588" s="248"/>
      <c r="D1588" s="248"/>
      <c r="E1588" s="248"/>
      <c r="F1588" s="248"/>
      <c r="G1588" s="248"/>
      <c r="I1588" s="248"/>
      <c r="J1588" s="248"/>
      <c r="K1588" s="248"/>
      <c r="L1588" s="248"/>
      <c r="M1588" s="248"/>
      <c r="N1588" s="248"/>
      <c r="P1588" s="248"/>
      <c r="Q1588" s="248"/>
    </row>
    <row r="1589">
      <c r="A1589" s="248"/>
      <c r="B1589" s="248"/>
      <c r="C1589" s="248"/>
      <c r="D1589" s="248"/>
      <c r="E1589" s="248"/>
      <c r="F1589" s="248"/>
      <c r="G1589" s="248"/>
      <c r="I1589" s="248"/>
      <c r="J1589" s="248"/>
      <c r="K1589" s="248"/>
      <c r="L1589" s="248"/>
      <c r="M1589" s="248"/>
      <c r="N1589" s="248"/>
      <c r="P1589" s="248"/>
      <c r="Q1589" s="248"/>
    </row>
    <row r="1590">
      <c r="A1590" s="248"/>
      <c r="B1590" s="248"/>
      <c r="C1590" s="248"/>
      <c r="D1590" s="248"/>
      <c r="E1590" s="248"/>
      <c r="F1590" s="248"/>
      <c r="G1590" s="248"/>
      <c r="I1590" s="248"/>
      <c r="J1590" s="248"/>
      <c r="K1590" s="248"/>
      <c r="L1590" s="248"/>
      <c r="M1590" s="248"/>
      <c r="N1590" s="248"/>
      <c r="P1590" s="248"/>
      <c r="Q1590" s="248"/>
    </row>
    <row r="1591">
      <c r="A1591" s="248"/>
      <c r="B1591" s="248"/>
      <c r="C1591" s="248"/>
      <c r="D1591" s="248"/>
      <c r="E1591" s="248"/>
      <c r="F1591" s="248"/>
      <c r="G1591" s="248"/>
      <c r="I1591" s="248"/>
      <c r="J1591" s="248"/>
      <c r="K1591" s="248"/>
      <c r="L1591" s="248"/>
      <c r="M1591" s="248"/>
      <c r="N1591" s="248"/>
      <c r="P1591" s="248"/>
      <c r="Q1591" s="248"/>
    </row>
    <row r="1592">
      <c r="A1592" s="248"/>
      <c r="B1592" s="248"/>
      <c r="C1592" s="248"/>
      <c r="D1592" s="248"/>
      <c r="E1592" s="248"/>
      <c r="F1592" s="248"/>
      <c r="G1592" s="248"/>
      <c r="I1592" s="248"/>
      <c r="J1592" s="248"/>
      <c r="K1592" s="248"/>
      <c r="L1592" s="248"/>
      <c r="M1592" s="248"/>
      <c r="N1592" s="248"/>
      <c r="P1592" s="248"/>
      <c r="Q1592" s="248"/>
    </row>
    <row r="1593">
      <c r="A1593" s="248"/>
      <c r="B1593" s="248"/>
      <c r="C1593" s="248"/>
      <c r="D1593" s="248"/>
      <c r="E1593" s="248"/>
      <c r="F1593" s="248"/>
      <c r="G1593" s="248"/>
      <c r="I1593" s="248"/>
      <c r="J1593" s="248"/>
      <c r="K1593" s="248"/>
      <c r="L1593" s="248"/>
      <c r="M1593" s="248"/>
      <c r="N1593" s="248"/>
      <c r="P1593" s="248"/>
      <c r="Q1593" s="248"/>
    </row>
    <row r="1594">
      <c r="A1594" s="248"/>
      <c r="B1594" s="248"/>
      <c r="C1594" s="248"/>
      <c r="D1594" s="248"/>
      <c r="E1594" s="248"/>
      <c r="F1594" s="248"/>
      <c r="G1594" s="248"/>
      <c r="I1594" s="248"/>
      <c r="J1594" s="248"/>
      <c r="K1594" s="248"/>
      <c r="L1594" s="248"/>
      <c r="M1594" s="248"/>
      <c r="N1594" s="248"/>
      <c r="P1594" s="248"/>
      <c r="Q1594" s="248"/>
    </row>
    <row r="1595">
      <c r="A1595" s="248"/>
      <c r="B1595" s="248"/>
      <c r="C1595" s="248"/>
      <c r="D1595" s="248"/>
      <c r="E1595" s="248"/>
      <c r="F1595" s="248"/>
      <c r="G1595" s="248"/>
      <c r="I1595" s="248"/>
      <c r="J1595" s="248"/>
      <c r="K1595" s="248"/>
      <c r="L1595" s="248"/>
      <c r="M1595" s="248"/>
      <c r="N1595" s="248"/>
      <c r="P1595" s="248"/>
      <c r="Q1595" s="248"/>
    </row>
    <row r="1596">
      <c r="A1596" s="248"/>
      <c r="B1596" s="248"/>
      <c r="C1596" s="248"/>
      <c r="D1596" s="248"/>
      <c r="E1596" s="248"/>
      <c r="F1596" s="248"/>
      <c r="G1596" s="248"/>
      <c r="I1596" s="248"/>
      <c r="J1596" s="248"/>
      <c r="K1596" s="248"/>
      <c r="L1596" s="248"/>
      <c r="M1596" s="248"/>
      <c r="N1596" s="248"/>
      <c r="P1596" s="248"/>
      <c r="Q1596" s="248"/>
    </row>
    <row r="1597">
      <c r="A1597" s="248"/>
      <c r="B1597" s="248"/>
      <c r="C1597" s="248"/>
      <c r="D1597" s="248"/>
      <c r="E1597" s="248"/>
      <c r="F1597" s="248"/>
      <c r="G1597" s="248"/>
      <c r="I1597" s="248"/>
      <c r="J1597" s="248"/>
      <c r="K1597" s="248"/>
      <c r="L1597" s="248"/>
      <c r="M1597" s="248"/>
      <c r="N1597" s="248"/>
      <c r="P1597" s="248"/>
      <c r="Q1597" s="248"/>
    </row>
    <row r="1598">
      <c r="A1598" s="248"/>
      <c r="B1598" s="248"/>
      <c r="C1598" s="248"/>
      <c r="D1598" s="248"/>
      <c r="E1598" s="248"/>
      <c r="F1598" s="248"/>
      <c r="G1598" s="248"/>
      <c r="I1598" s="248"/>
      <c r="J1598" s="248"/>
      <c r="K1598" s="248"/>
      <c r="L1598" s="248"/>
      <c r="M1598" s="248"/>
      <c r="N1598" s="248"/>
      <c r="P1598" s="248"/>
      <c r="Q1598" s="248"/>
    </row>
    <row r="1599">
      <c r="A1599" s="248"/>
      <c r="B1599" s="248"/>
      <c r="C1599" s="248"/>
      <c r="D1599" s="248"/>
      <c r="E1599" s="248"/>
      <c r="F1599" s="248"/>
      <c r="G1599" s="248"/>
      <c r="I1599" s="248"/>
      <c r="J1599" s="248"/>
      <c r="K1599" s="248"/>
      <c r="L1599" s="248"/>
      <c r="M1599" s="248"/>
      <c r="N1599" s="248"/>
      <c r="P1599" s="248"/>
      <c r="Q1599" s="248"/>
    </row>
    <row r="1600">
      <c r="A1600" s="248"/>
      <c r="B1600" s="248"/>
      <c r="C1600" s="248"/>
      <c r="D1600" s="248"/>
      <c r="E1600" s="248"/>
      <c r="F1600" s="248"/>
      <c r="G1600" s="248"/>
      <c r="I1600" s="248"/>
      <c r="J1600" s="248"/>
      <c r="K1600" s="248"/>
      <c r="L1600" s="248"/>
      <c r="M1600" s="248"/>
      <c r="N1600" s="248"/>
      <c r="P1600" s="248"/>
      <c r="Q1600" s="248"/>
    </row>
    <row r="1601">
      <c r="A1601" s="248"/>
      <c r="B1601" s="248"/>
      <c r="C1601" s="248"/>
      <c r="D1601" s="248"/>
      <c r="E1601" s="248"/>
      <c r="F1601" s="248"/>
      <c r="G1601" s="248"/>
      <c r="I1601" s="248"/>
      <c r="J1601" s="248"/>
      <c r="K1601" s="248"/>
      <c r="L1601" s="248"/>
      <c r="M1601" s="248"/>
      <c r="N1601" s="248"/>
      <c r="P1601" s="248"/>
      <c r="Q1601" s="248"/>
    </row>
    <row r="1602">
      <c r="A1602" s="248"/>
      <c r="B1602" s="248"/>
      <c r="C1602" s="248"/>
      <c r="D1602" s="248"/>
      <c r="E1602" s="248"/>
      <c r="F1602" s="248"/>
      <c r="G1602" s="248"/>
      <c r="I1602" s="248"/>
      <c r="J1602" s="248"/>
      <c r="K1602" s="248"/>
      <c r="L1602" s="248"/>
      <c r="M1602" s="248"/>
      <c r="N1602" s="248"/>
      <c r="P1602" s="248"/>
      <c r="Q1602" s="248"/>
    </row>
    <row r="1603">
      <c r="A1603" s="248"/>
      <c r="B1603" s="248"/>
      <c r="C1603" s="248"/>
      <c r="D1603" s="248"/>
      <c r="E1603" s="248"/>
      <c r="F1603" s="248"/>
      <c r="G1603" s="248"/>
      <c r="I1603" s="248"/>
      <c r="J1603" s="248"/>
      <c r="K1603" s="248"/>
      <c r="L1603" s="248"/>
      <c r="M1603" s="248"/>
      <c r="N1603" s="248"/>
      <c r="P1603" s="248"/>
      <c r="Q1603" s="248"/>
    </row>
    <row r="1604">
      <c r="A1604" s="248"/>
      <c r="B1604" s="248"/>
      <c r="C1604" s="248"/>
      <c r="D1604" s="248"/>
      <c r="E1604" s="248"/>
      <c r="F1604" s="248"/>
      <c r="G1604" s="248"/>
      <c r="I1604" s="248"/>
      <c r="J1604" s="248"/>
      <c r="K1604" s="248"/>
      <c r="L1604" s="248"/>
      <c r="M1604" s="248"/>
      <c r="N1604" s="248"/>
      <c r="P1604" s="248"/>
      <c r="Q1604" s="248"/>
    </row>
    <row r="1605">
      <c r="A1605" s="248"/>
      <c r="B1605" s="248"/>
      <c r="C1605" s="248"/>
      <c r="D1605" s="248"/>
      <c r="E1605" s="248"/>
      <c r="F1605" s="248"/>
      <c r="G1605" s="248"/>
      <c r="I1605" s="248"/>
      <c r="J1605" s="248"/>
      <c r="K1605" s="248"/>
      <c r="L1605" s="248"/>
      <c r="M1605" s="248"/>
      <c r="N1605" s="248"/>
      <c r="P1605" s="248"/>
      <c r="Q1605" s="248"/>
    </row>
    <row r="1606">
      <c r="A1606" s="248"/>
      <c r="B1606" s="248"/>
      <c r="C1606" s="248"/>
      <c r="D1606" s="248"/>
      <c r="E1606" s="248"/>
      <c r="F1606" s="248"/>
      <c r="G1606" s="248"/>
      <c r="I1606" s="248"/>
      <c r="J1606" s="248"/>
      <c r="K1606" s="248"/>
      <c r="L1606" s="248"/>
      <c r="M1606" s="248"/>
      <c r="N1606" s="248"/>
      <c r="P1606" s="248"/>
      <c r="Q1606" s="248"/>
    </row>
    <row r="1607">
      <c r="A1607" s="248"/>
      <c r="B1607" s="248"/>
      <c r="C1607" s="248"/>
      <c r="D1607" s="248"/>
      <c r="E1607" s="248"/>
      <c r="F1607" s="248"/>
      <c r="G1607" s="248"/>
      <c r="I1607" s="248"/>
      <c r="J1607" s="248"/>
      <c r="K1607" s="248"/>
      <c r="L1607" s="248"/>
      <c r="M1607" s="248"/>
      <c r="N1607" s="248"/>
      <c r="P1607" s="248"/>
      <c r="Q1607" s="248"/>
    </row>
    <row r="1608">
      <c r="A1608" s="248"/>
      <c r="B1608" s="248"/>
      <c r="C1608" s="248"/>
      <c r="D1608" s="248"/>
      <c r="E1608" s="248"/>
      <c r="F1608" s="248"/>
      <c r="G1608" s="248"/>
      <c r="I1608" s="248"/>
      <c r="J1608" s="248"/>
      <c r="K1608" s="248"/>
      <c r="L1608" s="248"/>
      <c r="M1608" s="248"/>
      <c r="N1608" s="248"/>
      <c r="P1608" s="248"/>
      <c r="Q1608" s="248"/>
    </row>
    <row r="1609">
      <c r="A1609" s="248"/>
      <c r="B1609" s="248"/>
      <c r="C1609" s="248"/>
      <c r="D1609" s="248"/>
      <c r="E1609" s="248"/>
      <c r="F1609" s="248"/>
      <c r="G1609" s="248"/>
      <c r="I1609" s="248"/>
      <c r="J1609" s="248"/>
      <c r="K1609" s="248"/>
      <c r="L1609" s="248"/>
      <c r="M1609" s="248"/>
      <c r="N1609" s="248"/>
      <c r="P1609" s="248"/>
      <c r="Q1609" s="248"/>
    </row>
    <row r="1610">
      <c r="A1610" s="248"/>
      <c r="B1610" s="248"/>
      <c r="C1610" s="248"/>
      <c r="D1610" s="248"/>
      <c r="E1610" s="248"/>
      <c r="F1610" s="248"/>
      <c r="G1610" s="248"/>
      <c r="I1610" s="248"/>
      <c r="J1610" s="248"/>
      <c r="K1610" s="248"/>
      <c r="L1610" s="248"/>
      <c r="M1610" s="248"/>
      <c r="N1610" s="248"/>
      <c r="P1610" s="248"/>
      <c r="Q1610" s="248"/>
    </row>
    <row r="1611">
      <c r="A1611" s="248"/>
      <c r="B1611" s="248"/>
      <c r="C1611" s="248"/>
      <c r="D1611" s="248"/>
      <c r="E1611" s="248"/>
      <c r="F1611" s="248"/>
      <c r="G1611" s="248"/>
      <c r="I1611" s="248"/>
      <c r="J1611" s="248"/>
      <c r="K1611" s="248"/>
      <c r="L1611" s="248"/>
      <c r="M1611" s="248"/>
      <c r="N1611" s="248"/>
      <c r="P1611" s="248"/>
      <c r="Q1611" s="248"/>
    </row>
    <row r="1612">
      <c r="A1612" s="248"/>
      <c r="B1612" s="248"/>
      <c r="C1612" s="248"/>
      <c r="D1612" s="248"/>
      <c r="E1612" s="248"/>
      <c r="F1612" s="248"/>
      <c r="G1612" s="248"/>
      <c r="I1612" s="248"/>
      <c r="J1612" s="248"/>
      <c r="K1612" s="248"/>
      <c r="L1612" s="248"/>
      <c r="M1612" s="248"/>
      <c r="N1612" s="248"/>
      <c r="P1612" s="248"/>
      <c r="Q1612" s="248"/>
    </row>
    <row r="1613">
      <c r="A1613" s="248"/>
      <c r="B1613" s="248"/>
      <c r="C1613" s="248"/>
      <c r="D1613" s="248"/>
      <c r="E1613" s="248"/>
      <c r="F1613" s="248"/>
      <c r="G1613" s="248"/>
      <c r="I1613" s="248"/>
      <c r="J1613" s="248"/>
      <c r="K1613" s="248"/>
      <c r="L1613" s="248"/>
      <c r="M1613" s="248"/>
      <c r="N1613" s="248"/>
      <c r="P1613" s="248"/>
      <c r="Q1613" s="248"/>
    </row>
    <row r="1614">
      <c r="A1614" s="248"/>
      <c r="B1614" s="248"/>
      <c r="C1614" s="248"/>
      <c r="D1614" s="248"/>
      <c r="E1614" s="248"/>
      <c r="F1614" s="248"/>
      <c r="G1614" s="248"/>
      <c r="I1614" s="248"/>
      <c r="J1614" s="248"/>
      <c r="K1614" s="248"/>
      <c r="L1614" s="248"/>
      <c r="M1614" s="248"/>
      <c r="N1614" s="248"/>
      <c r="P1614" s="248"/>
      <c r="Q1614" s="248"/>
    </row>
    <row r="1615">
      <c r="A1615" s="248"/>
      <c r="B1615" s="248"/>
      <c r="C1615" s="248"/>
      <c r="D1615" s="248"/>
      <c r="E1615" s="248"/>
      <c r="F1615" s="248"/>
      <c r="G1615" s="248"/>
      <c r="I1615" s="248"/>
      <c r="J1615" s="248"/>
      <c r="K1615" s="248"/>
      <c r="L1615" s="248"/>
      <c r="M1615" s="248"/>
      <c r="N1615" s="248"/>
      <c r="P1615" s="248"/>
      <c r="Q1615" s="248"/>
    </row>
    <row r="1616">
      <c r="A1616" s="248"/>
      <c r="B1616" s="248"/>
      <c r="C1616" s="248"/>
      <c r="D1616" s="248"/>
      <c r="E1616" s="248"/>
      <c r="F1616" s="248"/>
      <c r="G1616" s="248"/>
      <c r="I1616" s="248"/>
      <c r="J1616" s="248"/>
      <c r="K1616" s="248"/>
      <c r="L1616" s="248"/>
      <c r="M1616" s="248"/>
      <c r="N1616" s="248"/>
      <c r="P1616" s="248"/>
      <c r="Q1616" s="248"/>
    </row>
    <row r="1617">
      <c r="A1617" s="248"/>
      <c r="B1617" s="248"/>
      <c r="C1617" s="248"/>
      <c r="D1617" s="248"/>
      <c r="E1617" s="248"/>
      <c r="F1617" s="248"/>
      <c r="G1617" s="248"/>
      <c r="I1617" s="248"/>
      <c r="J1617" s="248"/>
      <c r="K1617" s="248"/>
      <c r="L1617" s="248"/>
      <c r="M1617" s="248"/>
      <c r="N1617" s="248"/>
      <c r="P1617" s="248"/>
      <c r="Q1617" s="248"/>
    </row>
    <row r="1618">
      <c r="A1618" s="248"/>
      <c r="B1618" s="248"/>
      <c r="C1618" s="248"/>
      <c r="D1618" s="248"/>
      <c r="E1618" s="248"/>
      <c r="F1618" s="248"/>
      <c r="G1618" s="248"/>
      <c r="I1618" s="248"/>
      <c r="J1618" s="248"/>
      <c r="K1618" s="248"/>
      <c r="L1618" s="248"/>
      <c r="M1618" s="248"/>
      <c r="N1618" s="248"/>
      <c r="P1618" s="248"/>
      <c r="Q1618" s="248"/>
    </row>
    <row r="1619">
      <c r="A1619" s="248"/>
      <c r="B1619" s="248"/>
      <c r="C1619" s="248"/>
      <c r="D1619" s="248"/>
      <c r="E1619" s="248"/>
      <c r="F1619" s="248"/>
      <c r="G1619" s="248"/>
      <c r="I1619" s="248"/>
      <c r="J1619" s="248"/>
      <c r="K1619" s="248"/>
      <c r="L1619" s="248"/>
      <c r="M1619" s="248"/>
      <c r="N1619" s="248"/>
      <c r="P1619" s="248"/>
      <c r="Q1619" s="248"/>
    </row>
    <row r="1620">
      <c r="A1620" s="248"/>
      <c r="B1620" s="248"/>
      <c r="C1620" s="248"/>
      <c r="D1620" s="248"/>
      <c r="E1620" s="248"/>
      <c r="F1620" s="248"/>
      <c r="G1620" s="248"/>
      <c r="I1620" s="248"/>
      <c r="J1620" s="248"/>
      <c r="K1620" s="248"/>
      <c r="L1620" s="248"/>
      <c r="M1620" s="248"/>
      <c r="N1620" s="248"/>
      <c r="P1620" s="248"/>
      <c r="Q1620" s="248"/>
    </row>
    <row r="1621">
      <c r="A1621" s="248"/>
      <c r="B1621" s="248"/>
      <c r="C1621" s="248"/>
      <c r="D1621" s="248"/>
      <c r="E1621" s="248"/>
      <c r="F1621" s="248"/>
      <c r="G1621" s="248"/>
      <c r="I1621" s="248"/>
      <c r="J1621" s="248"/>
      <c r="K1621" s="248"/>
      <c r="L1621" s="248"/>
      <c r="M1621" s="248"/>
      <c r="N1621" s="248"/>
      <c r="P1621" s="248"/>
      <c r="Q1621" s="248"/>
    </row>
    <row r="1622">
      <c r="A1622" s="248"/>
      <c r="B1622" s="248"/>
      <c r="C1622" s="248"/>
      <c r="D1622" s="248"/>
      <c r="E1622" s="248"/>
      <c r="F1622" s="248"/>
      <c r="G1622" s="248"/>
      <c r="I1622" s="248"/>
      <c r="J1622" s="248"/>
      <c r="K1622" s="248"/>
      <c r="L1622" s="248"/>
      <c r="M1622" s="248"/>
      <c r="N1622" s="248"/>
      <c r="P1622" s="248"/>
      <c r="Q1622" s="248"/>
    </row>
    <row r="1623">
      <c r="A1623" s="248"/>
      <c r="B1623" s="248"/>
      <c r="C1623" s="248"/>
      <c r="D1623" s="248"/>
      <c r="E1623" s="248"/>
      <c r="F1623" s="248"/>
      <c r="G1623" s="248"/>
      <c r="I1623" s="248"/>
      <c r="J1623" s="248"/>
      <c r="K1623" s="248"/>
      <c r="L1623" s="248"/>
      <c r="M1623" s="248"/>
      <c r="N1623" s="248"/>
      <c r="P1623" s="248"/>
      <c r="Q1623" s="248"/>
    </row>
    <row r="1624">
      <c r="A1624" s="248"/>
      <c r="B1624" s="248"/>
      <c r="C1624" s="248"/>
      <c r="D1624" s="248"/>
      <c r="E1624" s="248"/>
      <c r="F1624" s="248"/>
      <c r="G1624" s="248"/>
      <c r="I1624" s="248"/>
      <c r="J1624" s="248"/>
      <c r="K1624" s="248"/>
      <c r="L1624" s="248"/>
      <c r="M1624" s="248"/>
      <c r="N1624" s="248"/>
      <c r="P1624" s="248"/>
      <c r="Q1624" s="248"/>
    </row>
    <row r="1625">
      <c r="A1625" s="248"/>
      <c r="B1625" s="248"/>
      <c r="C1625" s="248"/>
      <c r="D1625" s="248"/>
      <c r="E1625" s="248"/>
      <c r="F1625" s="248"/>
      <c r="G1625" s="248"/>
      <c r="I1625" s="248"/>
      <c r="J1625" s="248"/>
      <c r="K1625" s="248"/>
      <c r="L1625" s="248"/>
      <c r="M1625" s="248"/>
      <c r="N1625" s="248"/>
      <c r="P1625" s="248"/>
      <c r="Q1625" s="248"/>
    </row>
    <row r="1626">
      <c r="A1626" s="248"/>
      <c r="B1626" s="248"/>
      <c r="C1626" s="248"/>
      <c r="D1626" s="248"/>
      <c r="E1626" s="248"/>
      <c r="F1626" s="248"/>
      <c r="G1626" s="248"/>
      <c r="I1626" s="248"/>
      <c r="J1626" s="248"/>
      <c r="K1626" s="248"/>
      <c r="L1626" s="248"/>
      <c r="M1626" s="248"/>
      <c r="N1626" s="248"/>
      <c r="P1626" s="248"/>
      <c r="Q1626" s="248"/>
    </row>
    <row r="1627">
      <c r="A1627" s="248"/>
      <c r="B1627" s="248"/>
      <c r="C1627" s="248"/>
      <c r="D1627" s="248"/>
      <c r="E1627" s="248"/>
      <c r="F1627" s="248"/>
      <c r="G1627" s="248"/>
      <c r="I1627" s="248"/>
      <c r="J1627" s="248"/>
      <c r="K1627" s="248"/>
      <c r="L1627" s="248"/>
      <c r="M1627" s="248"/>
      <c r="N1627" s="248"/>
      <c r="P1627" s="248"/>
      <c r="Q1627" s="248"/>
    </row>
    <row r="1628">
      <c r="A1628" s="248"/>
      <c r="B1628" s="248"/>
      <c r="C1628" s="248"/>
      <c r="D1628" s="248"/>
      <c r="E1628" s="248"/>
      <c r="F1628" s="248"/>
      <c r="G1628" s="248"/>
      <c r="I1628" s="248"/>
      <c r="J1628" s="248"/>
      <c r="K1628" s="248"/>
      <c r="L1628" s="248"/>
      <c r="M1628" s="248"/>
      <c r="N1628" s="248"/>
      <c r="P1628" s="248"/>
      <c r="Q1628" s="248"/>
    </row>
    <row r="1629">
      <c r="A1629" s="248"/>
      <c r="B1629" s="248"/>
      <c r="C1629" s="248"/>
      <c r="D1629" s="248"/>
      <c r="E1629" s="248"/>
      <c r="F1629" s="248"/>
      <c r="G1629" s="248"/>
      <c r="I1629" s="248"/>
      <c r="J1629" s="248"/>
      <c r="K1629" s="248"/>
      <c r="L1629" s="248"/>
      <c r="M1629" s="248"/>
      <c r="N1629" s="248"/>
      <c r="P1629" s="248"/>
      <c r="Q1629" s="248"/>
    </row>
    <row r="1630">
      <c r="A1630" s="248"/>
      <c r="B1630" s="248"/>
      <c r="C1630" s="248"/>
      <c r="D1630" s="248"/>
      <c r="E1630" s="248"/>
      <c r="F1630" s="248"/>
      <c r="G1630" s="248"/>
      <c r="I1630" s="248"/>
      <c r="J1630" s="248"/>
      <c r="K1630" s="248"/>
      <c r="L1630" s="248"/>
      <c r="M1630" s="248"/>
      <c r="N1630" s="248"/>
      <c r="P1630" s="248"/>
      <c r="Q1630" s="248"/>
    </row>
    <row r="1631">
      <c r="A1631" s="248"/>
      <c r="B1631" s="248"/>
      <c r="C1631" s="248"/>
      <c r="D1631" s="248"/>
      <c r="E1631" s="248"/>
      <c r="F1631" s="248"/>
      <c r="G1631" s="248"/>
      <c r="I1631" s="248"/>
      <c r="J1631" s="248"/>
      <c r="K1631" s="248"/>
      <c r="L1631" s="248"/>
      <c r="M1631" s="248"/>
      <c r="N1631" s="248"/>
      <c r="P1631" s="248"/>
      <c r="Q1631" s="248"/>
    </row>
    <row r="1632">
      <c r="A1632" s="248"/>
      <c r="B1632" s="248"/>
      <c r="C1632" s="248"/>
      <c r="D1632" s="248"/>
      <c r="E1632" s="248"/>
      <c r="F1632" s="248"/>
      <c r="G1632" s="248"/>
      <c r="I1632" s="248"/>
      <c r="J1632" s="248"/>
      <c r="K1632" s="248"/>
      <c r="L1632" s="248"/>
      <c r="M1632" s="248"/>
      <c r="N1632" s="248"/>
      <c r="P1632" s="248"/>
      <c r="Q1632" s="248"/>
    </row>
    <row r="1633">
      <c r="A1633" s="248"/>
      <c r="B1633" s="248"/>
      <c r="C1633" s="248"/>
      <c r="D1633" s="248"/>
      <c r="E1633" s="248"/>
      <c r="F1633" s="248"/>
      <c r="G1633" s="248"/>
      <c r="I1633" s="248"/>
      <c r="J1633" s="248"/>
      <c r="K1633" s="248"/>
      <c r="L1633" s="248"/>
      <c r="M1633" s="248"/>
      <c r="N1633" s="248"/>
      <c r="P1633" s="248"/>
      <c r="Q1633" s="248"/>
    </row>
    <row r="1634">
      <c r="A1634" s="248"/>
      <c r="B1634" s="248"/>
      <c r="C1634" s="248"/>
      <c r="D1634" s="248"/>
      <c r="E1634" s="248"/>
      <c r="F1634" s="248"/>
      <c r="G1634" s="248"/>
      <c r="I1634" s="248"/>
      <c r="J1634" s="248"/>
      <c r="K1634" s="248"/>
      <c r="L1634" s="248"/>
      <c r="M1634" s="248"/>
      <c r="N1634" s="248"/>
      <c r="P1634" s="248"/>
      <c r="Q1634" s="248"/>
    </row>
    <row r="1635">
      <c r="A1635" s="248"/>
      <c r="B1635" s="248"/>
      <c r="C1635" s="248"/>
      <c r="D1635" s="248"/>
      <c r="E1635" s="248"/>
      <c r="F1635" s="248"/>
      <c r="G1635" s="248"/>
      <c r="I1635" s="248"/>
      <c r="J1635" s="248"/>
      <c r="K1635" s="248"/>
      <c r="L1635" s="248"/>
      <c r="M1635" s="248"/>
      <c r="N1635" s="248"/>
      <c r="P1635" s="248"/>
      <c r="Q1635" s="248"/>
    </row>
    <row r="1636">
      <c r="A1636" s="248"/>
      <c r="B1636" s="248"/>
      <c r="C1636" s="248"/>
      <c r="D1636" s="248"/>
      <c r="E1636" s="248"/>
      <c r="F1636" s="248"/>
      <c r="G1636" s="248"/>
      <c r="I1636" s="248"/>
      <c r="J1636" s="248"/>
      <c r="K1636" s="248"/>
      <c r="L1636" s="248"/>
      <c r="M1636" s="248"/>
      <c r="N1636" s="248"/>
      <c r="P1636" s="248"/>
      <c r="Q1636" s="248"/>
    </row>
    <row r="1637">
      <c r="A1637" s="248"/>
      <c r="B1637" s="248"/>
      <c r="C1637" s="248"/>
      <c r="D1637" s="248"/>
      <c r="E1637" s="248"/>
      <c r="F1637" s="248"/>
      <c r="G1637" s="248"/>
      <c r="I1637" s="248"/>
      <c r="J1637" s="248"/>
      <c r="K1637" s="248"/>
      <c r="L1637" s="248"/>
      <c r="M1637" s="248"/>
      <c r="N1637" s="248"/>
      <c r="P1637" s="248"/>
      <c r="Q1637" s="248"/>
    </row>
    <row r="1638">
      <c r="A1638" s="248"/>
      <c r="B1638" s="248"/>
      <c r="C1638" s="248"/>
      <c r="D1638" s="248"/>
      <c r="E1638" s="248"/>
      <c r="F1638" s="248"/>
      <c r="G1638" s="248"/>
      <c r="I1638" s="248"/>
      <c r="J1638" s="248"/>
      <c r="K1638" s="248"/>
      <c r="L1638" s="248"/>
      <c r="M1638" s="248"/>
      <c r="N1638" s="248"/>
      <c r="P1638" s="248"/>
      <c r="Q1638" s="248"/>
    </row>
    <row r="1639">
      <c r="A1639" s="248"/>
      <c r="B1639" s="248"/>
      <c r="C1639" s="248"/>
      <c r="D1639" s="248"/>
      <c r="E1639" s="248"/>
      <c r="F1639" s="248"/>
      <c r="G1639" s="248"/>
      <c r="I1639" s="248"/>
      <c r="J1639" s="248"/>
      <c r="K1639" s="248"/>
      <c r="L1639" s="248"/>
      <c r="M1639" s="248"/>
      <c r="N1639" s="248"/>
      <c r="P1639" s="248"/>
      <c r="Q1639" s="248"/>
    </row>
    <row r="1640">
      <c r="A1640" s="248"/>
      <c r="B1640" s="248"/>
      <c r="C1640" s="248"/>
      <c r="D1640" s="248"/>
      <c r="E1640" s="248"/>
      <c r="F1640" s="248"/>
      <c r="G1640" s="248"/>
      <c r="I1640" s="248"/>
      <c r="J1640" s="248"/>
      <c r="K1640" s="248"/>
      <c r="L1640" s="248"/>
      <c r="M1640" s="248"/>
      <c r="N1640" s="248"/>
      <c r="P1640" s="248"/>
      <c r="Q1640" s="248"/>
    </row>
    <row r="1641">
      <c r="A1641" s="248"/>
      <c r="B1641" s="248"/>
      <c r="C1641" s="248"/>
      <c r="D1641" s="248"/>
      <c r="E1641" s="248"/>
      <c r="F1641" s="248"/>
      <c r="G1641" s="248"/>
      <c r="I1641" s="248"/>
      <c r="J1641" s="248"/>
      <c r="K1641" s="248"/>
      <c r="L1641" s="248"/>
      <c r="M1641" s="248"/>
      <c r="N1641" s="248"/>
      <c r="P1641" s="248"/>
      <c r="Q1641" s="248"/>
    </row>
    <row r="1642">
      <c r="A1642" s="248"/>
      <c r="B1642" s="248"/>
      <c r="C1642" s="248"/>
      <c r="D1642" s="248"/>
      <c r="E1642" s="248"/>
      <c r="F1642" s="248"/>
      <c r="G1642" s="248"/>
      <c r="I1642" s="248"/>
      <c r="J1642" s="248"/>
      <c r="K1642" s="248"/>
      <c r="L1642" s="248"/>
      <c r="M1642" s="248"/>
      <c r="N1642" s="248"/>
      <c r="P1642" s="248"/>
      <c r="Q1642" s="248"/>
    </row>
    <row r="1643">
      <c r="A1643" s="248"/>
      <c r="B1643" s="248"/>
      <c r="C1643" s="248"/>
      <c r="D1643" s="248"/>
      <c r="E1643" s="248"/>
      <c r="F1643" s="248"/>
      <c r="G1643" s="248"/>
      <c r="I1643" s="248"/>
      <c r="J1643" s="248"/>
      <c r="K1643" s="248"/>
      <c r="L1643" s="248"/>
      <c r="M1643" s="248"/>
      <c r="N1643" s="248"/>
      <c r="P1643" s="248"/>
      <c r="Q1643" s="248"/>
    </row>
    <row r="1644">
      <c r="A1644" s="248"/>
      <c r="B1644" s="248"/>
      <c r="C1644" s="248"/>
      <c r="D1644" s="248"/>
      <c r="E1644" s="248"/>
      <c r="F1644" s="248"/>
      <c r="G1644" s="248"/>
      <c r="I1644" s="248"/>
      <c r="J1644" s="248"/>
      <c r="K1644" s="248"/>
      <c r="L1644" s="248"/>
      <c r="M1644" s="248"/>
      <c r="N1644" s="248"/>
      <c r="P1644" s="248"/>
      <c r="Q1644" s="248"/>
    </row>
    <row r="1645">
      <c r="A1645" s="248"/>
      <c r="B1645" s="248"/>
      <c r="C1645" s="248"/>
      <c r="D1645" s="248"/>
      <c r="E1645" s="248"/>
      <c r="F1645" s="248"/>
      <c r="G1645" s="248"/>
      <c r="I1645" s="248"/>
      <c r="J1645" s="248"/>
      <c r="K1645" s="248"/>
      <c r="L1645" s="248"/>
      <c r="M1645" s="248"/>
      <c r="N1645" s="248"/>
      <c r="P1645" s="248"/>
      <c r="Q1645" s="248"/>
    </row>
    <row r="1646">
      <c r="A1646" s="248"/>
      <c r="B1646" s="248"/>
      <c r="C1646" s="248"/>
      <c r="D1646" s="248"/>
      <c r="E1646" s="248"/>
      <c r="F1646" s="248"/>
      <c r="G1646" s="248"/>
      <c r="I1646" s="248"/>
      <c r="J1646" s="248"/>
      <c r="K1646" s="248"/>
      <c r="L1646" s="248"/>
      <c r="M1646" s="248"/>
      <c r="N1646" s="248"/>
      <c r="P1646" s="248"/>
      <c r="Q1646" s="248"/>
    </row>
    <row r="1647">
      <c r="A1647" s="248"/>
      <c r="B1647" s="248"/>
      <c r="C1647" s="248"/>
      <c r="D1647" s="248"/>
      <c r="E1647" s="248"/>
      <c r="F1647" s="248"/>
      <c r="G1647" s="248"/>
      <c r="I1647" s="248"/>
      <c r="J1647" s="248"/>
      <c r="K1647" s="248"/>
      <c r="L1647" s="248"/>
      <c r="M1647" s="248"/>
      <c r="N1647" s="248"/>
      <c r="P1647" s="248"/>
      <c r="Q1647" s="248"/>
    </row>
    <row r="1648">
      <c r="A1648" s="248"/>
      <c r="B1648" s="248"/>
      <c r="C1648" s="248"/>
      <c r="D1648" s="248"/>
      <c r="E1648" s="248"/>
      <c r="F1648" s="248"/>
      <c r="G1648" s="248"/>
      <c r="I1648" s="248"/>
      <c r="J1648" s="248"/>
      <c r="K1648" s="248"/>
      <c r="L1648" s="248"/>
      <c r="M1648" s="248"/>
      <c r="N1648" s="248"/>
      <c r="P1648" s="248"/>
      <c r="Q1648" s="248"/>
    </row>
    <row r="1649">
      <c r="A1649" s="248"/>
      <c r="B1649" s="248"/>
      <c r="C1649" s="248"/>
      <c r="D1649" s="248"/>
      <c r="E1649" s="248"/>
      <c r="F1649" s="248"/>
      <c r="G1649" s="248"/>
      <c r="I1649" s="248"/>
      <c r="J1649" s="248"/>
      <c r="K1649" s="248"/>
      <c r="L1649" s="248"/>
      <c r="M1649" s="248"/>
      <c r="N1649" s="248"/>
      <c r="P1649" s="248"/>
      <c r="Q1649" s="248"/>
    </row>
    <row r="1650">
      <c r="A1650" s="248"/>
      <c r="B1650" s="248"/>
      <c r="C1650" s="248"/>
      <c r="D1650" s="248"/>
      <c r="E1650" s="248"/>
      <c r="F1650" s="248"/>
      <c r="G1650" s="248"/>
      <c r="I1650" s="248"/>
      <c r="J1650" s="248"/>
      <c r="K1650" s="248"/>
      <c r="L1650" s="248"/>
      <c r="M1650" s="248"/>
      <c r="N1650" s="248"/>
      <c r="P1650" s="248"/>
      <c r="Q1650" s="248"/>
    </row>
    <row r="1651">
      <c r="A1651" s="248"/>
      <c r="B1651" s="248"/>
      <c r="C1651" s="248"/>
      <c r="D1651" s="248"/>
      <c r="E1651" s="248"/>
      <c r="F1651" s="248"/>
      <c r="G1651" s="248"/>
      <c r="I1651" s="248"/>
      <c r="J1651" s="248"/>
      <c r="K1651" s="248"/>
      <c r="L1651" s="248"/>
      <c r="M1651" s="248"/>
      <c r="N1651" s="248"/>
      <c r="P1651" s="248"/>
      <c r="Q1651" s="248"/>
    </row>
    <row r="1652">
      <c r="A1652" s="248"/>
      <c r="B1652" s="248"/>
      <c r="C1652" s="248"/>
      <c r="D1652" s="248"/>
      <c r="E1652" s="248"/>
      <c r="F1652" s="248"/>
      <c r="G1652" s="248"/>
      <c r="I1652" s="248"/>
      <c r="J1652" s="248"/>
      <c r="K1652" s="248"/>
      <c r="L1652" s="248"/>
      <c r="M1652" s="248"/>
      <c r="N1652" s="248"/>
      <c r="P1652" s="248"/>
      <c r="Q1652" s="248"/>
    </row>
    <row r="1653">
      <c r="A1653" s="248"/>
      <c r="B1653" s="248"/>
      <c r="C1653" s="248"/>
      <c r="D1653" s="248"/>
      <c r="E1653" s="248"/>
      <c r="F1653" s="248"/>
      <c r="G1653" s="248"/>
      <c r="I1653" s="248"/>
      <c r="J1653" s="248"/>
      <c r="K1653" s="248"/>
      <c r="L1653" s="248"/>
      <c r="M1653" s="248"/>
      <c r="N1653" s="248"/>
      <c r="P1653" s="248"/>
      <c r="Q1653" s="248"/>
    </row>
    <row r="1654">
      <c r="A1654" s="248"/>
      <c r="B1654" s="248"/>
      <c r="C1654" s="248"/>
      <c r="D1654" s="248"/>
      <c r="E1654" s="248"/>
      <c r="F1654" s="248"/>
      <c r="G1654" s="248"/>
      <c r="I1654" s="248"/>
      <c r="J1654" s="248"/>
      <c r="K1654" s="248"/>
      <c r="L1654" s="248"/>
      <c r="M1654" s="248"/>
      <c r="N1654" s="248"/>
      <c r="P1654" s="248"/>
      <c r="Q1654" s="248"/>
    </row>
    <row r="1655">
      <c r="A1655" s="248"/>
      <c r="B1655" s="248"/>
      <c r="C1655" s="248"/>
      <c r="D1655" s="248"/>
      <c r="E1655" s="248"/>
      <c r="F1655" s="248"/>
      <c r="G1655" s="248"/>
      <c r="I1655" s="248"/>
      <c r="J1655" s="248"/>
      <c r="K1655" s="248"/>
      <c r="L1655" s="248"/>
      <c r="M1655" s="248"/>
      <c r="N1655" s="248"/>
      <c r="P1655" s="248"/>
      <c r="Q1655" s="248"/>
    </row>
    <row r="1656">
      <c r="A1656" s="248"/>
      <c r="B1656" s="248"/>
      <c r="C1656" s="248"/>
      <c r="D1656" s="248"/>
      <c r="E1656" s="248"/>
      <c r="F1656" s="248"/>
      <c r="G1656" s="248"/>
      <c r="I1656" s="248"/>
      <c r="J1656" s="248"/>
      <c r="K1656" s="248"/>
      <c r="L1656" s="248"/>
      <c r="M1656" s="248"/>
      <c r="N1656" s="248"/>
      <c r="P1656" s="248"/>
      <c r="Q1656" s="248"/>
    </row>
    <row r="1657">
      <c r="A1657" s="248"/>
      <c r="B1657" s="248"/>
      <c r="C1657" s="248"/>
      <c r="D1657" s="248"/>
      <c r="E1657" s="248"/>
      <c r="F1657" s="248"/>
      <c r="G1657" s="248"/>
      <c r="I1657" s="248"/>
      <c r="J1657" s="248"/>
      <c r="K1657" s="248"/>
      <c r="L1657" s="248"/>
      <c r="M1657" s="248"/>
      <c r="N1657" s="248"/>
      <c r="P1657" s="248"/>
      <c r="Q1657" s="248"/>
    </row>
    <row r="1658">
      <c r="A1658" s="248"/>
      <c r="B1658" s="248"/>
      <c r="C1658" s="248"/>
      <c r="D1658" s="248"/>
      <c r="E1658" s="248"/>
      <c r="F1658" s="248"/>
      <c r="G1658" s="248"/>
      <c r="I1658" s="248"/>
      <c r="J1658" s="248"/>
      <c r="K1658" s="248"/>
      <c r="L1658" s="248"/>
      <c r="M1658" s="248"/>
      <c r="N1658" s="248"/>
      <c r="P1658" s="248"/>
      <c r="Q1658" s="248"/>
    </row>
    <row r="1659">
      <c r="A1659" s="248"/>
      <c r="B1659" s="248"/>
      <c r="C1659" s="248"/>
      <c r="D1659" s="248"/>
      <c r="E1659" s="248"/>
      <c r="F1659" s="248"/>
      <c r="G1659" s="248"/>
      <c r="I1659" s="248"/>
      <c r="J1659" s="248"/>
      <c r="K1659" s="248"/>
      <c r="L1659" s="248"/>
      <c r="M1659" s="248"/>
      <c r="N1659" s="248"/>
      <c r="P1659" s="248"/>
      <c r="Q1659" s="248"/>
    </row>
    <row r="1660">
      <c r="A1660" s="248"/>
      <c r="B1660" s="248"/>
      <c r="C1660" s="248"/>
      <c r="D1660" s="248"/>
      <c r="E1660" s="248"/>
      <c r="F1660" s="248"/>
      <c r="G1660" s="248"/>
      <c r="I1660" s="248"/>
      <c r="J1660" s="248"/>
      <c r="K1660" s="248"/>
      <c r="L1660" s="248"/>
      <c r="M1660" s="248"/>
      <c r="N1660" s="248"/>
      <c r="P1660" s="248"/>
      <c r="Q1660" s="248"/>
    </row>
    <row r="1661">
      <c r="A1661" s="248"/>
      <c r="B1661" s="248"/>
      <c r="C1661" s="248"/>
      <c r="D1661" s="248"/>
      <c r="E1661" s="248"/>
      <c r="F1661" s="248"/>
      <c r="G1661" s="248"/>
      <c r="I1661" s="248"/>
      <c r="J1661" s="248"/>
      <c r="K1661" s="248"/>
      <c r="L1661" s="248"/>
      <c r="M1661" s="248"/>
      <c r="N1661" s="248"/>
      <c r="P1661" s="248"/>
      <c r="Q1661" s="248"/>
    </row>
    <row r="1662">
      <c r="A1662" s="248"/>
      <c r="B1662" s="248"/>
      <c r="C1662" s="248"/>
      <c r="D1662" s="248"/>
      <c r="E1662" s="248"/>
      <c r="F1662" s="248"/>
      <c r="G1662" s="248"/>
      <c r="I1662" s="248"/>
      <c r="J1662" s="248"/>
      <c r="K1662" s="248"/>
      <c r="L1662" s="248"/>
      <c r="M1662" s="248"/>
      <c r="N1662" s="248"/>
      <c r="P1662" s="248"/>
      <c r="Q1662" s="248"/>
    </row>
    <row r="1663">
      <c r="A1663" s="248"/>
      <c r="B1663" s="248"/>
      <c r="C1663" s="248"/>
      <c r="D1663" s="248"/>
      <c r="E1663" s="248"/>
      <c r="F1663" s="248"/>
      <c r="G1663" s="248"/>
      <c r="I1663" s="248"/>
      <c r="J1663" s="248"/>
      <c r="K1663" s="248"/>
      <c r="L1663" s="248"/>
      <c r="M1663" s="248"/>
      <c r="N1663" s="248"/>
      <c r="P1663" s="248"/>
      <c r="Q1663" s="248"/>
    </row>
    <row r="1664">
      <c r="A1664" s="248"/>
      <c r="B1664" s="248"/>
      <c r="C1664" s="248"/>
      <c r="D1664" s="248"/>
      <c r="E1664" s="248"/>
      <c r="F1664" s="248"/>
      <c r="G1664" s="248"/>
      <c r="I1664" s="248"/>
      <c r="J1664" s="248"/>
      <c r="K1664" s="248"/>
      <c r="L1664" s="248"/>
      <c r="M1664" s="248"/>
      <c r="N1664" s="248"/>
      <c r="P1664" s="248"/>
      <c r="Q1664" s="248"/>
    </row>
    <row r="1665">
      <c r="A1665" s="248"/>
      <c r="B1665" s="248"/>
      <c r="C1665" s="248"/>
      <c r="D1665" s="248"/>
      <c r="E1665" s="248"/>
      <c r="F1665" s="248"/>
      <c r="G1665" s="248"/>
      <c r="I1665" s="248"/>
      <c r="J1665" s="248"/>
      <c r="K1665" s="248"/>
      <c r="L1665" s="248"/>
      <c r="M1665" s="248"/>
      <c r="N1665" s="248"/>
      <c r="P1665" s="248"/>
      <c r="Q1665" s="248"/>
    </row>
    <row r="1666">
      <c r="A1666" s="248"/>
      <c r="B1666" s="248"/>
      <c r="C1666" s="248"/>
      <c r="D1666" s="248"/>
      <c r="E1666" s="248"/>
      <c r="F1666" s="248"/>
      <c r="G1666" s="248"/>
      <c r="I1666" s="248"/>
      <c r="J1666" s="248"/>
      <c r="K1666" s="248"/>
      <c r="L1666" s="248"/>
      <c r="M1666" s="248"/>
      <c r="N1666" s="248"/>
      <c r="P1666" s="248"/>
      <c r="Q1666" s="248"/>
    </row>
    <row r="1667">
      <c r="A1667" s="248"/>
      <c r="B1667" s="248"/>
      <c r="C1667" s="248"/>
      <c r="D1667" s="248"/>
      <c r="E1667" s="248"/>
      <c r="F1667" s="248"/>
      <c r="G1667" s="248"/>
      <c r="I1667" s="248"/>
      <c r="J1667" s="248"/>
      <c r="K1667" s="248"/>
      <c r="L1667" s="248"/>
      <c r="M1667" s="248"/>
      <c r="N1667" s="248"/>
      <c r="P1667" s="248"/>
      <c r="Q1667" s="248"/>
    </row>
    <row r="1668">
      <c r="A1668" s="248"/>
      <c r="B1668" s="248"/>
      <c r="C1668" s="248"/>
      <c r="D1668" s="248"/>
      <c r="E1668" s="248"/>
      <c r="F1668" s="248"/>
      <c r="G1668" s="248"/>
      <c r="I1668" s="248"/>
      <c r="J1668" s="248"/>
      <c r="K1668" s="248"/>
      <c r="L1668" s="248"/>
      <c r="M1668" s="248"/>
      <c r="N1668" s="248"/>
      <c r="P1668" s="248"/>
      <c r="Q1668" s="248"/>
    </row>
    <row r="1669">
      <c r="A1669" s="248"/>
      <c r="B1669" s="248"/>
      <c r="C1669" s="248"/>
      <c r="D1669" s="248"/>
      <c r="E1669" s="248"/>
      <c r="F1669" s="248"/>
      <c r="G1669" s="248"/>
      <c r="I1669" s="248"/>
      <c r="J1669" s="248"/>
      <c r="K1669" s="248"/>
      <c r="L1669" s="248"/>
      <c r="M1669" s="248"/>
      <c r="N1669" s="248"/>
      <c r="P1669" s="248"/>
      <c r="Q1669" s="248"/>
    </row>
    <row r="1670">
      <c r="A1670" s="248"/>
      <c r="B1670" s="248"/>
      <c r="C1670" s="248"/>
      <c r="D1670" s="248"/>
      <c r="E1670" s="248"/>
      <c r="F1670" s="248"/>
      <c r="G1670" s="248"/>
      <c r="I1670" s="248"/>
      <c r="J1670" s="248"/>
      <c r="K1670" s="248"/>
      <c r="L1670" s="248"/>
      <c r="M1670" s="248"/>
      <c r="N1670" s="248"/>
      <c r="P1670" s="248"/>
      <c r="Q1670" s="248"/>
    </row>
    <row r="1671">
      <c r="A1671" s="248"/>
      <c r="B1671" s="248"/>
      <c r="C1671" s="248"/>
      <c r="D1671" s="248"/>
      <c r="E1671" s="248"/>
      <c r="F1671" s="248"/>
      <c r="G1671" s="248"/>
      <c r="I1671" s="248"/>
      <c r="J1671" s="248"/>
      <c r="K1671" s="248"/>
      <c r="L1671" s="248"/>
      <c r="M1671" s="248"/>
      <c r="N1671" s="248"/>
      <c r="P1671" s="248"/>
      <c r="Q1671" s="248"/>
    </row>
    <row r="1672">
      <c r="A1672" s="248"/>
      <c r="B1672" s="248"/>
      <c r="C1672" s="248"/>
      <c r="D1672" s="248"/>
      <c r="E1672" s="248"/>
      <c r="F1672" s="248"/>
      <c r="G1672" s="248"/>
      <c r="I1672" s="248"/>
      <c r="J1672" s="248"/>
      <c r="K1672" s="248"/>
      <c r="L1672" s="248"/>
      <c r="M1672" s="248"/>
      <c r="N1672" s="248"/>
      <c r="P1672" s="248"/>
      <c r="Q1672" s="248"/>
    </row>
    <row r="1673">
      <c r="A1673" s="248"/>
      <c r="B1673" s="248"/>
      <c r="C1673" s="248"/>
      <c r="D1673" s="248"/>
      <c r="E1673" s="248"/>
      <c r="F1673" s="248"/>
      <c r="G1673" s="248"/>
      <c r="I1673" s="248"/>
      <c r="J1673" s="248"/>
      <c r="K1673" s="248"/>
      <c r="L1673" s="248"/>
      <c r="M1673" s="248"/>
      <c r="N1673" s="248"/>
      <c r="P1673" s="248"/>
      <c r="Q1673" s="248"/>
    </row>
    <row r="1674">
      <c r="A1674" s="248"/>
      <c r="B1674" s="248"/>
      <c r="C1674" s="248"/>
      <c r="D1674" s="248"/>
      <c r="E1674" s="248"/>
      <c r="F1674" s="248"/>
      <c r="G1674" s="248"/>
      <c r="I1674" s="248"/>
      <c r="J1674" s="248"/>
      <c r="K1674" s="248"/>
      <c r="L1674" s="248"/>
      <c r="M1674" s="248"/>
      <c r="N1674" s="248"/>
      <c r="P1674" s="248"/>
      <c r="Q1674" s="248"/>
    </row>
    <row r="1675">
      <c r="A1675" s="248"/>
      <c r="B1675" s="248"/>
      <c r="C1675" s="248"/>
      <c r="D1675" s="248"/>
      <c r="E1675" s="248"/>
      <c r="F1675" s="248"/>
      <c r="G1675" s="248"/>
      <c r="I1675" s="248"/>
      <c r="J1675" s="248"/>
      <c r="K1675" s="248"/>
      <c r="L1675" s="248"/>
      <c r="M1675" s="248"/>
      <c r="N1675" s="248"/>
      <c r="P1675" s="248"/>
      <c r="Q1675" s="248"/>
    </row>
    <row r="1676">
      <c r="A1676" s="248"/>
      <c r="B1676" s="248"/>
      <c r="C1676" s="248"/>
      <c r="D1676" s="248"/>
      <c r="E1676" s="248"/>
      <c r="F1676" s="248"/>
      <c r="G1676" s="248"/>
      <c r="I1676" s="248"/>
      <c r="J1676" s="248"/>
      <c r="K1676" s="248"/>
      <c r="L1676" s="248"/>
      <c r="M1676" s="248"/>
      <c r="N1676" s="248"/>
      <c r="P1676" s="248"/>
      <c r="Q1676" s="248"/>
    </row>
    <row r="1677">
      <c r="A1677" s="248"/>
      <c r="B1677" s="248"/>
      <c r="C1677" s="248"/>
      <c r="D1677" s="248"/>
      <c r="E1677" s="248"/>
      <c r="F1677" s="248"/>
      <c r="G1677" s="248"/>
      <c r="I1677" s="248"/>
      <c r="J1677" s="248"/>
      <c r="K1677" s="248"/>
      <c r="L1677" s="248"/>
      <c r="M1677" s="248"/>
      <c r="N1677" s="248"/>
      <c r="P1677" s="248"/>
      <c r="Q1677" s="248"/>
    </row>
    <row r="1678">
      <c r="A1678" s="248"/>
      <c r="B1678" s="248"/>
      <c r="C1678" s="248"/>
      <c r="D1678" s="248"/>
      <c r="E1678" s="248"/>
      <c r="F1678" s="248"/>
      <c r="G1678" s="248"/>
      <c r="I1678" s="248"/>
      <c r="J1678" s="248"/>
      <c r="K1678" s="248"/>
      <c r="L1678" s="248"/>
      <c r="M1678" s="248"/>
      <c r="N1678" s="248"/>
      <c r="P1678" s="248"/>
      <c r="Q1678" s="248"/>
    </row>
    <row r="1679">
      <c r="A1679" s="248"/>
      <c r="B1679" s="248"/>
      <c r="C1679" s="248"/>
      <c r="D1679" s="248"/>
      <c r="E1679" s="248"/>
      <c r="F1679" s="248"/>
      <c r="G1679" s="248"/>
      <c r="I1679" s="248"/>
      <c r="J1679" s="248"/>
      <c r="K1679" s="248"/>
      <c r="L1679" s="248"/>
      <c r="M1679" s="248"/>
      <c r="N1679" s="248"/>
      <c r="P1679" s="248"/>
      <c r="Q1679" s="248"/>
    </row>
    <row r="1680">
      <c r="A1680" s="248"/>
      <c r="B1680" s="248"/>
      <c r="C1680" s="248"/>
      <c r="D1680" s="248"/>
      <c r="E1680" s="248"/>
      <c r="F1680" s="248"/>
      <c r="G1680" s="248"/>
      <c r="I1680" s="248"/>
      <c r="J1680" s="248"/>
      <c r="K1680" s="248"/>
      <c r="L1680" s="248"/>
      <c r="M1680" s="248"/>
      <c r="N1680" s="248"/>
      <c r="P1680" s="248"/>
      <c r="Q1680" s="248"/>
    </row>
    <row r="1681">
      <c r="A1681" s="248"/>
      <c r="B1681" s="248"/>
      <c r="C1681" s="248"/>
      <c r="D1681" s="248"/>
      <c r="E1681" s="248"/>
      <c r="F1681" s="248"/>
      <c r="G1681" s="248"/>
      <c r="I1681" s="248"/>
      <c r="J1681" s="248"/>
      <c r="K1681" s="248"/>
      <c r="L1681" s="248"/>
      <c r="M1681" s="248"/>
      <c r="N1681" s="248"/>
      <c r="P1681" s="248"/>
      <c r="Q1681" s="248"/>
    </row>
    <row r="1682">
      <c r="A1682" s="248"/>
      <c r="B1682" s="248"/>
      <c r="C1682" s="248"/>
      <c r="D1682" s="248"/>
      <c r="E1682" s="248"/>
      <c r="F1682" s="248"/>
      <c r="G1682" s="248"/>
      <c r="I1682" s="248"/>
      <c r="J1682" s="248"/>
      <c r="K1682" s="248"/>
      <c r="L1682" s="248"/>
      <c r="M1682" s="248"/>
      <c r="N1682" s="248"/>
      <c r="P1682" s="248"/>
      <c r="Q1682" s="248"/>
    </row>
    <row r="1683">
      <c r="A1683" s="248"/>
      <c r="B1683" s="248"/>
      <c r="C1683" s="248"/>
      <c r="D1683" s="248"/>
      <c r="E1683" s="248"/>
      <c r="F1683" s="248"/>
      <c r="G1683" s="248"/>
      <c r="I1683" s="248"/>
      <c r="J1683" s="248"/>
      <c r="K1683" s="248"/>
      <c r="L1683" s="248"/>
      <c r="M1683" s="248"/>
      <c r="N1683" s="248"/>
      <c r="P1683" s="248"/>
      <c r="Q1683" s="248"/>
    </row>
    <row r="1684">
      <c r="A1684" s="248"/>
      <c r="B1684" s="248"/>
      <c r="C1684" s="248"/>
      <c r="D1684" s="248"/>
      <c r="E1684" s="248"/>
      <c r="F1684" s="248"/>
      <c r="G1684" s="248"/>
      <c r="I1684" s="248"/>
      <c r="J1684" s="248"/>
      <c r="K1684" s="248"/>
      <c r="L1684" s="248"/>
      <c r="M1684" s="248"/>
      <c r="N1684" s="248"/>
      <c r="P1684" s="248"/>
      <c r="Q1684" s="248"/>
    </row>
    <row r="1685">
      <c r="A1685" s="248"/>
      <c r="B1685" s="248"/>
      <c r="C1685" s="248"/>
      <c r="D1685" s="248"/>
      <c r="E1685" s="248"/>
      <c r="F1685" s="248"/>
      <c r="G1685" s="248"/>
      <c r="I1685" s="248"/>
      <c r="J1685" s="248"/>
      <c r="K1685" s="248"/>
      <c r="L1685" s="248"/>
      <c r="M1685" s="248"/>
      <c r="N1685" s="248"/>
      <c r="P1685" s="248"/>
      <c r="Q1685" s="248"/>
    </row>
    <row r="1686">
      <c r="A1686" s="248"/>
      <c r="B1686" s="248"/>
      <c r="C1686" s="248"/>
      <c r="D1686" s="248"/>
      <c r="E1686" s="248"/>
      <c r="F1686" s="248"/>
      <c r="G1686" s="248"/>
      <c r="I1686" s="248"/>
      <c r="J1686" s="248"/>
      <c r="K1686" s="248"/>
      <c r="L1686" s="248"/>
      <c r="M1686" s="248"/>
      <c r="N1686" s="248"/>
      <c r="P1686" s="248"/>
      <c r="Q1686" s="248"/>
    </row>
    <row r="1687">
      <c r="A1687" s="248"/>
      <c r="B1687" s="248"/>
      <c r="C1687" s="248"/>
      <c r="D1687" s="248"/>
      <c r="E1687" s="248"/>
      <c r="F1687" s="248"/>
      <c r="G1687" s="248"/>
      <c r="I1687" s="248"/>
      <c r="J1687" s="248"/>
      <c r="K1687" s="248"/>
      <c r="L1687" s="248"/>
      <c r="M1687" s="248"/>
      <c r="N1687" s="248"/>
      <c r="P1687" s="248"/>
      <c r="Q1687" s="248"/>
    </row>
    <row r="1688">
      <c r="A1688" s="248"/>
      <c r="B1688" s="248"/>
      <c r="C1688" s="248"/>
      <c r="D1688" s="248"/>
      <c r="E1688" s="248"/>
      <c r="F1688" s="248"/>
      <c r="G1688" s="248"/>
      <c r="I1688" s="248"/>
      <c r="J1688" s="248"/>
      <c r="K1688" s="248"/>
      <c r="L1688" s="248"/>
      <c r="M1688" s="248"/>
      <c r="N1688" s="248"/>
      <c r="P1688" s="248"/>
      <c r="Q1688" s="248"/>
    </row>
    <row r="1689">
      <c r="A1689" s="248"/>
      <c r="B1689" s="248"/>
      <c r="C1689" s="248"/>
      <c r="D1689" s="248"/>
      <c r="E1689" s="248"/>
      <c r="F1689" s="248"/>
      <c r="G1689" s="248"/>
      <c r="I1689" s="248"/>
      <c r="J1689" s="248"/>
      <c r="K1689" s="248"/>
      <c r="L1689" s="248"/>
      <c r="M1689" s="248"/>
      <c r="N1689" s="248"/>
      <c r="P1689" s="248"/>
      <c r="Q1689" s="248"/>
    </row>
    <row r="1690">
      <c r="A1690" s="248"/>
      <c r="B1690" s="248"/>
      <c r="C1690" s="248"/>
      <c r="D1690" s="248"/>
      <c r="E1690" s="248"/>
      <c r="F1690" s="248"/>
      <c r="G1690" s="248"/>
      <c r="I1690" s="248"/>
      <c r="J1690" s="248"/>
      <c r="K1690" s="248"/>
      <c r="L1690" s="248"/>
      <c r="M1690" s="248"/>
      <c r="N1690" s="248"/>
      <c r="P1690" s="248"/>
      <c r="Q1690" s="248"/>
    </row>
    <row r="1691">
      <c r="A1691" s="248"/>
      <c r="B1691" s="248"/>
      <c r="C1691" s="248"/>
      <c r="D1691" s="248"/>
      <c r="E1691" s="248"/>
      <c r="F1691" s="248"/>
      <c r="G1691" s="248"/>
      <c r="I1691" s="248"/>
      <c r="J1691" s="248"/>
      <c r="K1691" s="248"/>
      <c r="L1691" s="248"/>
      <c r="M1691" s="248"/>
      <c r="N1691" s="248"/>
      <c r="P1691" s="248"/>
      <c r="Q1691" s="248"/>
    </row>
    <row r="1692">
      <c r="A1692" s="248"/>
      <c r="B1692" s="248"/>
      <c r="C1692" s="248"/>
      <c r="D1692" s="248"/>
      <c r="E1692" s="248"/>
      <c r="F1692" s="248"/>
      <c r="G1692" s="248"/>
      <c r="I1692" s="248"/>
      <c r="J1692" s="248"/>
      <c r="K1692" s="248"/>
      <c r="L1692" s="248"/>
      <c r="M1692" s="248"/>
      <c r="N1692" s="248"/>
      <c r="P1692" s="248"/>
      <c r="Q1692" s="248"/>
    </row>
    <row r="1693">
      <c r="A1693" s="248"/>
      <c r="B1693" s="248"/>
      <c r="C1693" s="248"/>
      <c r="D1693" s="248"/>
      <c r="E1693" s="248"/>
      <c r="F1693" s="248"/>
      <c r="G1693" s="248"/>
      <c r="I1693" s="248"/>
      <c r="J1693" s="248"/>
      <c r="K1693" s="248"/>
      <c r="L1693" s="248"/>
      <c r="M1693" s="248"/>
      <c r="N1693" s="248"/>
      <c r="P1693" s="248"/>
      <c r="Q1693" s="248"/>
    </row>
    <row r="1694">
      <c r="A1694" s="248"/>
      <c r="B1694" s="248"/>
      <c r="C1694" s="248"/>
      <c r="D1694" s="248"/>
      <c r="E1694" s="248"/>
      <c r="F1694" s="248"/>
      <c r="G1694" s="248"/>
      <c r="I1694" s="248"/>
      <c r="J1694" s="248"/>
      <c r="K1694" s="248"/>
      <c r="L1694" s="248"/>
      <c r="M1694" s="248"/>
      <c r="N1694" s="248"/>
      <c r="P1694" s="248"/>
      <c r="Q1694" s="248"/>
    </row>
    <row r="1695">
      <c r="A1695" s="248"/>
      <c r="B1695" s="248"/>
      <c r="C1695" s="248"/>
      <c r="D1695" s="248"/>
      <c r="E1695" s="248"/>
      <c r="F1695" s="248"/>
      <c r="G1695" s="248"/>
      <c r="I1695" s="248"/>
      <c r="J1695" s="248"/>
      <c r="K1695" s="248"/>
      <c r="L1695" s="248"/>
      <c r="M1695" s="248"/>
      <c r="N1695" s="248"/>
      <c r="P1695" s="248"/>
      <c r="Q1695" s="248"/>
    </row>
    <row r="1696">
      <c r="A1696" s="248"/>
      <c r="B1696" s="248"/>
      <c r="C1696" s="248"/>
      <c r="D1696" s="248"/>
      <c r="E1696" s="248"/>
      <c r="F1696" s="248"/>
      <c r="G1696" s="248"/>
      <c r="I1696" s="248"/>
      <c r="J1696" s="248"/>
      <c r="K1696" s="248"/>
      <c r="L1696" s="248"/>
      <c r="M1696" s="248"/>
      <c r="N1696" s="248"/>
      <c r="P1696" s="248"/>
      <c r="Q1696" s="248"/>
    </row>
    <row r="1697">
      <c r="A1697" s="248"/>
      <c r="B1697" s="248"/>
      <c r="C1697" s="248"/>
      <c r="D1697" s="248"/>
      <c r="E1697" s="248"/>
      <c r="F1697" s="248"/>
      <c r="G1697" s="248"/>
      <c r="I1697" s="248"/>
      <c r="J1697" s="248"/>
      <c r="K1697" s="248"/>
      <c r="L1697" s="248"/>
      <c r="M1697" s="248"/>
      <c r="N1697" s="248"/>
      <c r="P1697" s="248"/>
      <c r="Q1697" s="248"/>
    </row>
    <row r="1698">
      <c r="A1698" s="248"/>
      <c r="B1698" s="248"/>
      <c r="C1698" s="248"/>
      <c r="D1698" s="248"/>
      <c r="E1698" s="248"/>
      <c r="F1698" s="248"/>
      <c r="G1698" s="248"/>
      <c r="I1698" s="248"/>
      <c r="J1698" s="248"/>
      <c r="K1698" s="248"/>
      <c r="L1698" s="248"/>
      <c r="M1698" s="248"/>
      <c r="N1698" s="248"/>
      <c r="P1698" s="248"/>
      <c r="Q1698" s="248"/>
    </row>
    <row r="1699">
      <c r="A1699" s="248"/>
      <c r="B1699" s="248"/>
      <c r="C1699" s="248"/>
      <c r="D1699" s="248"/>
      <c r="E1699" s="248"/>
      <c r="F1699" s="248"/>
      <c r="G1699" s="248"/>
      <c r="I1699" s="248"/>
      <c r="J1699" s="248"/>
      <c r="K1699" s="248"/>
      <c r="L1699" s="248"/>
      <c r="M1699" s="248"/>
      <c r="N1699" s="248"/>
      <c r="P1699" s="248"/>
      <c r="Q1699" s="248"/>
    </row>
    <row r="1700">
      <c r="A1700" s="248"/>
      <c r="B1700" s="248"/>
      <c r="C1700" s="248"/>
      <c r="D1700" s="248"/>
      <c r="E1700" s="248"/>
      <c r="F1700" s="248"/>
      <c r="G1700" s="248"/>
      <c r="I1700" s="248"/>
      <c r="J1700" s="248"/>
      <c r="K1700" s="248"/>
      <c r="L1700" s="248"/>
      <c r="M1700" s="248"/>
      <c r="N1700" s="248"/>
      <c r="P1700" s="248"/>
      <c r="Q1700" s="248"/>
    </row>
    <row r="1701">
      <c r="A1701" s="248"/>
      <c r="B1701" s="248"/>
      <c r="C1701" s="248"/>
      <c r="D1701" s="248"/>
      <c r="E1701" s="248"/>
      <c r="F1701" s="248"/>
      <c r="G1701" s="248"/>
      <c r="I1701" s="248"/>
      <c r="J1701" s="248"/>
      <c r="K1701" s="248"/>
      <c r="L1701" s="248"/>
      <c r="M1701" s="248"/>
      <c r="N1701" s="248"/>
      <c r="P1701" s="248"/>
      <c r="Q1701" s="248"/>
    </row>
    <row r="1702">
      <c r="A1702" s="248"/>
      <c r="B1702" s="248"/>
      <c r="C1702" s="248"/>
      <c r="D1702" s="248"/>
      <c r="E1702" s="248"/>
      <c r="F1702" s="248"/>
      <c r="G1702" s="248"/>
      <c r="I1702" s="248"/>
      <c r="J1702" s="248"/>
      <c r="K1702" s="248"/>
      <c r="L1702" s="248"/>
      <c r="M1702" s="248"/>
      <c r="N1702" s="248"/>
      <c r="P1702" s="248"/>
      <c r="Q1702" s="248"/>
    </row>
    <row r="1703">
      <c r="A1703" s="248"/>
      <c r="B1703" s="248"/>
      <c r="C1703" s="248"/>
      <c r="D1703" s="248"/>
      <c r="E1703" s="248"/>
      <c r="F1703" s="248"/>
      <c r="G1703" s="248"/>
      <c r="I1703" s="248"/>
      <c r="J1703" s="248"/>
      <c r="K1703" s="248"/>
      <c r="L1703" s="248"/>
      <c r="M1703" s="248"/>
      <c r="N1703" s="248"/>
      <c r="P1703" s="248"/>
      <c r="Q1703" s="248"/>
    </row>
    <row r="1704">
      <c r="A1704" s="248"/>
      <c r="B1704" s="248"/>
      <c r="C1704" s="248"/>
      <c r="D1704" s="248"/>
      <c r="E1704" s="248"/>
      <c r="F1704" s="248"/>
      <c r="G1704" s="248"/>
      <c r="I1704" s="248"/>
      <c r="J1704" s="248"/>
      <c r="K1704" s="248"/>
      <c r="L1704" s="248"/>
      <c r="M1704" s="248"/>
      <c r="N1704" s="248"/>
      <c r="P1704" s="248"/>
      <c r="Q1704" s="248"/>
    </row>
    <row r="1705">
      <c r="A1705" s="248"/>
      <c r="B1705" s="248"/>
      <c r="C1705" s="248"/>
      <c r="D1705" s="248"/>
      <c r="E1705" s="248"/>
      <c r="F1705" s="248"/>
      <c r="G1705" s="248"/>
      <c r="I1705" s="248"/>
      <c r="J1705" s="248"/>
      <c r="K1705" s="248"/>
      <c r="L1705" s="248"/>
      <c r="M1705" s="248"/>
      <c r="N1705" s="248"/>
      <c r="P1705" s="248"/>
      <c r="Q1705" s="248"/>
    </row>
    <row r="1706">
      <c r="A1706" s="248"/>
      <c r="B1706" s="248"/>
      <c r="C1706" s="248"/>
      <c r="D1706" s="248"/>
      <c r="E1706" s="248"/>
      <c r="F1706" s="248"/>
      <c r="G1706" s="248"/>
      <c r="I1706" s="248"/>
      <c r="J1706" s="248"/>
      <c r="K1706" s="248"/>
      <c r="L1706" s="248"/>
      <c r="M1706" s="248"/>
      <c r="N1706" s="248"/>
      <c r="P1706" s="248"/>
      <c r="Q1706" s="248"/>
    </row>
    <row r="1707">
      <c r="A1707" s="248"/>
      <c r="B1707" s="248"/>
      <c r="C1707" s="248"/>
      <c r="D1707" s="248"/>
      <c r="E1707" s="248"/>
      <c r="F1707" s="248"/>
      <c r="G1707" s="248"/>
      <c r="I1707" s="248"/>
      <c r="J1707" s="248"/>
      <c r="K1707" s="248"/>
      <c r="L1707" s="248"/>
      <c r="M1707" s="248"/>
      <c r="N1707" s="248"/>
      <c r="P1707" s="248"/>
      <c r="Q1707" s="248"/>
    </row>
    <row r="1708">
      <c r="A1708" s="248"/>
      <c r="B1708" s="248"/>
      <c r="C1708" s="248"/>
      <c r="D1708" s="248"/>
      <c r="E1708" s="248"/>
      <c r="F1708" s="248"/>
      <c r="G1708" s="248"/>
      <c r="I1708" s="248"/>
      <c r="J1708" s="248"/>
      <c r="K1708" s="248"/>
      <c r="L1708" s="248"/>
      <c r="M1708" s="248"/>
      <c r="N1708" s="248"/>
      <c r="P1708" s="248"/>
      <c r="Q1708" s="248"/>
    </row>
    <row r="1709">
      <c r="A1709" s="248"/>
      <c r="B1709" s="248"/>
      <c r="C1709" s="248"/>
      <c r="D1709" s="248"/>
      <c r="E1709" s="248"/>
      <c r="F1709" s="248"/>
      <c r="G1709" s="248"/>
      <c r="I1709" s="248"/>
      <c r="J1709" s="248"/>
      <c r="K1709" s="248"/>
      <c r="L1709" s="248"/>
      <c r="M1709" s="248"/>
      <c r="N1709" s="248"/>
      <c r="P1709" s="248"/>
      <c r="Q1709" s="248"/>
    </row>
    <row r="1710">
      <c r="A1710" s="248"/>
      <c r="B1710" s="248"/>
      <c r="C1710" s="248"/>
      <c r="D1710" s="248"/>
      <c r="E1710" s="248"/>
      <c r="F1710" s="248"/>
      <c r="G1710" s="248"/>
      <c r="I1710" s="248"/>
      <c r="J1710" s="248"/>
      <c r="K1710" s="248"/>
      <c r="L1710" s="248"/>
      <c r="M1710" s="248"/>
      <c r="N1710" s="248"/>
      <c r="P1710" s="248"/>
      <c r="Q1710" s="248"/>
    </row>
    <row r="1711">
      <c r="A1711" s="248"/>
      <c r="B1711" s="248"/>
      <c r="C1711" s="248"/>
      <c r="D1711" s="248"/>
      <c r="E1711" s="248"/>
      <c r="F1711" s="248"/>
      <c r="G1711" s="248"/>
      <c r="I1711" s="248"/>
      <c r="J1711" s="248"/>
      <c r="K1711" s="248"/>
      <c r="L1711" s="248"/>
      <c r="M1711" s="248"/>
      <c r="N1711" s="248"/>
      <c r="P1711" s="248"/>
      <c r="Q1711" s="248"/>
    </row>
    <row r="1712">
      <c r="A1712" s="248"/>
      <c r="B1712" s="248"/>
      <c r="C1712" s="248"/>
      <c r="D1712" s="248"/>
      <c r="E1712" s="248"/>
      <c r="F1712" s="248"/>
      <c r="G1712" s="248"/>
      <c r="I1712" s="248"/>
      <c r="J1712" s="248"/>
      <c r="K1712" s="248"/>
      <c r="L1712" s="248"/>
      <c r="M1712" s="248"/>
      <c r="N1712" s="248"/>
      <c r="P1712" s="248"/>
      <c r="Q1712" s="248"/>
    </row>
    <row r="1713">
      <c r="A1713" s="248"/>
      <c r="B1713" s="248"/>
      <c r="C1713" s="248"/>
      <c r="D1713" s="248"/>
      <c r="E1713" s="248"/>
      <c r="F1713" s="248"/>
      <c r="G1713" s="248"/>
      <c r="I1713" s="248"/>
      <c r="J1713" s="248"/>
      <c r="K1713" s="248"/>
      <c r="L1713" s="248"/>
      <c r="M1713" s="248"/>
      <c r="N1713" s="248"/>
      <c r="P1713" s="248"/>
      <c r="Q1713" s="248"/>
    </row>
    <row r="1714">
      <c r="A1714" s="248"/>
      <c r="B1714" s="248"/>
      <c r="C1714" s="248"/>
      <c r="D1714" s="248"/>
      <c r="E1714" s="248"/>
      <c r="F1714" s="248"/>
      <c r="G1714" s="248"/>
      <c r="I1714" s="248"/>
      <c r="J1714" s="248"/>
      <c r="K1714" s="248"/>
      <c r="L1714" s="248"/>
      <c r="M1714" s="248"/>
      <c r="N1714" s="248"/>
      <c r="P1714" s="248"/>
      <c r="Q1714" s="248"/>
    </row>
    <row r="1715">
      <c r="A1715" s="248"/>
      <c r="B1715" s="248"/>
      <c r="C1715" s="248"/>
      <c r="D1715" s="248"/>
      <c r="E1715" s="248"/>
      <c r="F1715" s="248"/>
      <c r="G1715" s="248"/>
      <c r="I1715" s="248"/>
      <c r="J1715" s="248"/>
      <c r="K1715" s="248"/>
      <c r="L1715" s="248"/>
      <c r="M1715" s="248"/>
      <c r="N1715" s="248"/>
      <c r="P1715" s="248"/>
      <c r="Q1715" s="248"/>
    </row>
    <row r="1716">
      <c r="A1716" s="248"/>
      <c r="B1716" s="248"/>
      <c r="C1716" s="248"/>
      <c r="D1716" s="248"/>
      <c r="E1716" s="248"/>
      <c r="F1716" s="248"/>
      <c r="G1716" s="248"/>
      <c r="I1716" s="248"/>
      <c r="J1716" s="248"/>
      <c r="K1716" s="248"/>
      <c r="L1716" s="248"/>
      <c r="M1716" s="248"/>
      <c r="N1716" s="248"/>
      <c r="P1716" s="248"/>
      <c r="Q1716" s="248"/>
    </row>
    <row r="1717">
      <c r="A1717" s="248"/>
      <c r="B1717" s="248"/>
      <c r="C1717" s="248"/>
      <c r="D1717" s="248"/>
      <c r="E1717" s="248"/>
      <c r="F1717" s="248"/>
      <c r="G1717" s="248"/>
      <c r="I1717" s="248"/>
      <c r="J1717" s="248"/>
      <c r="K1717" s="248"/>
      <c r="L1717" s="248"/>
      <c r="M1717" s="248"/>
      <c r="N1717" s="248"/>
      <c r="P1717" s="248"/>
      <c r="Q1717" s="248"/>
    </row>
    <row r="1718">
      <c r="A1718" s="248"/>
      <c r="B1718" s="248"/>
      <c r="C1718" s="248"/>
      <c r="D1718" s="248"/>
      <c r="E1718" s="248"/>
      <c r="F1718" s="248"/>
      <c r="G1718" s="248"/>
      <c r="I1718" s="248"/>
      <c r="J1718" s="248"/>
      <c r="K1718" s="248"/>
      <c r="L1718" s="248"/>
      <c r="M1718" s="248"/>
      <c r="N1718" s="248"/>
      <c r="P1718" s="248"/>
      <c r="Q1718" s="248"/>
    </row>
    <row r="1719">
      <c r="A1719" s="248"/>
      <c r="B1719" s="248"/>
      <c r="C1719" s="248"/>
      <c r="D1719" s="248"/>
      <c r="E1719" s="248"/>
      <c r="F1719" s="248"/>
      <c r="G1719" s="248"/>
      <c r="I1719" s="248"/>
      <c r="J1719" s="248"/>
      <c r="K1719" s="248"/>
      <c r="L1719" s="248"/>
      <c r="M1719" s="248"/>
      <c r="N1719" s="248"/>
      <c r="P1719" s="248"/>
      <c r="Q1719" s="248"/>
    </row>
    <row r="1720">
      <c r="A1720" s="248"/>
      <c r="B1720" s="248"/>
      <c r="C1720" s="248"/>
      <c r="D1720" s="248"/>
      <c r="E1720" s="248"/>
      <c r="F1720" s="248"/>
      <c r="G1720" s="248"/>
      <c r="I1720" s="248"/>
      <c r="J1720" s="248"/>
      <c r="K1720" s="248"/>
      <c r="L1720" s="248"/>
      <c r="M1720" s="248"/>
      <c r="N1720" s="248"/>
      <c r="P1720" s="248"/>
      <c r="Q1720" s="248"/>
    </row>
    <row r="1721">
      <c r="A1721" s="248"/>
      <c r="B1721" s="248"/>
      <c r="C1721" s="248"/>
      <c r="D1721" s="248"/>
      <c r="E1721" s="248"/>
      <c r="F1721" s="248"/>
      <c r="G1721" s="248"/>
      <c r="I1721" s="248"/>
      <c r="J1721" s="248"/>
      <c r="K1721" s="248"/>
      <c r="L1721" s="248"/>
      <c r="M1721" s="248"/>
      <c r="N1721" s="248"/>
      <c r="P1721" s="248"/>
      <c r="Q1721" s="248"/>
    </row>
    <row r="1722">
      <c r="A1722" s="248"/>
      <c r="B1722" s="248"/>
      <c r="C1722" s="248"/>
      <c r="D1722" s="248"/>
      <c r="E1722" s="248"/>
      <c r="F1722" s="248"/>
      <c r="G1722" s="248"/>
      <c r="I1722" s="248"/>
      <c r="J1722" s="248"/>
      <c r="K1722" s="248"/>
      <c r="L1722" s="248"/>
      <c r="M1722" s="248"/>
      <c r="N1722" s="248"/>
      <c r="P1722" s="248"/>
      <c r="Q1722" s="248"/>
    </row>
    <row r="1723">
      <c r="A1723" s="248"/>
      <c r="B1723" s="248"/>
      <c r="C1723" s="248"/>
      <c r="D1723" s="248"/>
      <c r="E1723" s="248"/>
      <c r="F1723" s="248"/>
      <c r="G1723" s="248"/>
      <c r="I1723" s="248"/>
      <c r="J1723" s="248"/>
      <c r="K1723" s="248"/>
      <c r="L1723" s="248"/>
      <c r="M1723" s="248"/>
      <c r="N1723" s="248"/>
      <c r="P1723" s="248"/>
      <c r="Q1723" s="248"/>
    </row>
    <row r="1724">
      <c r="A1724" s="248"/>
      <c r="B1724" s="248"/>
      <c r="C1724" s="248"/>
      <c r="D1724" s="248"/>
      <c r="E1724" s="248"/>
      <c r="F1724" s="248"/>
      <c r="G1724" s="248"/>
      <c r="I1724" s="248"/>
      <c r="J1724" s="248"/>
      <c r="K1724" s="248"/>
      <c r="L1724" s="248"/>
      <c r="M1724" s="248"/>
      <c r="N1724" s="248"/>
      <c r="P1724" s="248"/>
      <c r="Q1724" s="248"/>
    </row>
    <row r="1725">
      <c r="A1725" s="248"/>
      <c r="B1725" s="248"/>
      <c r="C1725" s="248"/>
      <c r="D1725" s="248"/>
      <c r="E1725" s="248"/>
      <c r="F1725" s="248"/>
      <c r="G1725" s="248"/>
      <c r="I1725" s="248"/>
      <c r="J1725" s="248"/>
      <c r="K1725" s="248"/>
      <c r="L1725" s="248"/>
      <c r="M1725" s="248"/>
      <c r="N1725" s="248"/>
      <c r="P1725" s="248"/>
      <c r="Q1725" s="248"/>
    </row>
    <row r="1726">
      <c r="A1726" s="248"/>
      <c r="B1726" s="248"/>
      <c r="C1726" s="248"/>
      <c r="D1726" s="248"/>
      <c r="E1726" s="248"/>
      <c r="F1726" s="248"/>
      <c r="G1726" s="248"/>
      <c r="I1726" s="248"/>
      <c r="J1726" s="248"/>
      <c r="K1726" s="248"/>
      <c r="L1726" s="248"/>
      <c r="M1726" s="248"/>
      <c r="N1726" s="248"/>
      <c r="P1726" s="248"/>
      <c r="Q1726" s="248"/>
    </row>
    <row r="1727">
      <c r="A1727" s="248"/>
      <c r="B1727" s="248"/>
      <c r="C1727" s="248"/>
      <c r="D1727" s="248"/>
      <c r="E1727" s="248"/>
      <c r="F1727" s="248"/>
      <c r="G1727" s="248"/>
      <c r="I1727" s="248"/>
      <c r="J1727" s="248"/>
      <c r="K1727" s="248"/>
      <c r="L1727" s="248"/>
      <c r="M1727" s="248"/>
      <c r="N1727" s="248"/>
      <c r="P1727" s="248"/>
      <c r="Q1727" s="248"/>
    </row>
    <row r="1728">
      <c r="A1728" s="248"/>
      <c r="B1728" s="248"/>
      <c r="C1728" s="248"/>
      <c r="D1728" s="248"/>
      <c r="E1728" s="248"/>
      <c r="F1728" s="248"/>
      <c r="G1728" s="248"/>
      <c r="I1728" s="248"/>
      <c r="J1728" s="248"/>
      <c r="K1728" s="248"/>
      <c r="L1728" s="248"/>
      <c r="M1728" s="248"/>
      <c r="N1728" s="248"/>
      <c r="P1728" s="248"/>
      <c r="Q1728" s="248"/>
    </row>
    <row r="1729">
      <c r="A1729" s="248"/>
      <c r="B1729" s="248"/>
      <c r="C1729" s="248"/>
      <c r="D1729" s="248"/>
      <c r="E1729" s="248"/>
      <c r="F1729" s="248"/>
      <c r="G1729" s="248"/>
      <c r="I1729" s="248"/>
      <c r="J1729" s="248"/>
      <c r="K1729" s="248"/>
      <c r="L1729" s="248"/>
      <c r="M1729" s="248"/>
      <c r="N1729" s="248"/>
      <c r="P1729" s="248"/>
      <c r="Q1729" s="248"/>
    </row>
    <row r="1730">
      <c r="A1730" s="248"/>
      <c r="B1730" s="248"/>
      <c r="C1730" s="248"/>
      <c r="D1730" s="248"/>
      <c r="E1730" s="248"/>
      <c r="F1730" s="248"/>
      <c r="G1730" s="248"/>
      <c r="I1730" s="248"/>
      <c r="J1730" s="248"/>
      <c r="K1730" s="248"/>
      <c r="L1730" s="248"/>
      <c r="M1730" s="248"/>
      <c r="N1730" s="248"/>
      <c r="P1730" s="248"/>
      <c r="Q1730" s="248"/>
    </row>
    <row r="1731">
      <c r="A1731" s="248"/>
      <c r="B1731" s="248"/>
      <c r="C1731" s="248"/>
      <c r="D1731" s="248"/>
      <c r="E1731" s="248"/>
      <c r="F1731" s="248"/>
      <c r="G1731" s="248"/>
      <c r="I1731" s="248"/>
      <c r="J1731" s="248"/>
      <c r="K1731" s="248"/>
      <c r="L1731" s="248"/>
      <c r="M1731" s="248"/>
      <c r="N1731" s="248"/>
      <c r="P1731" s="248"/>
      <c r="Q1731" s="248"/>
    </row>
    <row r="1732">
      <c r="A1732" s="248"/>
      <c r="B1732" s="248"/>
      <c r="C1732" s="248"/>
      <c r="D1732" s="248"/>
      <c r="E1732" s="248"/>
      <c r="F1732" s="248"/>
      <c r="G1732" s="248"/>
      <c r="I1732" s="248"/>
      <c r="J1732" s="248"/>
      <c r="K1732" s="248"/>
      <c r="L1732" s="248"/>
      <c r="M1732" s="248"/>
      <c r="N1732" s="248"/>
      <c r="P1732" s="248"/>
      <c r="Q1732" s="248"/>
    </row>
    <row r="1733">
      <c r="A1733" s="248"/>
      <c r="B1733" s="248"/>
      <c r="C1733" s="248"/>
      <c r="D1733" s="248"/>
      <c r="E1733" s="248"/>
      <c r="F1733" s="248"/>
      <c r="G1733" s="248"/>
      <c r="I1733" s="248"/>
      <c r="J1733" s="248"/>
      <c r="K1733" s="248"/>
      <c r="L1733" s="248"/>
      <c r="M1733" s="248"/>
      <c r="N1733" s="248"/>
      <c r="P1733" s="248"/>
      <c r="Q1733" s="248"/>
    </row>
    <row r="1734">
      <c r="A1734" s="248"/>
      <c r="B1734" s="248"/>
      <c r="C1734" s="248"/>
      <c r="D1734" s="248"/>
      <c r="E1734" s="248"/>
      <c r="F1734" s="248"/>
      <c r="G1734" s="248"/>
      <c r="I1734" s="248"/>
      <c r="J1734" s="248"/>
      <c r="K1734" s="248"/>
      <c r="L1734" s="248"/>
      <c r="M1734" s="248"/>
      <c r="N1734" s="248"/>
      <c r="P1734" s="248"/>
      <c r="Q1734" s="248"/>
    </row>
    <row r="1735">
      <c r="A1735" s="248"/>
      <c r="B1735" s="248"/>
      <c r="C1735" s="248"/>
      <c r="D1735" s="248"/>
      <c r="E1735" s="248"/>
      <c r="F1735" s="248"/>
      <c r="G1735" s="248"/>
      <c r="I1735" s="248"/>
      <c r="J1735" s="248"/>
      <c r="K1735" s="248"/>
      <c r="L1735" s="248"/>
      <c r="M1735" s="248"/>
      <c r="N1735" s="248"/>
      <c r="P1735" s="248"/>
      <c r="Q1735" s="248"/>
    </row>
    <row r="1736">
      <c r="A1736" s="248"/>
      <c r="B1736" s="248"/>
      <c r="C1736" s="248"/>
      <c r="D1736" s="248"/>
      <c r="E1736" s="248"/>
      <c r="F1736" s="248"/>
      <c r="G1736" s="248"/>
      <c r="I1736" s="248"/>
      <c r="J1736" s="248"/>
      <c r="K1736" s="248"/>
      <c r="L1736" s="248"/>
      <c r="M1736" s="248"/>
      <c r="N1736" s="248"/>
      <c r="P1736" s="248"/>
      <c r="Q1736" s="248"/>
    </row>
    <row r="1737">
      <c r="A1737" s="248"/>
      <c r="B1737" s="248"/>
      <c r="C1737" s="248"/>
      <c r="D1737" s="248"/>
      <c r="E1737" s="248"/>
      <c r="F1737" s="248"/>
      <c r="G1737" s="248"/>
      <c r="I1737" s="248"/>
      <c r="J1737" s="248"/>
      <c r="K1737" s="248"/>
      <c r="L1737" s="248"/>
      <c r="M1737" s="248"/>
      <c r="N1737" s="248"/>
      <c r="P1737" s="248"/>
      <c r="Q1737" s="248"/>
    </row>
    <row r="1738">
      <c r="A1738" s="248"/>
      <c r="B1738" s="248"/>
      <c r="C1738" s="248"/>
      <c r="D1738" s="248"/>
      <c r="E1738" s="248"/>
      <c r="F1738" s="248"/>
      <c r="G1738" s="248"/>
      <c r="I1738" s="248"/>
      <c r="J1738" s="248"/>
      <c r="K1738" s="248"/>
      <c r="L1738" s="248"/>
      <c r="M1738" s="248"/>
      <c r="N1738" s="248"/>
      <c r="P1738" s="248"/>
      <c r="Q1738" s="248"/>
    </row>
    <row r="1739">
      <c r="A1739" s="248"/>
      <c r="B1739" s="248"/>
      <c r="C1739" s="248"/>
      <c r="D1739" s="248"/>
      <c r="E1739" s="248"/>
      <c r="F1739" s="248"/>
      <c r="G1739" s="248"/>
      <c r="I1739" s="248"/>
      <c r="J1739" s="248"/>
      <c r="K1739" s="248"/>
      <c r="L1739" s="248"/>
      <c r="M1739" s="248"/>
      <c r="N1739" s="248"/>
      <c r="P1739" s="248"/>
      <c r="Q1739" s="248"/>
    </row>
    <row r="1740">
      <c r="A1740" s="248"/>
      <c r="B1740" s="248"/>
      <c r="C1740" s="248"/>
      <c r="D1740" s="248"/>
      <c r="E1740" s="248"/>
      <c r="F1740" s="248"/>
      <c r="G1740" s="248"/>
      <c r="I1740" s="248"/>
      <c r="J1740" s="248"/>
      <c r="K1740" s="248"/>
      <c r="L1740" s="248"/>
      <c r="M1740" s="248"/>
      <c r="N1740" s="248"/>
      <c r="P1740" s="248"/>
      <c r="Q1740" s="248"/>
    </row>
    <row r="1741">
      <c r="A1741" s="248"/>
      <c r="B1741" s="248"/>
      <c r="C1741" s="248"/>
      <c r="D1741" s="248"/>
      <c r="E1741" s="248"/>
      <c r="F1741" s="248"/>
      <c r="G1741" s="248"/>
      <c r="I1741" s="248"/>
      <c r="J1741" s="248"/>
      <c r="K1741" s="248"/>
      <c r="L1741" s="248"/>
      <c r="M1741" s="248"/>
      <c r="N1741" s="248"/>
      <c r="P1741" s="248"/>
      <c r="Q1741" s="248"/>
    </row>
    <row r="1742">
      <c r="A1742" s="248"/>
      <c r="B1742" s="248"/>
      <c r="C1742" s="248"/>
      <c r="D1742" s="248"/>
      <c r="E1742" s="248"/>
      <c r="F1742" s="248"/>
      <c r="G1742" s="248"/>
      <c r="I1742" s="248"/>
      <c r="J1742" s="248"/>
      <c r="K1742" s="248"/>
      <c r="L1742" s="248"/>
      <c r="M1742" s="248"/>
      <c r="N1742" s="248"/>
      <c r="P1742" s="248"/>
      <c r="Q1742" s="248"/>
    </row>
    <row r="1743">
      <c r="A1743" s="248"/>
      <c r="B1743" s="248"/>
      <c r="C1743" s="248"/>
      <c r="D1743" s="248"/>
      <c r="E1743" s="248"/>
      <c r="F1743" s="248"/>
      <c r="G1743" s="248"/>
      <c r="I1743" s="248"/>
      <c r="J1743" s="248"/>
      <c r="K1743" s="248"/>
      <c r="L1743" s="248"/>
      <c r="M1743" s="248"/>
      <c r="N1743" s="248"/>
      <c r="P1743" s="248"/>
      <c r="Q1743" s="248"/>
    </row>
    <row r="1744">
      <c r="A1744" s="248"/>
      <c r="B1744" s="248"/>
      <c r="C1744" s="248"/>
      <c r="D1744" s="248"/>
      <c r="E1744" s="248"/>
      <c r="F1744" s="248"/>
      <c r="G1744" s="248"/>
      <c r="I1744" s="248"/>
      <c r="J1744" s="248"/>
      <c r="K1744" s="248"/>
      <c r="L1744" s="248"/>
      <c r="M1744" s="248"/>
      <c r="N1744" s="248"/>
      <c r="P1744" s="248"/>
      <c r="Q1744" s="248"/>
    </row>
    <row r="1745">
      <c r="A1745" s="248"/>
      <c r="B1745" s="248"/>
      <c r="C1745" s="248"/>
      <c r="D1745" s="248"/>
      <c r="E1745" s="248"/>
      <c r="F1745" s="248"/>
      <c r="G1745" s="248"/>
      <c r="I1745" s="248"/>
      <c r="J1745" s="248"/>
      <c r="K1745" s="248"/>
      <c r="L1745" s="248"/>
      <c r="M1745" s="248"/>
      <c r="N1745" s="248"/>
      <c r="P1745" s="248"/>
      <c r="Q1745" s="248"/>
    </row>
    <row r="1746">
      <c r="A1746" s="248"/>
      <c r="B1746" s="248"/>
      <c r="C1746" s="248"/>
      <c r="D1746" s="248"/>
      <c r="E1746" s="248"/>
      <c r="F1746" s="248"/>
      <c r="G1746" s="248"/>
      <c r="I1746" s="248"/>
      <c r="J1746" s="248"/>
      <c r="K1746" s="248"/>
      <c r="L1746" s="248"/>
      <c r="M1746" s="248"/>
      <c r="N1746" s="248"/>
      <c r="P1746" s="248"/>
      <c r="Q1746" s="248"/>
    </row>
    <row r="1747">
      <c r="A1747" s="248"/>
      <c r="B1747" s="248"/>
      <c r="C1747" s="248"/>
      <c r="D1747" s="248"/>
      <c r="E1747" s="248"/>
      <c r="F1747" s="248"/>
      <c r="G1747" s="248"/>
      <c r="I1747" s="248"/>
      <c r="J1747" s="248"/>
      <c r="K1747" s="248"/>
      <c r="L1747" s="248"/>
      <c r="M1747" s="248"/>
      <c r="N1747" s="248"/>
      <c r="P1747" s="248"/>
      <c r="Q1747" s="248"/>
    </row>
    <row r="1748">
      <c r="A1748" s="248"/>
      <c r="B1748" s="248"/>
      <c r="C1748" s="248"/>
      <c r="D1748" s="248"/>
      <c r="E1748" s="248"/>
      <c r="F1748" s="248"/>
      <c r="G1748" s="248"/>
      <c r="I1748" s="248"/>
      <c r="J1748" s="248"/>
      <c r="K1748" s="248"/>
      <c r="L1748" s="248"/>
      <c r="M1748" s="248"/>
      <c r="N1748" s="248"/>
      <c r="P1748" s="248"/>
      <c r="Q1748" s="248"/>
    </row>
    <row r="1749">
      <c r="A1749" s="248"/>
      <c r="B1749" s="248"/>
      <c r="C1749" s="248"/>
      <c r="D1749" s="248"/>
      <c r="E1749" s="248"/>
      <c r="F1749" s="248"/>
      <c r="G1749" s="248"/>
      <c r="I1749" s="248"/>
      <c r="J1749" s="248"/>
      <c r="K1749" s="248"/>
      <c r="L1749" s="248"/>
      <c r="M1749" s="248"/>
      <c r="N1749" s="248"/>
      <c r="P1749" s="248"/>
      <c r="Q1749" s="248"/>
    </row>
    <row r="1750">
      <c r="A1750" s="248"/>
      <c r="B1750" s="248"/>
      <c r="C1750" s="248"/>
      <c r="D1750" s="248"/>
      <c r="E1750" s="248"/>
      <c r="F1750" s="248"/>
      <c r="G1750" s="248"/>
      <c r="I1750" s="248"/>
      <c r="J1750" s="248"/>
      <c r="K1750" s="248"/>
      <c r="L1750" s="248"/>
      <c r="M1750" s="248"/>
      <c r="N1750" s="248"/>
      <c r="P1750" s="248"/>
      <c r="Q1750" s="248"/>
    </row>
    <row r="1751">
      <c r="A1751" s="248"/>
      <c r="B1751" s="248"/>
      <c r="C1751" s="248"/>
      <c r="D1751" s="248"/>
      <c r="E1751" s="248"/>
      <c r="F1751" s="248"/>
      <c r="G1751" s="248"/>
      <c r="I1751" s="248"/>
      <c r="J1751" s="248"/>
      <c r="K1751" s="248"/>
      <c r="L1751" s="248"/>
      <c r="M1751" s="248"/>
      <c r="N1751" s="248"/>
      <c r="P1751" s="248"/>
      <c r="Q1751" s="248"/>
    </row>
    <row r="1752">
      <c r="A1752" s="248"/>
      <c r="B1752" s="248"/>
      <c r="C1752" s="248"/>
      <c r="D1752" s="248"/>
      <c r="E1752" s="248"/>
      <c r="F1752" s="248"/>
      <c r="G1752" s="248"/>
      <c r="I1752" s="248"/>
      <c r="J1752" s="248"/>
      <c r="K1752" s="248"/>
      <c r="L1752" s="248"/>
      <c r="M1752" s="248"/>
      <c r="N1752" s="248"/>
      <c r="P1752" s="248"/>
      <c r="Q1752" s="248"/>
    </row>
    <row r="1753">
      <c r="A1753" s="248"/>
      <c r="B1753" s="248"/>
      <c r="C1753" s="248"/>
      <c r="D1753" s="248"/>
      <c r="E1753" s="248"/>
      <c r="F1753" s="248"/>
      <c r="G1753" s="248"/>
      <c r="I1753" s="248"/>
      <c r="J1753" s="248"/>
      <c r="K1753" s="248"/>
      <c r="L1753" s="248"/>
      <c r="M1753" s="248"/>
      <c r="N1753" s="248"/>
      <c r="P1753" s="248"/>
      <c r="Q1753" s="248"/>
    </row>
    <row r="1754">
      <c r="A1754" s="248"/>
      <c r="B1754" s="248"/>
      <c r="C1754" s="248"/>
      <c r="D1754" s="248"/>
      <c r="E1754" s="248"/>
      <c r="F1754" s="248"/>
      <c r="G1754" s="248"/>
      <c r="I1754" s="248"/>
      <c r="J1754" s="248"/>
      <c r="K1754" s="248"/>
      <c r="L1754" s="248"/>
      <c r="M1754" s="248"/>
      <c r="N1754" s="248"/>
      <c r="P1754" s="248"/>
      <c r="Q1754" s="248"/>
    </row>
    <row r="1755">
      <c r="A1755" s="248"/>
      <c r="B1755" s="248"/>
      <c r="C1755" s="248"/>
      <c r="D1755" s="248"/>
      <c r="E1755" s="248"/>
      <c r="F1755" s="248"/>
      <c r="G1755" s="248"/>
      <c r="I1755" s="248"/>
      <c r="J1755" s="248"/>
      <c r="K1755" s="248"/>
      <c r="L1755" s="248"/>
      <c r="M1755" s="248"/>
      <c r="N1755" s="248"/>
      <c r="P1755" s="248"/>
      <c r="Q1755" s="248"/>
    </row>
    <row r="1756">
      <c r="A1756" s="248"/>
      <c r="B1756" s="248"/>
      <c r="C1756" s="248"/>
      <c r="D1756" s="248"/>
      <c r="E1756" s="248"/>
      <c r="F1756" s="248"/>
      <c r="G1756" s="248"/>
      <c r="I1756" s="248"/>
      <c r="J1756" s="248"/>
      <c r="K1756" s="248"/>
      <c r="L1756" s="248"/>
      <c r="M1756" s="248"/>
      <c r="N1756" s="248"/>
      <c r="P1756" s="248"/>
      <c r="Q1756" s="248"/>
    </row>
    <row r="1757">
      <c r="A1757" s="248"/>
      <c r="B1757" s="248"/>
      <c r="C1757" s="248"/>
      <c r="D1757" s="248"/>
      <c r="E1757" s="248"/>
      <c r="F1757" s="248"/>
      <c r="G1757" s="248"/>
      <c r="I1757" s="248"/>
      <c r="J1757" s="248"/>
      <c r="K1757" s="248"/>
      <c r="L1757" s="248"/>
      <c r="M1757" s="248"/>
      <c r="N1757" s="248"/>
      <c r="P1757" s="248"/>
      <c r="Q1757" s="248"/>
    </row>
    <row r="1758">
      <c r="A1758" s="248"/>
      <c r="B1758" s="248"/>
      <c r="C1758" s="248"/>
      <c r="D1758" s="248"/>
      <c r="E1758" s="248"/>
      <c r="F1758" s="248"/>
      <c r="G1758" s="248"/>
      <c r="I1758" s="248"/>
      <c r="J1758" s="248"/>
      <c r="K1758" s="248"/>
      <c r="L1758" s="248"/>
      <c r="M1758" s="248"/>
      <c r="N1758" s="248"/>
      <c r="P1758" s="248"/>
      <c r="Q1758" s="248"/>
    </row>
    <row r="1759">
      <c r="A1759" s="248"/>
      <c r="B1759" s="248"/>
      <c r="C1759" s="248"/>
      <c r="D1759" s="248"/>
      <c r="E1759" s="248"/>
      <c r="F1759" s="248"/>
      <c r="G1759" s="248"/>
      <c r="I1759" s="248"/>
      <c r="J1759" s="248"/>
      <c r="K1759" s="248"/>
      <c r="L1759" s="248"/>
      <c r="M1759" s="248"/>
      <c r="N1759" s="248"/>
      <c r="P1759" s="248"/>
      <c r="Q1759" s="248"/>
    </row>
    <row r="1760">
      <c r="A1760" s="248"/>
      <c r="B1760" s="248"/>
      <c r="C1760" s="248"/>
      <c r="D1760" s="248"/>
      <c r="E1760" s="248"/>
      <c r="F1760" s="248"/>
      <c r="G1760" s="248"/>
      <c r="I1760" s="248"/>
      <c r="J1760" s="248"/>
      <c r="K1760" s="248"/>
      <c r="L1760" s="248"/>
      <c r="M1760" s="248"/>
      <c r="N1760" s="248"/>
      <c r="P1760" s="248"/>
      <c r="Q1760" s="248"/>
    </row>
    <row r="1761">
      <c r="A1761" s="248"/>
      <c r="B1761" s="248"/>
      <c r="C1761" s="248"/>
      <c r="D1761" s="248"/>
      <c r="E1761" s="248"/>
      <c r="F1761" s="248"/>
      <c r="G1761" s="248"/>
      <c r="I1761" s="248"/>
      <c r="J1761" s="248"/>
      <c r="K1761" s="248"/>
      <c r="L1761" s="248"/>
      <c r="M1761" s="248"/>
      <c r="N1761" s="248"/>
      <c r="P1761" s="248"/>
      <c r="Q1761" s="248"/>
    </row>
    <row r="1762">
      <c r="A1762" s="248"/>
      <c r="B1762" s="248"/>
      <c r="C1762" s="248"/>
      <c r="D1762" s="248"/>
      <c r="E1762" s="248"/>
      <c r="F1762" s="248"/>
      <c r="G1762" s="248"/>
      <c r="I1762" s="248"/>
      <c r="J1762" s="248"/>
      <c r="K1762" s="248"/>
      <c r="L1762" s="248"/>
      <c r="M1762" s="248"/>
      <c r="N1762" s="248"/>
      <c r="P1762" s="248"/>
      <c r="Q1762" s="248"/>
    </row>
    <row r="1763">
      <c r="A1763" s="248"/>
      <c r="B1763" s="248"/>
      <c r="C1763" s="248"/>
      <c r="D1763" s="248"/>
      <c r="E1763" s="248"/>
      <c r="F1763" s="248"/>
      <c r="G1763" s="248"/>
      <c r="I1763" s="248"/>
      <c r="J1763" s="248"/>
      <c r="K1763" s="248"/>
      <c r="L1763" s="248"/>
      <c r="M1763" s="248"/>
      <c r="N1763" s="248"/>
      <c r="P1763" s="248"/>
      <c r="Q1763" s="248"/>
    </row>
    <row r="1764">
      <c r="A1764" s="248"/>
      <c r="B1764" s="248"/>
      <c r="C1764" s="248"/>
      <c r="D1764" s="248"/>
      <c r="E1764" s="248"/>
      <c r="F1764" s="248"/>
      <c r="G1764" s="248"/>
      <c r="I1764" s="248"/>
      <c r="J1764" s="248"/>
      <c r="K1764" s="248"/>
      <c r="L1764" s="248"/>
      <c r="M1764" s="248"/>
      <c r="N1764" s="248"/>
      <c r="P1764" s="248"/>
      <c r="Q1764" s="248"/>
    </row>
    <row r="1765">
      <c r="A1765" s="248"/>
      <c r="B1765" s="248"/>
      <c r="C1765" s="248"/>
      <c r="D1765" s="248"/>
      <c r="E1765" s="248"/>
      <c r="F1765" s="248"/>
      <c r="G1765" s="248"/>
      <c r="I1765" s="248"/>
      <c r="J1765" s="248"/>
      <c r="K1765" s="248"/>
      <c r="L1765" s="248"/>
      <c r="M1765" s="248"/>
      <c r="N1765" s="248"/>
      <c r="P1765" s="248"/>
      <c r="Q1765" s="248"/>
    </row>
    <row r="1766">
      <c r="A1766" s="248"/>
      <c r="B1766" s="248"/>
      <c r="C1766" s="248"/>
      <c r="D1766" s="248"/>
      <c r="E1766" s="248"/>
      <c r="F1766" s="248"/>
      <c r="G1766" s="248"/>
      <c r="I1766" s="248"/>
      <c r="J1766" s="248"/>
      <c r="K1766" s="248"/>
      <c r="L1766" s="248"/>
      <c r="M1766" s="248"/>
      <c r="N1766" s="248"/>
      <c r="P1766" s="248"/>
      <c r="Q1766" s="248"/>
    </row>
    <row r="1767">
      <c r="A1767" s="248"/>
      <c r="B1767" s="248"/>
      <c r="C1767" s="248"/>
      <c r="D1767" s="248"/>
      <c r="E1767" s="248"/>
      <c r="F1767" s="248"/>
      <c r="G1767" s="248"/>
      <c r="I1767" s="248"/>
      <c r="J1767" s="248"/>
      <c r="K1767" s="248"/>
      <c r="L1767" s="248"/>
      <c r="M1767" s="248"/>
      <c r="N1767" s="248"/>
      <c r="P1767" s="248"/>
      <c r="Q1767" s="248"/>
    </row>
    <row r="1768">
      <c r="A1768" s="248"/>
      <c r="B1768" s="248"/>
      <c r="C1768" s="248"/>
      <c r="D1768" s="248"/>
      <c r="E1768" s="248"/>
      <c r="F1768" s="248"/>
      <c r="G1768" s="248"/>
      <c r="I1768" s="248"/>
      <c r="J1768" s="248"/>
      <c r="K1768" s="248"/>
      <c r="L1768" s="248"/>
      <c r="M1768" s="248"/>
      <c r="N1768" s="248"/>
      <c r="P1768" s="248"/>
      <c r="Q1768" s="248"/>
    </row>
    <row r="1769">
      <c r="A1769" s="248"/>
      <c r="B1769" s="248"/>
      <c r="C1769" s="248"/>
      <c r="D1769" s="248"/>
      <c r="E1769" s="248"/>
      <c r="F1769" s="248"/>
      <c r="G1769" s="248"/>
      <c r="I1769" s="248"/>
      <c r="J1769" s="248"/>
      <c r="K1769" s="248"/>
      <c r="L1769" s="248"/>
      <c r="M1769" s="248"/>
      <c r="N1769" s="248"/>
      <c r="P1769" s="248"/>
      <c r="Q1769" s="248"/>
    </row>
    <row r="1770">
      <c r="A1770" s="248"/>
      <c r="B1770" s="248"/>
      <c r="C1770" s="248"/>
      <c r="D1770" s="248"/>
      <c r="E1770" s="248"/>
      <c r="F1770" s="248"/>
      <c r="G1770" s="248"/>
      <c r="I1770" s="248"/>
      <c r="J1770" s="248"/>
      <c r="K1770" s="248"/>
      <c r="L1770" s="248"/>
      <c r="M1770" s="248"/>
      <c r="N1770" s="248"/>
      <c r="P1770" s="248"/>
      <c r="Q1770" s="248"/>
    </row>
    <row r="1771">
      <c r="A1771" s="248"/>
      <c r="B1771" s="248"/>
      <c r="C1771" s="248"/>
      <c r="D1771" s="248"/>
      <c r="E1771" s="248"/>
      <c r="F1771" s="248"/>
      <c r="G1771" s="248"/>
      <c r="I1771" s="248"/>
      <c r="J1771" s="248"/>
      <c r="K1771" s="248"/>
      <c r="L1771" s="248"/>
      <c r="M1771" s="248"/>
      <c r="N1771" s="248"/>
      <c r="P1771" s="248"/>
      <c r="Q1771" s="248"/>
    </row>
    <row r="1772">
      <c r="A1772" s="248"/>
      <c r="B1772" s="248"/>
      <c r="C1772" s="248"/>
      <c r="D1772" s="248"/>
      <c r="E1772" s="248"/>
      <c r="F1772" s="248"/>
      <c r="G1772" s="248"/>
      <c r="I1772" s="248"/>
      <c r="J1772" s="248"/>
      <c r="K1772" s="248"/>
      <c r="L1772" s="248"/>
      <c r="M1772" s="248"/>
      <c r="N1772" s="248"/>
      <c r="P1772" s="248"/>
      <c r="Q1772" s="248"/>
    </row>
    <row r="1773">
      <c r="A1773" s="248"/>
      <c r="B1773" s="248"/>
      <c r="C1773" s="248"/>
      <c r="D1773" s="248"/>
      <c r="E1773" s="248"/>
      <c r="F1773" s="248"/>
      <c r="G1773" s="248"/>
      <c r="I1773" s="248"/>
      <c r="J1773" s="248"/>
      <c r="K1773" s="248"/>
      <c r="L1773" s="248"/>
      <c r="M1773" s="248"/>
      <c r="N1773" s="248"/>
      <c r="P1773" s="248"/>
      <c r="Q1773" s="248"/>
    </row>
    <row r="1774">
      <c r="A1774" s="248"/>
      <c r="B1774" s="248"/>
      <c r="C1774" s="248"/>
      <c r="D1774" s="248"/>
      <c r="E1774" s="248"/>
      <c r="F1774" s="248"/>
      <c r="G1774" s="248"/>
      <c r="I1774" s="248"/>
      <c r="J1774" s="248"/>
      <c r="K1774" s="248"/>
      <c r="L1774" s="248"/>
      <c r="M1774" s="248"/>
      <c r="N1774" s="248"/>
      <c r="P1774" s="248"/>
      <c r="Q1774" s="248"/>
    </row>
    <row r="1775">
      <c r="A1775" s="248"/>
      <c r="B1775" s="248"/>
      <c r="C1775" s="248"/>
      <c r="D1775" s="248"/>
      <c r="E1775" s="248"/>
      <c r="F1775" s="248"/>
      <c r="G1775" s="248"/>
      <c r="I1775" s="248"/>
      <c r="J1775" s="248"/>
      <c r="K1775" s="248"/>
      <c r="L1775" s="248"/>
      <c r="M1775" s="248"/>
      <c r="N1775" s="248"/>
      <c r="P1775" s="248"/>
      <c r="Q1775" s="248"/>
    </row>
    <row r="1776">
      <c r="A1776" s="248"/>
      <c r="B1776" s="248"/>
      <c r="C1776" s="248"/>
      <c r="D1776" s="248"/>
      <c r="E1776" s="248"/>
      <c r="F1776" s="248"/>
      <c r="G1776" s="248"/>
      <c r="I1776" s="248"/>
      <c r="J1776" s="248"/>
      <c r="K1776" s="248"/>
      <c r="L1776" s="248"/>
      <c r="M1776" s="248"/>
      <c r="N1776" s="248"/>
      <c r="P1776" s="248"/>
      <c r="Q1776" s="248"/>
    </row>
    <row r="1777">
      <c r="A1777" s="248"/>
      <c r="B1777" s="248"/>
      <c r="C1777" s="248"/>
      <c r="D1777" s="248"/>
      <c r="E1777" s="248"/>
      <c r="F1777" s="248"/>
      <c r="G1777" s="248"/>
      <c r="I1777" s="248"/>
      <c r="J1777" s="248"/>
      <c r="K1777" s="248"/>
      <c r="L1777" s="248"/>
      <c r="M1777" s="248"/>
      <c r="N1777" s="248"/>
      <c r="P1777" s="248"/>
      <c r="Q1777" s="248"/>
    </row>
    <row r="1778">
      <c r="A1778" s="248"/>
      <c r="B1778" s="248"/>
      <c r="C1778" s="248"/>
      <c r="D1778" s="248"/>
      <c r="E1778" s="248"/>
      <c r="F1778" s="248"/>
      <c r="G1778" s="248"/>
      <c r="I1778" s="248"/>
      <c r="J1778" s="248"/>
      <c r="K1778" s="248"/>
      <c r="L1778" s="248"/>
      <c r="M1778" s="248"/>
      <c r="N1778" s="248"/>
      <c r="P1778" s="248"/>
      <c r="Q1778" s="248"/>
    </row>
    <row r="1779">
      <c r="A1779" s="248"/>
      <c r="B1779" s="248"/>
      <c r="C1779" s="248"/>
      <c r="D1779" s="248"/>
      <c r="E1779" s="248"/>
      <c r="F1779" s="248"/>
      <c r="G1779" s="248"/>
      <c r="I1779" s="248"/>
      <c r="J1779" s="248"/>
      <c r="K1779" s="248"/>
      <c r="L1779" s="248"/>
      <c r="M1779" s="248"/>
      <c r="N1779" s="248"/>
      <c r="P1779" s="248"/>
      <c r="Q1779" s="248"/>
    </row>
    <row r="1780">
      <c r="A1780" s="248"/>
      <c r="B1780" s="248"/>
      <c r="C1780" s="248"/>
      <c r="D1780" s="248"/>
      <c r="E1780" s="248"/>
      <c r="F1780" s="248"/>
      <c r="G1780" s="248"/>
      <c r="I1780" s="248"/>
      <c r="J1780" s="248"/>
      <c r="K1780" s="248"/>
      <c r="L1780" s="248"/>
      <c r="M1780" s="248"/>
      <c r="N1780" s="248"/>
      <c r="P1780" s="248"/>
      <c r="Q1780" s="248"/>
    </row>
    <row r="1781">
      <c r="A1781" s="248"/>
      <c r="B1781" s="248"/>
      <c r="C1781" s="248"/>
      <c r="D1781" s="248"/>
      <c r="E1781" s="248"/>
      <c r="F1781" s="248"/>
      <c r="G1781" s="248"/>
      <c r="I1781" s="248"/>
      <c r="J1781" s="248"/>
      <c r="K1781" s="248"/>
      <c r="L1781" s="248"/>
      <c r="M1781" s="248"/>
      <c r="N1781" s="248"/>
      <c r="P1781" s="248"/>
      <c r="Q1781" s="248"/>
    </row>
    <row r="1782">
      <c r="A1782" s="248"/>
      <c r="B1782" s="248"/>
      <c r="C1782" s="248"/>
      <c r="D1782" s="248"/>
      <c r="E1782" s="248"/>
      <c r="F1782" s="248"/>
      <c r="G1782" s="248"/>
      <c r="I1782" s="248"/>
      <c r="J1782" s="248"/>
      <c r="K1782" s="248"/>
      <c r="L1782" s="248"/>
      <c r="M1782" s="248"/>
      <c r="N1782" s="248"/>
      <c r="P1782" s="248"/>
      <c r="Q1782" s="248"/>
    </row>
    <row r="1783">
      <c r="A1783" s="248"/>
      <c r="B1783" s="248"/>
      <c r="C1783" s="248"/>
      <c r="D1783" s="248"/>
      <c r="E1783" s="248"/>
      <c r="F1783" s="248"/>
      <c r="G1783" s="248"/>
      <c r="I1783" s="248"/>
      <c r="J1783" s="248"/>
      <c r="K1783" s="248"/>
      <c r="L1783" s="248"/>
      <c r="M1783" s="248"/>
      <c r="N1783" s="248"/>
      <c r="P1783" s="248"/>
      <c r="Q1783" s="248"/>
    </row>
    <row r="1784">
      <c r="A1784" s="248"/>
      <c r="B1784" s="248"/>
      <c r="C1784" s="248"/>
      <c r="D1784" s="248"/>
      <c r="E1784" s="248"/>
      <c r="F1784" s="248"/>
      <c r="G1784" s="248"/>
      <c r="I1784" s="248"/>
      <c r="J1784" s="248"/>
      <c r="K1784" s="248"/>
      <c r="L1784" s="248"/>
      <c r="M1784" s="248"/>
      <c r="N1784" s="248"/>
      <c r="P1784" s="248"/>
      <c r="Q1784" s="248"/>
    </row>
    <row r="1785">
      <c r="A1785" s="248"/>
      <c r="B1785" s="248"/>
      <c r="C1785" s="248"/>
      <c r="D1785" s="248"/>
      <c r="E1785" s="248"/>
      <c r="F1785" s="248"/>
      <c r="G1785" s="248"/>
      <c r="I1785" s="248"/>
      <c r="J1785" s="248"/>
      <c r="K1785" s="248"/>
      <c r="L1785" s="248"/>
      <c r="M1785" s="248"/>
      <c r="N1785" s="248"/>
      <c r="P1785" s="248"/>
      <c r="Q1785" s="248"/>
    </row>
    <row r="1786">
      <c r="A1786" s="248"/>
      <c r="B1786" s="248"/>
      <c r="C1786" s="248"/>
      <c r="D1786" s="248"/>
      <c r="E1786" s="248"/>
      <c r="F1786" s="248"/>
      <c r="G1786" s="248"/>
      <c r="I1786" s="248"/>
      <c r="J1786" s="248"/>
      <c r="K1786" s="248"/>
      <c r="L1786" s="248"/>
      <c r="M1786" s="248"/>
      <c r="N1786" s="248"/>
      <c r="P1786" s="248"/>
      <c r="Q1786" s="248"/>
    </row>
    <row r="1787">
      <c r="A1787" s="248"/>
      <c r="B1787" s="248"/>
      <c r="C1787" s="248"/>
      <c r="D1787" s="248"/>
      <c r="E1787" s="248"/>
      <c r="F1787" s="248"/>
      <c r="G1787" s="248"/>
      <c r="I1787" s="248"/>
      <c r="J1787" s="248"/>
      <c r="K1787" s="248"/>
      <c r="L1787" s="248"/>
      <c r="M1787" s="248"/>
      <c r="N1787" s="248"/>
      <c r="P1787" s="248"/>
      <c r="Q1787" s="248"/>
    </row>
    <row r="1788">
      <c r="A1788" s="248"/>
      <c r="B1788" s="248"/>
      <c r="C1788" s="248"/>
      <c r="D1788" s="248"/>
      <c r="E1788" s="248"/>
      <c r="F1788" s="248"/>
      <c r="G1788" s="248"/>
      <c r="I1788" s="248"/>
      <c r="J1788" s="248"/>
      <c r="K1788" s="248"/>
      <c r="L1788" s="248"/>
      <c r="M1788" s="248"/>
      <c r="N1788" s="248"/>
      <c r="P1788" s="248"/>
      <c r="Q1788" s="248"/>
    </row>
    <row r="1789">
      <c r="A1789" s="248"/>
      <c r="B1789" s="248"/>
      <c r="C1789" s="248"/>
      <c r="D1789" s="248"/>
      <c r="E1789" s="248"/>
      <c r="F1789" s="248"/>
      <c r="G1789" s="248"/>
      <c r="I1789" s="248"/>
      <c r="J1789" s="248"/>
      <c r="K1789" s="248"/>
      <c r="L1789" s="248"/>
      <c r="M1789" s="248"/>
      <c r="N1789" s="248"/>
      <c r="P1789" s="248"/>
      <c r="Q1789" s="248"/>
    </row>
    <row r="1790">
      <c r="A1790" s="248"/>
      <c r="B1790" s="248"/>
      <c r="C1790" s="248"/>
      <c r="D1790" s="248"/>
      <c r="E1790" s="248"/>
      <c r="F1790" s="248"/>
      <c r="G1790" s="248"/>
      <c r="I1790" s="248"/>
      <c r="J1790" s="248"/>
      <c r="K1790" s="248"/>
      <c r="L1790" s="248"/>
      <c r="M1790" s="248"/>
      <c r="N1790" s="248"/>
      <c r="P1790" s="248"/>
      <c r="Q1790" s="248"/>
    </row>
    <row r="1791">
      <c r="A1791" s="248"/>
      <c r="B1791" s="248"/>
      <c r="C1791" s="248"/>
      <c r="D1791" s="248"/>
      <c r="E1791" s="248"/>
      <c r="F1791" s="248"/>
      <c r="G1791" s="248"/>
      <c r="I1791" s="248"/>
      <c r="J1791" s="248"/>
      <c r="K1791" s="248"/>
      <c r="L1791" s="248"/>
      <c r="M1791" s="248"/>
      <c r="N1791" s="248"/>
      <c r="P1791" s="248"/>
      <c r="Q1791" s="248"/>
    </row>
    <row r="1792">
      <c r="A1792" s="248"/>
      <c r="B1792" s="248"/>
      <c r="C1792" s="248"/>
      <c r="D1792" s="248"/>
      <c r="E1792" s="248"/>
      <c r="F1792" s="248"/>
      <c r="G1792" s="248"/>
      <c r="I1792" s="248"/>
      <c r="J1792" s="248"/>
      <c r="K1792" s="248"/>
      <c r="L1792" s="248"/>
      <c r="M1792" s="248"/>
      <c r="N1792" s="248"/>
      <c r="P1792" s="248"/>
      <c r="Q1792" s="248"/>
    </row>
    <row r="1793">
      <c r="A1793" s="248"/>
      <c r="B1793" s="248"/>
      <c r="C1793" s="248"/>
      <c r="D1793" s="248"/>
      <c r="E1793" s="248"/>
      <c r="F1793" s="248"/>
      <c r="G1793" s="248"/>
      <c r="I1793" s="248"/>
      <c r="J1793" s="248"/>
      <c r="K1793" s="248"/>
      <c r="L1793" s="248"/>
      <c r="M1793" s="248"/>
      <c r="N1793" s="248"/>
      <c r="P1793" s="248"/>
      <c r="Q1793" s="248"/>
    </row>
    <row r="1794">
      <c r="A1794" s="248"/>
      <c r="B1794" s="248"/>
      <c r="C1794" s="248"/>
      <c r="D1794" s="248"/>
      <c r="E1794" s="248"/>
      <c r="F1794" s="248"/>
      <c r="G1794" s="248"/>
      <c r="I1794" s="248"/>
      <c r="J1794" s="248"/>
      <c r="K1794" s="248"/>
      <c r="L1794" s="248"/>
      <c r="M1794" s="248"/>
      <c r="N1794" s="248"/>
      <c r="P1794" s="248"/>
      <c r="Q1794" s="248"/>
    </row>
    <row r="1795">
      <c r="A1795" s="248"/>
      <c r="B1795" s="248"/>
      <c r="C1795" s="248"/>
      <c r="D1795" s="248"/>
      <c r="E1795" s="248"/>
      <c r="F1795" s="248"/>
      <c r="G1795" s="248"/>
      <c r="I1795" s="248"/>
      <c r="J1795" s="248"/>
      <c r="K1795" s="248"/>
      <c r="L1795" s="248"/>
      <c r="M1795" s="248"/>
      <c r="N1795" s="248"/>
      <c r="P1795" s="248"/>
      <c r="Q1795" s="248"/>
    </row>
    <row r="1796">
      <c r="A1796" s="248"/>
      <c r="B1796" s="248"/>
      <c r="C1796" s="248"/>
      <c r="D1796" s="248"/>
      <c r="E1796" s="248"/>
      <c r="F1796" s="248"/>
      <c r="G1796" s="248"/>
      <c r="I1796" s="248"/>
      <c r="J1796" s="248"/>
      <c r="K1796" s="248"/>
      <c r="L1796" s="248"/>
      <c r="M1796" s="248"/>
      <c r="N1796" s="248"/>
      <c r="P1796" s="248"/>
      <c r="Q1796" s="248"/>
    </row>
    <row r="1797">
      <c r="A1797" s="248"/>
      <c r="B1797" s="248"/>
      <c r="C1797" s="248"/>
      <c r="D1797" s="248"/>
      <c r="E1797" s="248"/>
      <c r="F1797" s="248"/>
      <c r="G1797" s="248"/>
      <c r="I1797" s="248"/>
      <c r="J1797" s="248"/>
      <c r="K1797" s="248"/>
      <c r="L1797" s="248"/>
      <c r="M1797" s="248"/>
      <c r="N1797" s="248"/>
      <c r="P1797" s="248"/>
      <c r="Q1797" s="248"/>
    </row>
    <row r="1798">
      <c r="A1798" s="248"/>
      <c r="B1798" s="248"/>
      <c r="C1798" s="248"/>
      <c r="D1798" s="248"/>
      <c r="E1798" s="248"/>
      <c r="F1798" s="248"/>
      <c r="G1798" s="248"/>
      <c r="I1798" s="248"/>
      <c r="J1798" s="248"/>
      <c r="K1798" s="248"/>
      <c r="L1798" s="248"/>
      <c r="M1798" s="248"/>
      <c r="N1798" s="248"/>
      <c r="P1798" s="248"/>
      <c r="Q1798" s="248"/>
    </row>
    <row r="1799">
      <c r="A1799" s="248"/>
      <c r="B1799" s="248"/>
      <c r="C1799" s="248"/>
      <c r="D1799" s="248"/>
      <c r="E1799" s="248"/>
      <c r="F1799" s="248"/>
      <c r="G1799" s="248"/>
      <c r="I1799" s="248"/>
      <c r="J1799" s="248"/>
      <c r="K1799" s="248"/>
      <c r="L1799" s="248"/>
      <c r="M1799" s="248"/>
      <c r="N1799" s="248"/>
      <c r="P1799" s="248"/>
      <c r="Q1799" s="248"/>
    </row>
    <row r="1800">
      <c r="A1800" s="248"/>
      <c r="B1800" s="248"/>
      <c r="C1800" s="248"/>
      <c r="D1800" s="248"/>
      <c r="E1800" s="248"/>
      <c r="F1800" s="248"/>
      <c r="G1800" s="248"/>
      <c r="I1800" s="248"/>
      <c r="J1800" s="248"/>
      <c r="K1800" s="248"/>
      <c r="L1800" s="248"/>
      <c r="M1800" s="248"/>
      <c r="N1800" s="248"/>
      <c r="P1800" s="248"/>
      <c r="Q1800" s="248"/>
    </row>
    <row r="1801">
      <c r="A1801" s="248"/>
      <c r="B1801" s="248"/>
      <c r="C1801" s="248"/>
      <c r="D1801" s="248"/>
      <c r="E1801" s="248"/>
      <c r="F1801" s="248"/>
      <c r="G1801" s="248"/>
      <c r="I1801" s="248"/>
      <c r="J1801" s="248"/>
      <c r="K1801" s="248"/>
      <c r="L1801" s="248"/>
      <c r="M1801" s="248"/>
      <c r="N1801" s="248"/>
      <c r="P1801" s="248"/>
      <c r="Q1801" s="248"/>
    </row>
    <row r="1802">
      <c r="A1802" s="248"/>
      <c r="B1802" s="248"/>
      <c r="C1802" s="248"/>
      <c r="D1802" s="248"/>
      <c r="E1802" s="248"/>
      <c r="F1802" s="248"/>
      <c r="G1802" s="248"/>
      <c r="I1802" s="248"/>
      <c r="J1802" s="248"/>
      <c r="K1802" s="248"/>
      <c r="L1802" s="248"/>
      <c r="M1802" s="248"/>
      <c r="N1802" s="248"/>
      <c r="P1802" s="248"/>
      <c r="Q1802" s="248"/>
    </row>
    <row r="1803">
      <c r="A1803" s="248"/>
      <c r="B1803" s="248"/>
      <c r="C1803" s="248"/>
      <c r="D1803" s="248"/>
      <c r="E1803" s="248"/>
      <c r="F1803" s="248"/>
      <c r="G1803" s="248"/>
      <c r="I1803" s="248"/>
      <c r="J1803" s="248"/>
      <c r="K1803" s="248"/>
      <c r="L1803" s="248"/>
      <c r="M1803" s="248"/>
      <c r="N1803" s="248"/>
      <c r="P1803" s="248"/>
      <c r="Q1803" s="248"/>
    </row>
    <row r="1804">
      <c r="A1804" s="248"/>
      <c r="B1804" s="248"/>
      <c r="C1804" s="248"/>
      <c r="D1804" s="248"/>
      <c r="E1804" s="248"/>
      <c r="F1804" s="248"/>
      <c r="G1804" s="248"/>
      <c r="I1804" s="248"/>
      <c r="J1804" s="248"/>
      <c r="K1804" s="248"/>
      <c r="L1804" s="248"/>
      <c r="M1804" s="248"/>
      <c r="N1804" s="248"/>
      <c r="P1804" s="248"/>
      <c r="Q1804" s="248"/>
    </row>
    <row r="1805">
      <c r="A1805" s="248"/>
      <c r="B1805" s="248"/>
      <c r="C1805" s="248"/>
      <c r="D1805" s="248"/>
      <c r="E1805" s="248"/>
      <c r="F1805" s="248"/>
      <c r="G1805" s="248"/>
      <c r="I1805" s="248"/>
      <c r="J1805" s="248"/>
      <c r="K1805" s="248"/>
      <c r="L1805" s="248"/>
      <c r="M1805" s="248"/>
      <c r="N1805" s="248"/>
      <c r="P1805" s="248"/>
      <c r="Q1805" s="248"/>
    </row>
    <row r="1806">
      <c r="A1806" s="248"/>
      <c r="B1806" s="248"/>
      <c r="C1806" s="248"/>
      <c r="D1806" s="248"/>
      <c r="E1806" s="248"/>
      <c r="F1806" s="248"/>
      <c r="G1806" s="248"/>
      <c r="I1806" s="248"/>
      <c r="J1806" s="248"/>
      <c r="K1806" s="248"/>
      <c r="L1806" s="248"/>
      <c r="M1806" s="248"/>
      <c r="N1806" s="248"/>
      <c r="P1806" s="248"/>
      <c r="Q1806" s="248"/>
    </row>
    <row r="1807">
      <c r="A1807" s="248"/>
      <c r="B1807" s="248"/>
      <c r="C1807" s="248"/>
      <c r="D1807" s="248"/>
      <c r="E1807" s="248"/>
      <c r="F1807" s="248"/>
      <c r="G1807" s="248"/>
      <c r="I1807" s="248"/>
      <c r="J1807" s="248"/>
      <c r="K1807" s="248"/>
      <c r="L1807" s="248"/>
      <c r="M1807" s="248"/>
      <c r="N1807" s="248"/>
      <c r="P1807" s="248"/>
      <c r="Q1807" s="248"/>
    </row>
    <row r="1808">
      <c r="A1808" s="248"/>
      <c r="B1808" s="248"/>
      <c r="C1808" s="248"/>
      <c r="D1808" s="248"/>
      <c r="E1808" s="248"/>
      <c r="F1808" s="248"/>
      <c r="G1808" s="248"/>
      <c r="I1808" s="248"/>
      <c r="J1808" s="248"/>
      <c r="K1808" s="248"/>
      <c r="L1808" s="248"/>
      <c r="M1808" s="248"/>
      <c r="N1808" s="248"/>
      <c r="P1808" s="248"/>
      <c r="Q1808" s="248"/>
    </row>
    <row r="1809">
      <c r="A1809" s="248"/>
      <c r="B1809" s="248"/>
      <c r="C1809" s="248"/>
      <c r="D1809" s="248"/>
      <c r="E1809" s="248"/>
      <c r="F1809" s="248"/>
      <c r="G1809" s="248"/>
      <c r="I1809" s="248"/>
      <c r="J1809" s="248"/>
      <c r="K1809" s="248"/>
      <c r="L1809" s="248"/>
      <c r="M1809" s="248"/>
      <c r="N1809" s="248"/>
      <c r="P1809" s="248"/>
      <c r="Q1809" s="248"/>
    </row>
    <row r="1810">
      <c r="A1810" s="248"/>
      <c r="B1810" s="248"/>
      <c r="C1810" s="248"/>
      <c r="D1810" s="248"/>
      <c r="E1810" s="248"/>
      <c r="F1810" s="248"/>
      <c r="G1810" s="248"/>
      <c r="I1810" s="248"/>
      <c r="J1810" s="248"/>
      <c r="K1810" s="248"/>
      <c r="L1810" s="248"/>
      <c r="M1810" s="248"/>
      <c r="N1810" s="248"/>
      <c r="P1810" s="248"/>
      <c r="Q1810" s="248"/>
    </row>
    <row r="1811">
      <c r="A1811" s="248"/>
      <c r="B1811" s="248"/>
      <c r="C1811" s="248"/>
      <c r="D1811" s="248"/>
      <c r="E1811" s="248"/>
      <c r="F1811" s="248"/>
      <c r="G1811" s="248"/>
      <c r="I1811" s="248"/>
      <c r="J1811" s="248"/>
      <c r="K1811" s="248"/>
      <c r="L1811" s="248"/>
      <c r="M1811" s="248"/>
      <c r="N1811" s="248"/>
      <c r="P1811" s="248"/>
      <c r="Q1811" s="248"/>
    </row>
    <row r="1812">
      <c r="A1812" s="248"/>
      <c r="B1812" s="248"/>
      <c r="C1812" s="248"/>
      <c r="D1812" s="248"/>
      <c r="E1812" s="248"/>
      <c r="F1812" s="248"/>
      <c r="G1812" s="248"/>
      <c r="I1812" s="248"/>
      <c r="J1812" s="248"/>
      <c r="K1812" s="248"/>
      <c r="L1812" s="248"/>
      <c r="M1812" s="248"/>
      <c r="N1812" s="248"/>
      <c r="P1812" s="248"/>
      <c r="Q1812" s="248"/>
    </row>
    <row r="1813">
      <c r="A1813" s="248"/>
      <c r="B1813" s="248"/>
      <c r="C1813" s="248"/>
      <c r="D1813" s="248"/>
      <c r="E1813" s="248"/>
      <c r="F1813" s="248"/>
      <c r="G1813" s="248"/>
      <c r="I1813" s="248"/>
      <c r="J1813" s="248"/>
      <c r="K1813" s="248"/>
      <c r="L1813" s="248"/>
      <c r="M1813" s="248"/>
      <c r="N1813" s="248"/>
      <c r="P1813" s="248"/>
      <c r="Q1813" s="248"/>
    </row>
    <row r="1814">
      <c r="A1814" s="248"/>
      <c r="B1814" s="248"/>
      <c r="C1814" s="248"/>
      <c r="D1814" s="248"/>
      <c r="E1814" s="248"/>
      <c r="F1814" s="248"/>
      <c r="G1814" s="248"/>
      <c r="I1814" s="248"/>
      <c r="J1814" s="248"/>
      <c r="K1814" s="248"/>
      <c r="L1814" s="248"/>
      <c r="M1814" s="248"/>
      <c r="N1814" s="248"/>
      <c r="P1814" s="248"/>
      <c r="Q1814" s="248"/>
    </row>
    <row r="1815">
      <c r="A1815" s="248"/>
      <c r="B1815" s="248"/>
      <c r="C1815" s="248"/>
      <c r="D1815" s="248"/>
      <c r="E1815" s="248"/>
      <c r="F1815" s="248"/>
      <c r="G1815" s="248"/>
      <c r="I1815" s="248"/>
      <c r="J1815" s="248"/>
      <c r="K1815" s="248"/>
      <c r="L1815" s="248"/>
      <c r="M1815" s="248"/>
      <c r="N1815" s="248"/>
      <c r="P1815" s="248"/>
      <c r="Q1815" s="248"/>
    </row>
    <row r="1816">
      <c r="A1816" s="248"/>
      <c r="B1816" s="248"/>
      <c r="C1816" s="248"/>
      <c r="D1816" s="248"/>
      <c r="E1816" s="248"/>
      <c r="F1816" s="248"/>
      <c r="G1816" s="248"/>
      <c r="I1816" s="248"/>
      <c r="J1816" s="248"/>
      <c r="K1816" s="248"/>
      <c r="L1816" s="248"/>
      <c r="M1816" s="248"/>
      <c r="N1816" s="248"/>
      <c r="P1816" s="248"/>
      <c r="Q1816" s="248"/>
    </row>
    <row r="1817">
      <c r="A1817" s="248"/>
      <c r="B1817" s="248"/>
      <c r="C1817" s="248"/>
      <c r="D1817" s="248"/>
      <c r="E1817" s="248"/>
      <c r="F1817" s="248"/>
      <c r="G1817" s="248"/>
      <c r="I1817" s="248"/>
      <c r="J1817" s="248"/>
      <c r="K1817" s="248"/>
      <c r="L1817" s="248"/>
      <c r="M1817" s="248"/>
      <c r="N1817" s="248"/>
      <c r="P1817" s="248"/>
      <c r="Q1817" s="248"/>
    </row>
    <row r="1818">
      <c r="A1818" s="248"/>
      <c r="B1818" s="248"/>
      <c r="C1818" s="248"/>
      <c r="D1818" s="248"/>
      <c r="E1818" s="248"/>
      <c r="F1818" s="248"/>
      <c r="G1818" s="248"/>
      <c r="I1818" s="248"/>
      <c r="J1818" s="248"/>
      <c r="K1818" s="248"/>
      <c r="L1818" s="248"/>
      <c r="M1818" s="248"/>
      <c r="N1818" s="248"/>
      <c r="P1818" s="248"/>
      <c r="Q1818" s="248"/>
    </row>
    <row r="1819">
      <c r="A1819" s="248"/>
      <c r="B1819" s="248"/>
      <c r="C1819" s="248"/>
      <c r="D1819" s="248"/>
      <c r="E1819" s="248"/>
      <c r="F1819" s="248"/>
      <c r="G1819" s="248"/>
      <c r="I1819" s="248"/>
      <c r="J1819" s="248"/>
      <c r="K1819" s="248"/>
      <c r="L1819" s="248"/>
      <c r="M1819" s="248"/>
      <c r="N1819" s="248"/>
      <c r="P1819" s="248"/>
      <c r="Q1819" s="248"/>
    </row>
    <row r="1820">
      <c r="A1820" s="248"/>
      <c r="B1820" s="248"/>
      <c r="C1820" s="248"/>
      <c r="D1820" s="248"/>
      <c r="E1820" s="248"/>
      <c r="F1820" s="248"/>
      <c r="G1820" s="248"/>
      <c r="I1820" s="248"/>
      <c r="J1820" s="248"/>
      <c r="K1820" s="248"/>
      <c r="L1820" s="248"/>
      <c r="M1820" s="248"/>
      <c r="N1820" s="248"/>
      <c r="P1820" s="248"/>
      <c r="Q1820" s="248"/>
    </row>
    <row r="1821">
      <c r="A1821" s="248"/>
      <c r="B1821" s="248"/>
      <c r="C1821" s="248"/>
      <c r="D1821" s="248"/>
      <c r="E1821" s="248"/>
      <c r="F1821" s="248"/>
      <c r="G1821" s="248"/>
      <c r="I1821" s="248"/>
      <c r="J1821" s="248"/>
      <c r="K1821" s="248"/>
      <c r="L1821" s="248"/>
      <c r="M1821" s="248"/>
      <c r="N1821" s="248"/>
      <c r="P1821" s="248"/>
      <c r="Q1821" s="248"/>
    </row>
    <row r="1822">
      <c r="A1822" s="248"/>
      <c r="B1822" s="248"/>
      <c r="C1822" s="248"/>
      <c r="D1822" s="248"/>
      <c r="E1822" s="248"/>
      <c r="F1822" s="248"/>
      <c r="G1822" s="248"/>
      <c r="I1822" s="248"/>
      <c r="J1822" s="248"/>
      <c r="K1822" s="248"/>
      <c r="L1822" s="248"/>
      <c r="M1822" s="248"/>
      <c r="N1822" s="248"/>
      <c r="P1822" s="248"/>
      <c r="Q1822" s="248"/>
    </row>
    <row r="1823">
      <c r="A1823" s="248"/>
      <c r="B1823" s="248"/>
      <c r="C1823" s="248"/>
      <c r="D1823" s="248"/>
      <c r="E1823" s="248"/>
      <c r="F1823" s="248"/>
      <c r="G1823" s="248"/>
      <c r="I1823" s="248"/>
      <c r="J1823" s="248"/>
      <c r="K1823" s="248"/>
      <c r="L1823" s="248"/>
      <c r="M1823" s="248"/>
      <c r="N1823" s="248"/>
      <c r="P1823" s="248"/>
      <c r="Q1823" s="248"/>
    </row>
    <row r="1824">
      <c r="A1824" s="248"/>
      <c r="B1824" s="248"/>
      <c r="C1824" s="248"/>
      <c r="D1824" s="248"/>
      <c r="E1824" s="248"/>
      <c r="F1824" s="248"/>
      <c r="G1824" s="248"/>
      <c r="I1824" s="248"/>
      <c r="J1824" s="248"/>
      <c r="K1824" s="248"/>
      <c r="L1824" s="248"/>
      <c r="M1824" s="248"/>
      <c r="N1824" s="248"/>
      <c r="P1824" s="248"/>
      <c r="Q1824" s="248"/>
    </row>
    <row r="1825">
      <c r="A1825" s="248"/>
      <c r="B1825" s="248"/>
      <c r="C1825" s="248"/>
      <c r="D1825" s="248"/>
      <c r="E1825" s="248"/>
      <c r="F1825" s="248"/>
      <c r="G1825" s="248"/>
      <c r="I1825" s="248"/>
      <c r="J1825" s="248"/>
      <c r="K1825" s="248"/>
      <c r="L1825" s="248"/>
      <c r="M1825" s="248"/>
      <c r="N1825" s="248"/>
      <c r="P1825" s="248"/>
      <c r="Q1825" s="248"/>
    </row>
    <row r="1826">
      <c r="A1826" s="248"/>
      <c r="B1826" s="248"/>
      <c r="C1826" s="248"/>
      <c r="D1826" s="248"/>
      <c r="E1826" s="248"/>
      <c r="F1826" s="248"/>
      <c r="G1826" s="248"/>
      <c r="I1826" s="248"/>
      <c r="J1826" s="248"/>
      <c r="K1826" s="248"/>
      <c r="L1826" s="248"/>
      <c r="M1826" s="248"/>
      <c r="N1826" s="248"/>
      <c r="P1826" s="248"/>
      <c r="Q1826" s="248"/>
    </row>
    <row r="1827">
      <c r="A1827" s="248"/>
      <c r="B1827" s="248"/>
      <c r="C1827" s="248"/>
      <c r="D1827" s="248"/>
      <c r="E1827" s="248"/>
      <c r="F1827" s="248"/>
      <c r="G1827" s="248"/>
      <c r="I1827" s="248"/>
      <c r="J1827" s="248"/>
      <c r="K1827" s="248"/>
      <c r="L1827" s="248"/>
      <c r="M1827" s="248"/>
      <c r="N1827" s="248"/>
      <c r="P1827" s="248"/>
      <c r="Q1827" s="248"/>
    </row>
    <row r="1828">
      <c r="A1828" s="248"/>
      <c r="B1828" s="248"/>
      <c r="C1828" s="248"/>
      <c r="D1828" s="248"/>
      <c r="E1828" s="248"/>
      <c r="F1828" s="248"/>
      <c r="G1828" s="248"/>
      <c r="I1828" s="248"/>
      <c r="J1828" s="248"/>
      <c r="K1828" s="248"/>
      <c r="L1828" s="248"/>
      <c r="M1828" s="248"/>
      <c r="N1828" s="248"/>
      <c r="P1828" s="248"/>
      <c r="Q1828" s="248"/>
    </row>
    <row r="1829">
      <c r="A1829" s="248"/>
      <c r="B1829" s="248"/>
      <c r="C1829" s="248"/>
      <c r="D1829" s="248"/>
      <c r="E1829" s="248"/>
      <c r="F1829" s="248"/>
      <c r="G1829" s="248"/>
      <c r="I1829" s="248"/>
      <c r="J1829" s="248"/>
      <c r="K1829" s="248"/>
      <c r="L1829" s="248"/>
      <c r="M1829" s="248"/>
      <c r="N1829" s="248"/>
      <c r="P1829" s="248"/>
      <c r="Q1829" s="248"/>
    </row>
    <row r="1830">
      <c r="A1830" s="248"/>
      <c r="B1830" s="248"/>
      <c r="C1830" s="248"/>
      <c r="D1830" s="248"/>
      <c r="E1830" s="248"/>
      <c r="F1830" s="248"/>
      <c r="G1830" s="248"/>
      <c r="I1830" s="248"/>
      <c r="J1830" s="248"/>
      <c r="K1830" s="248"/>
      <c r="L1830" s="248"/>
      <c r="M1830" s="248"/>
      <c r="N1830" s="248"/>
      <c r="P1830" s="248"/>
      <c r="Q1830" s="248"/>
    </row>
    <row r="1831">
      <c r="A1831" s="248"/>
      <c r="B1831" s="248"/>
      <c r="C1831" s="248"/>
      <c r="D1831" s="248"/>
      <c r="E1831" s="248"/>
      <c r="F1831" s="248"/>
      <c r="G1831" s="248"/>
      <c r="I1831" s="248"/>
      <c r="J1831" s="248"/>
      <c r="K1831" s="248"/>
      <c r="L1831" s="248"/>
      <c r="M1831" s="248"/>
      <c r="N1831" s="248"/>
      <c r="P1831" s="248"/>
      <c r="Q1831" s="248"/>
    </row>
    <row r="1832">
      <c r="A1832" s="248"/>
      <c r="B1832" s="248"/>
      <c r="C1832" s="248"/>
      <c r="D1832" s="248"/>
      <c r="E1832" s="248"/>
      <c r="F1832" s="248"/>
      <c r="G1832" s="248"/>
      <c r="I1832" s="248"/>
      <c r="J1832" s="248"/>
      <c r="K1832" s="248"/>
      <c r="L1832" s="248"/>
      <c r="M1832" s="248"/>
      <c r="N1832" s="248"/>
      <c r="P1832" s="248"/>
      <c r="Q1832" s="248"/>
    </row>
    <row r="1833">
      <c r="A1833" s="248"/>
      <c r="B1833" s="248"/>
      <c r="C1833" s="248"/>
      <c r="D1833" s="248"/>
      <c r="E1833" s="248"/>
      <c r="F1833" s="248"/>
      <c r="G1833" s="248"/>
      <c r="I1833" s="248"/>
      <c r="J1833" s="248"/>
      <c r="K1833" s="248"/>
      <c r="L1833" s="248"/>
      <c r="M1833" s="248"/>
      <c r="N1833" s="248"/>
      <c r="P1833" s="248"/>
      <c r="Q1833" s="248"/>
    </row>
    <row r="1834">
      <c r="A1834" s="248"/>
      <c r="B1834" s="248"/>
      <c r="C1834" s="248"/>
      <c r="D1834" s="248"/>
      <c r="E1834" s="248"/>
      <c r="F1834" s="248"/>
      <c r="G1834" s="248"/>
      <c r="I1834" s="248"/>
      <c r="J1834" s="248"/>
      <c r="K1834" s="248"/>
      <c r="L1834" s="248"/>
      <c r="M1834" s="248"/>
      <c r="N1834" s="248"/>
      <c r="P1834" s="248"/>
      <c r="Q1834" s="248"/>
    </row>
    <row r="1835">
      <c r="A1835" s="248"/>
      <c r="B1835" s="248"/>
      <c r="C1835" s="248"/>
      <c r="D1835" s="248"/>
      <c r="E1835" s="248"/>
      <c r="F1835" s="248"/>
      <c r="G1835" s="248"/>
      <c r="I1835" s="248"/>
      <c r="J1835" s="248"/>
      <c r="K1835" s="248"/>
      <c r="L1835" s="248"/>
      <c r="M1835" s="248"/>
      <c r="N1835" s="248"/>
      <c r="P1835" s="248"/>
      <c r="Q1835" s="248"/>
    </row>
    <row r="1836">
      <c r="A1836" s="248"/>
      <c r="B1836" s="248"/>
      <c r="C1836" s="248"/>
      <c r="D1836" s="248"/>
      <c r="E1836" s="248"/>
      <c r="F1836" s="248"/>
      <c r="G1836" s="248"/>
      <c r="I1836" s="248"/>
      <c r="J1836" s="248"/>
      <c r="K1836" s="248"/>
      <c r="L1836" s="248"/>
      <c r="M1836" s="248"/>
      <c r="N1836" s="248"/>
      <c r="P1836" s="248"/>
      <c r="Q1836" s="248"/>
    </row>
    <row r="1837">
      <c r="A1837" s="248"/>
      <c r="B1837" s="248"/>
      <c r="C1837" s="248"/>
      <c r="D1837" s="248"/>
      <c r="E1837" s="248"/>
      <c r="F1837" s="248"/>
      <c r="G1837" s="248"/>
      <c r="I1837" s="248"/>
      <c r="J1837" s="248"/>
      <c r="K1837" s="248"/>
      <c r="L1837" s="248"/>
      <c r="M1837" s="248"/>
      <c r="N1837" s="248"/>
      <c r="P1837" s="248"/>
      <c r="Q1837" s="248"/>
    </row>
    <row r="1838">
      <c r="A1838" s="248"/>
      <c r="B1838" s="248"/>
      <c r="C1838" s="248"/>
      <c r="D1838" s="248"/>
      <c r="E1838" s="248"/>
      <c r="F1838" s="248"/>
      <c r="G1838" s="248"/>
      <c r="I1838" s="248"/>
      <c r="J1838" s="248"/>
      <c r="K1838" s="248"/>
      <c r="L1838" s="248"/>
      <c r="M1838" s="248"/>
      <c r="N1838" s="248"/>
      <c r="P1838" s="248"/>
      <c r="Q1838" s="248"/>
    </row>
    <row r="1839">
      <c r="A1839" s="248"/>
      <c r="B1839" s="248"/>
      <c r="C1839" s="248"/>
      <c r="D1839" s="248"/>
      <c r="E1839" s="248"/>
      <c r="F1839" s="248"/>
      <c r="G1839" s="248"/>
      <c r="I1839" s="248"/>
      <c r="J1839" s="248"/>
      <c r="K1839" s="248"/>
      <c r="L1839" s="248"/>
      <c r="M1839" s="248"/>
      <c r="N1839" s="248"/>
      <c r="P1839" s="248"/>
      <c r="Q1839" s="248"/>
    </row>
    <row r="1840">
      <c r="A1840" s="248"/>
      <c r="B1840" s="248"/>
      <c r="C1840" s="248"/>
      <c r="D1840" s="248"/>
      <c r="E1840" s="248"/>
      <c r="F1840" s="248"/>
      <c r="G1840" s="248"/>
      <c r="I1840" s="248"/>
      <c r="J1840" s="248"/>
      <c r="K1840" s="248"/>
      <c r="L1840" s="248"/>
      <c r="M1840" s="248"/>
      <c r="N1840" s="248"/>
      <c r="P1840" s="248"/>
      <c r="Q1840" s="248"/>
    </row>
    <row r="1841">
      <c r="A1841" s="248"/>
      <c r="B1841" s="248"/>
      <c r="C1841" s="248"/>
      <c r="D1841" s="248"/>
      <c r="E1841" s="248"/>
      <c r="F1841" s="248"/>
      <c r="G1841" s="248"/>
      <c r="I1841" s="248"/>
      <c r="J1841" s="248"/>
      <c r="K1841" s="248"/>
      <c r="L1841" s="248"/>
      <c r="M1841" s="248"/>
      <c r="N1841" s="248"/>
      <c r="P1841" s="248"/>
      <c r="Q1841" s="248"/>
    </row>
    <row r="1842">
      <c r="A1842" s="248"/>
      <c r="B1842" s="248"/>
      <c r="C1842" s="248"/>
      <c r="D1842" s="248"/>
      <c r="E1842" s="248"/>
      <c r="F1842" s="248"/>
      <c r="G1842" s="248"/>
      <c r="I1842" s="248"/>
      <c r="J1842" s="248"/>
      <c r="K1842" s="248"/>
      <c r="L1842" s="248"/>
      <c r="M1842" s="248"/>
      <c r="N1842" s="248"/>
      <c r="P1842" s="248"/>
      <c r="Q1842" s="248"/>
    </row>
    <row r="1843">
      <c r="A1843" s="248"/>
      <c r="B1843" s="248"/>
      <c r="C1843" s="248"/>
      <c r="D1843" s="248"/>
      <c r="E1843" s="248"/>
      <c r="F1843" s="248"/>
      <c r="G1843" s="248"/>
      <c r="I1843" s="248"/>
      <c r="J1843" s="248"/>
      <c r="K1843" s="248"/>
      <c r="L1843" s="248"/>
      <c r="M1843" s="248"/>
      <c r="N1843" s="248"/>
      <c r="P1843" s="248"/>
      <c r="Q1843" s="248"/>
    </row>
    <row r="1844">
      <c r="A1844" s="248"/>
      <c r="B1844" s="248"/>
      <c r="C1844" s="248"/>
      <c r="D1844" s="248"/>
      <c r="E1844" s="248"/>
      <c r="F1844" s="248"/>
      <c r="G1844" s="248"/>
      <c r="I1844" s="248"/>
      <c r="J1844" s="248"/>
      <c r="K1844" s="248"/>
      <c r="L1844" s="248"/>
      <c r="M1844" s="248"/>
      <c r="N1844" s="248"/>
      <c r="P1844" s="248"/>
      <c r="Q1844" s="248"/>
    </row>
    <row r="1845">
      <c r="A1845" s="248"/>
      <c r="B1845" s="248"/>
      <c r="C1845" s="248"/>
      <c r="D1845" s="248"/>
      <c r="E1845" s="248"/>
      <c r="F1845" s="248"/>
      <c r="G1845" s="248"/>
      <c r="I1845" s="248"/>
      <c r="J1845" s="248"/>
      <c r="K1845" s="248"/>
      <c r="L1845" s="248"/>
      <c r="M1845" s="248"/>
      <c r="N1845" s="248"/>
      <c r="P1845" s="248"/>
      <c r="Q1845" s="248"/>
    </row>
    <row r="1846">
      <c r="A1846" s="248"/>
      <c r="B1846" s="248"/>
      <c r="C1846" s="248"/>
      <c r="D1846" s="248"/>
      <c r="E1846" s="248"/>
      <c r="F1846" s="248"/>
      <c r="G1846" s="248"/>
      <c r="I1846" s="248"/>
      <c r="J1846" s="248"/>
      <c r="K1846" s="248"/>
      <c r="L1846" s="248"/>
      <c r="M1846" s="248"/>
      <c r="N1846" s="248"/>
      <c r="P1846" s="248"/>
      <c r="Q1846" s="248"/>
    </row>
    <row r="1847">
      <c r="A1847" s="248"/>
      <c r="B1847" s="248"/>
      <c r="C1847" s="248"/>
      <c r="D1847" s="248"/>
      <c r="E1847" s="248"/>
      <c r="F1847" s="248"/>
      <c r="G1847" s="248"/>
      <c r="I1847" s="248"/>
      <c r="J1847" s="248"/>
      <c r="K1847" s="248"/>
      <c r="L1847" s="248"/>
      <c r="M1847" s="248"/>
      <c r="N1847" s="248"/>
      <c r="P1847" s="248"/>
      <c r="Q1847" s="248"/>
    </row>
    <row r="1848">
      <c r="A1848" s="248"/>
      <c r="B1848" s="248"/>
      <c r="C1848" s="248"/>
      <c r="D1848" s="248"/>
      <c r="E1848" s="248"/>
      <c r="F1848" s="248"/>
      <c r="G1848" s="248"/>
      <c r="I1848" s="248"/>
      <c r="J1848" s="248"/>
      <c r="K1848" s="248"/>
      <c r="L1848" s="248"/>
      <c r="M1848" s="248"/>
      <c r="N1848" s="248"/>
      <c r="P1848" s="248"/>
      <c r="Q1848" s="248"/>
    </row>
    <row r="1849">
      <c r="A1849" s="248"/>
      <c r="B1849" s="248"/>
      <c r="C1849" s="248"/>
      <c r="D1849" s="248"/>
      <c r="E1849" s="248"/>
      <c r="F1849" s="248"/>
      <c r="G1849" s="248"/>
      <c r="I1849" s="248"/>
      <c r="J1849" s="248"/>
      <c r="K1849" s="248"/>
      <c r="L1849" s="248"/>
      <c r="M1849" s="248"/>
      <c r="N1849" s="248"/>
      <c r="P1849" s="248"/>
      <c r="Q1849" s="248"/>
    </row>
    <row r="1850">
      <c r="A1850" s="248"/>
      <c r="B1850" s="248"/>
      <c r="C1850" s="248"/>
      <c r="D1850" s="248"/>
      <c r="E1850" s="248"/>
      <c r="F1850" s="248"/>
      <c r="G1850" s="248"/>
      <c r="I1850" s="248"/>
      <c r="J1850" s="248"/>
      <c r="K1850" s="248"/>
      <c r="L1850" s="248"/>
      <c r="M1850" s="248"/>
      <c r="N1850" s="248"/>
      <c r="P1850" s="248"/>
      <c r="Q1850" s="248"/>
    </row>
    <row r="1851">
      <c r="A1851" s="248"/>
      <c r="B1851" s="248"/>
      <c r="C1851" s="248"/>
      <c r="D1851" s="248"/>
      <c r="E1851" s="248"/>
      <c r="F1851" s="248"/>
      <c r="G1851" s="248"/>
      <c r="I1851" s="248"/>
      <c r="J1851" s="248"/>
      <c r="K1851" s="248"/>
      <c r="L1851" s="248"/>
      <c r="M1851" s="248"/>
      <c r="N1851" s="248"/>
      <c r="P1851" s="248"/>
      <c r="Q1851" s="248"/>
    </row>
    <row r="1852">
      <c r="A1852" s="248"/>
      <c r="B1852" s="248"/>
      <c r="C1852" s="248"/>
      <c r="D1852" s="248"/>
      <c r="E1852" s="248"/>
      <c r="F1852" s="248"/>
      <c r="G1852" s="248"/>
      <c r="I1852" s="248"/>
      <c r="J1852" s="248"/>
      <c r="K1852" s="248"/>
      <c r="L1852" s="248"/>
      <c r="M1852" s="248"/>
      <c r="N1852" s="248"/>
      <c r="P1852" s="248"/>
      <c r="Q1852" s="248"/>
    </row>
    <row r="1853">
      <c r="A1853" s="248"/>
      <c r="B1853" s="248"/>
      <c r="C1853" s="248"/>
      <c r="D1853" s="248"/>
      <c r="E1853" s="248"/>
      <c r="F1853" s="248"/>
      <c r="G1853" s="248"/>
      <c r="I1853" s="248"/>
      <c r="J1853" s="248"/>
      <c r="K1853" s="248"/>
      <c r="L1853" s="248"/>
      <c r="M1853" s="248"/>
      <c r="N1853" s="248"/>
      <c r="P1853" s="248"/>
      <c r="Q1853" s="248"/>
    </row>
    <row r="1854">
      <c r="A1854" s="248"/>
      <c r="B1854" s="248"/>
      <c r="C1854" s="248"/>
      <c r="D1854" s="248"/>
      <c r="E1854" s="248"/>
      <c r="F1854" s="248"/>
      <c r="G1854" s="248"/>
      <c r="I1854" s="248"/>
      <c r="J1854" s="248"/>
      <c r="K1854" s="248"/>
      <c r="L1854" s="248"/>
      <c r="M1854" s="248"/>
      <c r="N1854" s="248"/>
      <c r="P1854" s="248"/>
      <c r="Q1854" s="248"/>
    </row>
    <row r="1855">
      <c r="A1855" s="248"/>
      <c r="B1855" s="248"/>
      <c r="C1855" s="248"/>
      <c r="D1855" s="248"/>
      <c r="E1855" s="248"/>
      <c r="F1855" s="248"/>
      <c r="G1855" s="248"/>
      <c r="I1855" s="248"/>
      <c r="J1855" s="248"/>
      <c r="K1855" s="248"/>
      <c r="L1855" s="248"/>
      <c r="M1855" s="248"/>
      <c r="N1855" s="248"/>
      <c r="P1855" s="248"/>
      <c r="Q1855" s="248"/>
    </row>
    <row r="1856">
      <c r="A1856" s="248"/>
      <c r="B1856" s="248"/>
      <c r="C1856" s="248"/>
      <c r="D1856" s="248"/>
      <c r="E1856" s="248"/>
      <c r="F1856" s="248"/>
      <c r="G1856" s="248"/>
      <c r="I1856" s="248"/>
      <c r="J1856" s="248"/>
      <c r="K1856" s="248"/>
      <c r="L1856" s="248"/>
      <c r="M1856" s="248"/>
      <c r="N1856" s="248"/>
      <c r="P1856" s="248"/>
      <c r="Q1856" s="248"/>
    </row>
    <row r="1857">
      <c r="A1857" s="248"/>
      <c r="B1857" s="248"/>
      <c r="C1857" s="248"/>
      <c r="D1857" s="248"/>
      <c r="E1857" s="248"/>
      <c r="F1857" s="248"/>
      <c r="G1857" s="248"/>
      <c r="I1857" s="248"/>
      <c r="J1857" s="248"/>
      <c r="K1857" s="248"/>
      <c r="L1857" s="248"/>
      <c r="M1857" s="248"/>
      <c r="N1857" s="248"/>
      <c r="P1857" s="248"/>
      <c r="Q1857" s="248"/>
    </row>
    <row r="1858">
      <c r="A1858" s="248"/>
      <c r="B1858" s="248"/>
      <c r="C1858" s="248"/>
      <c r="D1858" s="248"/>
      <c r="E1858" s="248"/>
      <c r="F1858" s="248"/>
      <c r="G1858" s="248"/>
      <c r="I1858" s="248"/>
      <c r="J1858" s="248"/>
      <c r="K1858" s="248"/>
      <c r="L1858" s="248"/>
      <c r="M1858" s="248"/>
      <c r="N1858" s="248"/>
      <c r="P1858" s="248"/>
      <c r="Q1858" s="248"/>
    </row>
    <row r="1859">
      <c r="A1859" s="248"/>
      <c r="B1859" s="248"/>
      <c r="C1859" s="248"/>
      <c r="D1859" s="248"/>
      <c r="E1859" s="248"/>
      <c r="F1859" s="248"/>
      <c r="G1859" s="248"/>
      <c r="I1859" s="248"/>
      <c r="J1859" s="248"/>
      <c r="K1859" s="248"/>
      <c r="L1859" s="248"/>
      <c r="M1859" s="248"/>
      <c r="N1859" s="248"/>
      <c r="P1859" s="248"/>
      <c r="Q1859" s="248"/>
    </row>
    <row r="1860">
      <c r="A1860" s="248"/>
      <c r="B1860" s="248"/>
      <c r="C1860" s="248"/>
      <c r="D1860" s="248"/>
      <c r="E1860" s="248"/>
      <c r="F1860" s="248"/>
      <c r="G1860" s="248"/>
      <c r="I1860" s="248"/>
      <c r="J1860" s="248"/>
      <c r="K1860" s="248"/>
      <c r="L1860" s="248"/>
      <c r="M1860" s="248"/>
      <c r="N1860" s="248"/>
      <c r="P1860" s="248"/>
      <c r="Q1860" s="248"/>
    </row>
    <row r="1861">
      <c r="A1861" s="248"/>
      <c r="B1861" s="248"/>
      <c r="C1861" s="248"/>
      <c r="D1861" s="248"/>
      <c r="E1861" s="248"/>
      <c r="F1861" s="248"/>
      <c r="G1861" s="248"/>
      <c r="I1861" s="248"/>
      <c r="J1861" s="248"/>
      <c r="K1861" s="248"/>
      <c r="L1861" s="248"/>
      <c r="M1861" s="248"/>
      <c r="N1861" s="248"/>
      <c r="P1861" s="248"/>
      <c r="Q1861" s="248"/>
    </row>
    <row r="1862">
      <c r="A1862" s="248"/>
      <c r="B1862" s="248"/>
      <c r="C1862" s="248"/>
      <c r="D1862" s="248"/>
      <c r="E1862" s="248"/>
      <c r="F1862" s="248"/>
      <c r="G1862" s="248"/>
      <c r="I1862" s="248"/>
      <c r="J1862" s="248"/>
      <c r="K1862" s="248"/>
      <c r="L1862" s="248"/>
      <c r="M1862" s="248"/>
      <c r="N1862" s="248"/>
      <c r="P1862" s="248"/>
      <c r="Q1862" s="248"/>
    </row>
    <row r="1863">
      <c r="A1863" s="248"/>
      <c r="B1863" s="248"/>
      <c r="C1863" s="248"/>
      <c r="D1863" s="248"/>
      <c r="E1863" s="248"/>
      <c r="F1863" s="248"/>
      <c r="G1863" s="248"/>
      <c r="I1863" s="248"/>
      <c r="J1863" s="248"/>
      <c r="K1863" s="248"/>
      <c r="L1863" s="248"/>
      <c r="M1863" s="248"/>
      <c r="N1863" s="248"/>
      <c r="P1863" s="248"/>
      <c r="Q1863" s="248"/>
    </row>
    <row r="1864">
      <c r="A1864" s="248"/>
      <c r="B1864" s="248"/>
      <c r="C1864" s="248"/>
      <c r="D1864" s="248"/>
      <c r="E1864" s="248"/>
      <c r="F1864" s="248"/>
      <c r="G1864" s="248"/>
      <c r="I1864" s="248"/>
      <c r="J1864" s="248"/>
      <c r="K1864" s="248"/>
      <c r="L1864" s="248"/>
      <c r="M1864" s="248"/>
      <c r="N1864" s="248"/>
      <c r="P1864" s="248"/>
      <c r="Q1864" s="248"/>
    </row>
    <row r="1865">
      <c r="A1865" s="248"/>
      <c r="B1865" s="248"/>
      <c r="C1865" s="248"/>
      <c r="D1865" s="248"/>
      <c r="E1865" s="248"/>
      <c r="F1865" s="248"/>
      <c r="G1865" s="248"/>
      <c r="I1865" s="248"/>
      <c r="J1865" s="248"/>
      <c r="K1865" s="248"/>
      <c r="L1865" s="248"/>
      <c r="M1865" s="248"/>
      <c r="N1865" s="248"/>
      <c r="P1865" s="248"/>
      <c r="Q1865" s="248"/>
    </row>
    <row r="1866">
      <c r="A1866" s="248"/>
      <c r="B1866" s="248"/>
      <c r="C1866" s="248"/>
      <c r="D1866" s="248"/>
      <c r="E1866" s="248"/>
      <c r="F1866" s="248"/>
      <c r="G1866" s="248"/>
      <c r="I1866" s="248"/>
      <c r="J1866" s="248"/>
      <c r="K1866" s="248"/>
      <c r="L1866" s="248"/>
      <c r="M1866" s="248"/>
      <c r="N1866" s="248"/>
      <c r="P1866" s="248"/>
      <c r="Q1866" s="248"/>
    </row>
    <row r="1867">
      <c r="A1867" s="248"/>
      <c r="B1867" s="248"/>
      <c r="C1867" s="248"/>
      <c r="D1867" s="248"/>
      <c r="E1867" s="248"/>
      <c r="F1867" s="248"/>
      <c r="G1867" s="248"/>
      <c r="I1867" s="248"/>
      <c r="J1867" s="248"/>
      <c r="K1867" s="248"/>
      <c r="L1867" s="248"/>
      <c r="M1867" s="248"/>
      <c r="N1867" s="248"/>
      <c r="P1867" s="248"/>
      <c r="Q1867" s="248"/>
    </row>
    <row r="1868">
      <c r="A1868" s="248"/>
      <c r="B1868" s="248"/>
      <c r="C1868" s="248"/>
      <c r="D1868" s="248"/>
      <c r="E1868" s="248"/>
      <c r="F1868" s="248"/>
      <c r="G1868" s="248"/>
      <c r="I1868" s="248"/>
      <c r="J1868" s="248"/>
      <c r="K1868" s="248"/>
      <c r="L1868" s="248"/>
      <c r="M1868" s="248"/>
      <c r="N1868" s="248"/>
      <c r="P1868" s="248"/>
      <c r="Q1868" s="248"/>
    </row>
    <row r="1869">
      <c r="A1869" s="248"/>
      <c r="B1869" s="248"/>
      <c r="C1869" s="248"/>
      <c r="D1869" s="248"/>
      <c r="E1869" s="248"/>
      <c r="F1869" s="248"/>
      <c r="G1869" s="248"/>
      <c r="I1869" s="248"/>
      <c r="J1869" s="248"/>
      <c r="K1869" s="248"/>
      <c r="L1869" s="248"/>
      <c r="M1869" s="248"/>
      <c r="N1869" s="248"/>
      <c r="P1869" s="248"/>
      <c r="Q1869" s="248"/>
    </row>
    <row r="1870">
      <c r="A1870" s="248"/>
      <c r="B1870" s="248"/>
      <c r="C1870" s="248"/>
      <c r="D1870" s="248"/>
      <c r="E1870" s="248"/>
      <c r="F1870" s="248"/>
      <c r="G1870" s="248"/>
      <c r="I1870" s="248"/>
      <c r="J1870" s="248"/>
      <c r="K1870" s="248"/>
      <c r="L1870" s="248"/>
      <c r="M1870" s="248"/>
      <c r="N1870" s="248"/>
      <c r="P1870" s="248"/>
      <c r="Q1870" s="248"/>
    </row>
    <row r="1871">
      <c r="A1871" s="248"/>
      <c r="B1871" s="248"/>
      <c r="C1871" s="248"/>
      <c r="D1871" s="248"/>
      <c r="E1871" s="248"/>
      <c r="F1871" s="248"/>
      <c r="G1871" s="248"/>
      <c r="I1871" s="248"/>
      <c r="J1871" s="248"/>
      <c r="K1871" s="248"/>
      <c r="L1871" s="248"/>
      <c r="M1871" s="248"/>
      <c r="N1871" s="248"/>
      <c r="P1871" s="248"/>
      <c r="Q1871" s="248"/>
    </row>
    <row r="1872">
      <c r="A1872" s="248"/>
      <c r="B1872" s="248"/>
      <c r="C1872" s="248"/>
      <c r="D1872" s="248"/>
      <c r="E1872" s="248"/>
      <c r="F1872" s="248"/>
      <c r="G1872" s="248"/>
      <c r="I1872" s="248"/>
      <c r="J1872" s="248"/>
      <c r="K1872" s="248"/>
      <c r="L1872" s="248"/>
      <c r="M1872" s="248"/>
      <c r="N1872" s="248"/>
      <c r="P1872" s="248"/>
      <c r="Q1872" s="248"/>
    </row>
    <row r="1873">
      <c r="A1873" s="248"/>
      <c r="B1873" s="248"/>
      <c r="C1873" s="248"/>
      <c r="D1873" s="248"/>
      <c r="E1873" s="248"/>
      <c r="F1873" s="248"/>
      <c r="G1873" s="248"/>
      <c r="I1873" s="248"/>
      <c r="J1873" s="248"/>
      <c r="K1873" s="248"/>
      <c r="L1873" s="248"/>
      <c r="M1873" s="248"/>
      <c r="N1873" s="248"/>
      <c r="P1873" s="248"/>
      <c r="Q1873" s="248"/>
    </row>
    <row r="1874">
      <c r="A1874" s="248"/>
      <c r="B1874" s="248"/>
      <c r="C1874" s="248"/>
      <c r="D1874" s="248"/>
      <c r="E1874" s="248"/>
      <c r="F1874" s="248"/>
      <c r="G1874" s="248"/>
      <c r="I1874" s="248"/>
      <c r="J1874" s="248"/>
      <c r="K1874" s="248"/>
      <c r="L1874" s="248"/>
      <c r="M1874" s="248"/>
      <c r="N1874" s="248"/>
      <c r="P1874" s="248"/>
      <c r="Q1874" s="248"/>
    </row>
    <row r="1875">
      <c r="A1875" s="248"/>
      <c r="B1875" s="248"/>
      <c r="C1875" s="248"/>
      <c r="D1875" s="248"/>
      <c r="E1875" s="248"/>
      <c r="F1875" s="248"/>
      <c r="G1875" s="248"/>
      <c r="I1875" s="248"/>
      <c r="J1875" s="248"/>
      <c r="K1875" s="248"/>
      <c r="L1875" s="248"/>
      <c r="M1875" s="248"/>
      <c r="N1875" s="248"/>
      <c r="P1875" s="248"/>
      <c r="Q1875" s="248"/>
    </row>
    <row r="1876">
      <c r="A1876" s="248"/>
      <c r="B1876" s="248"/>
      <c r="C1876" s="248"/>
      <c r="D1876" s="248"/>
      <c r="E1876" s="248"/>
      <c r="F1876" s="248"/>
      <c r="G1876" s="248"/>
      <c r="I1876" s="248"/>
      <c r="J1876" s="248"/>
      <c r="K1876" s="248"/>
      <c r="L1876" s="248"/>
      <c r="M1876" s="248"/>
      <c r="N1876" s="248"/>
      <c r="P1876" s="248"/>
      <c r="Q1876" s="248"/>
    </row>
    <row r="1877">
      <c r="A1877" s="248"/>
      <c r="B1877" s="248"/>
      <c r="C1877" s="248"/>
      <c r="D1877" s="248"/>
      <c r="E1877" s="248"/>
      <c r="F1877" s="248"/>
      <c r="G1877" s="248"/>
      <c r="I1877" s="248"/>
      <c r="J1877" s="248"/>
      <c r="K1877" s="248"/>
      <c r="L1877" s="248"/>
      <c r="M1877" s="248"/>
      <c r="N1877" s="248"/>
      <c r="P1877" s="248"/>
      <c r="Q1877" s="248"/>
    </row>
    <row r="1878">
      <c r="A1878" s="248"/>
      <c r="B1878" s="248"/>
      <c r="C1878" s="248"/>
      <c r="D1878" s="248"/>
      <c r="E1878" s="248"/>
      <c r="F1878" s="248"/>
      <c r="G1878" s="248"/>
      <c r="I1878" s="248"/>
      <c r="J1878" s="248"/>
      <c r="K1878" s="248"/>
      <c r="L1878" s="248"/>
      <c r="M1878" s="248"/>
      <c r="N1878" s="248"/>
      <c r="P1878" s="248"/>
      <c r="Q1878" s="248"/>
    </row>
    <row r="1879">
      <c r="A1879" s="248"/>
      <c r="B1879" s="248"/>
      <c r="C1879" s="248"/>
      <c r="D1879" s="248"/>
      <c r="E1879" s="248"/>
      <c r="F1879" s="248"/>
      <c r="G1879" s="248"/>
      <c r="I1879" s="248"/>
      <c r="J1879" s="248"/>
      <c r="K1879" s="248"/>
      <c r="L1879" s="248"/>
      <c r="M1879" s="248"/>
      <c r="N1879" s="248"/>
      <c r="P1879" s="248"/>
      <c r="Q1879" s="248"/>
    </row>
    <row r="1880">
      <c r="A1880" s="248"/>
      <c r="B1880" s="248"/>
      <c r="C1880" s="248"/>
      <c r="D1880" s="248"/>
      <c r="E1880" s="248"/>
      <c r="F1880" s="248"/>
      <c r="G1880" s="248"/>
      <c r="I1880" s="248"/>
      <c r="J1880" s="248"/>
      <c r="K1880" s="248"/>
      <c r="L1880" s="248"/>
      <c r="M1880" s="248"/>
      <c r="N1880" s="248"/>
      <c r="P1880" s="248"/>
      <c r="Q1880" s="248"/>
    </row>
    <row r="1881">
      <c r="A1881" s="248"/>
      <c r="B1881" s="248"/>
      <c r="C1881" s="248"/>
      <c r="D1881" s="248"/>
      <c r="E1881" s="248"/>
      <c r="F1881" s="248"/>
      <c r="G1881" s="248"/>
      <c r="I1881" s="248"/>
      <c r="J1881" s="248"/>
      <c r="K1881" s="248"/>
      <c r="L1881" s="248"/>
      <c r="M1881" s="248"/>
      <c r="N1881" s="248"/>
      <c r="P1881" s="248"/>
      <c r="Q1881" s="248"/>
    </row>
    <row r="1882">
      <c r="A1882" s="248"/>
      <c r="B1882" s="248"/>
      <c r="C1882" s="248"/>
      <c r="D1882" s="248"/>
      <c r="E1882" s="248"/>
      <c r="F1882" s="248"/>
      <c r="G1882" s="248"/>
      <c r="I1882" s="248"/>
      <c r="J1882" s="248"/>
      <c r="K1882" s="248"/>
      <c r="L1882" s="248"/>
      <c r="M1882" s="248"/>
      <c r="N1882" s="248"/>
      <c r="P1882" s="248"/>
      <c r="Q1882" s="248"/>
    </row>
    <row r="1883">
      <c r="A1883" s="248"/>
      <c r="B1883" s="248"/>
      <c r="C1883" s="248"/>
      <c r="D1883" s="248"/>
      <c r="E1883" s="248"/>
      <c r="F1883" s="248"/>
      <c r="G1883" s="248"/>
      <c r="I1883" s="248"/>
      <c r="J1883" s="248"/>
      <c r="K1883" s="248"/>
      <c r="L1883" s="248"/>
      <c r="M1883" s="248"/>
      <c r="N1883" s="248"/>
      <c r="P1883" s="248"/>
      <c r="Q1883" s="248"/>
    </row>
    <row r="1884">
      <c r="A1884" s="248"/>
      <c r="B1884" s="248"/>
      <c r="C1884" s="248"/>
      <c r="D1884" s="248"/>
      <c r="E1884" s="248"/>
      <c r="F1884" s="248"/>
      <c r="G1884" s="248"/>
      <c r="I1884" s="248"/>
      <c r="J1884" s="248"/>
      <c r="K1884" s="248"/>
      <c r="L1884" s="248"/>
      <c r="M1884" s="248"/>
      <c r="N1884" s="248"/>
      <c r="P1884" s="248"/>
      <c r="Q1884" s="248"/>
    </row>
    <row r="1885">
      <c r="A1885" s="248"/>
      <c r="B1885" s="248"/>
      <c r="C1885" s="248"/>
      <c r="D1885" s="248"/>
      <c r="E1885" s="248"/>
      <c r="F1885" s="248"/>
      <c r="G1885" s="248"/>
      <c r="I1885" s="248"/>
      <c r="J1885" s="248"/>
      <c r="K1885" s="248"/>
      <c r="L1885" s="248"/>
      <c r="M1885" s="248"/>
      <c r="N1885" s="248"/>
      <c r="P1885" s="248"/>
      <c r="Q1885" s="248"/>
    </row>
    <row r="1886">
      <c r="A1886" s="248"/>
      <c r="B1886" s="248"/>
      <c r="C1886" s="248"/>
      <c r="D1886" s="248"/>
      <c r="E1886" s="248"/>
      <c r="F1886" s="248"/>
      <c r="G1886" s="248"/>
      <c r="I1886" s="248"/>
      <c r="J1886" s="248"/>
      <c r="K1886" s="248"/>
      <c r="L1886" s="248"/>
      <c r="M1886" s="248"/>
      <c r="N1886" s="248"/>
      <c r="P1886" s="248"/>
      <c r="Q1886" s="248"/>
    </row>
    <row r="1887">
      <c r="A1887" s="248"/>
      <c r="B1887" s="248"/>
      <c r="C1887" s="248"/>
      <c r="D1887" s="248"/>
      <c r="E1887" s="248"/>
      <c r="F1887" s="248"/>
      <c r="G1887" s="248"/>
      <c r="I1887" s="248"/>
      <c r="J1887" s="248"/>
      <c r="K1887" s="248"/>
      <c r="L1887" s="248"/>
      <c r="M1887" s="248"/>
      <c r="N1887" s="248"/>
      <c r="P1887" s="248"/>
      <c r="Q1887" s="248"/>
    </row>
    <row r="1888">
      <c r="A1888" s="248"/>
      <c r="B1888" s="248"/>
      <c r="C1888" s="248"/>
      <c r="D1888" s="248"/>
      <c r="E1888" s="248"/>
      <c r="F1888" s="248"/>
      <c r="G1888" s="248"/>
      <c r="I1888" s="248"/>
      <c r="J1888" s="248"/>
      <c r="K1888" s="248"/>
      <c r="L1888" s="248"/>
      <c r="M1888" s="248"/>
      <c r="N1888" s="248"/>
      <c r="P1888" s="248"/>
      <c r="Q1888" s="248"/>
    </row>
    <row r="1889">
      <c r="A1889" s="248"/>
      <c r="B1889" s="248"/>
      <c r="C1889" s="248"/>
      <c r="D1889" s="248"/>
      <c r="E1889" s="248"/>
      <c r="F1889" s="248"/>
      <c r="G1889" s="248"/>
      <c r="I1889" s="248"/>
      <c r="J1889" s="248"/>
      <c r="K1889" s="248"/>
      <c r="L1889" s="248"/>
      <c r="M1889" s="248"/>
      <c r="N1889" s="248"/>
      <c r="P1889" s="248"/>
      <c r="Q1889" s="248"/>
    </row>
    <row r="1890">
      <c r="A1890" s="248"/>
      <c r="B1890" s="248"/>
      <c r="C1890" s="248"/>
      <c r="D1890" s="248"/>
      <c r="E1890" s="248"/>
      <c r="F1890" s="248"/>
      <c r="G1890" s="248"/>
      <c r="I1890" s="248"/>
      <c r="J1890" s="248"/>
      <c r="K1890" s="248"/>
      <c r="L1890" s="248"/>
      <c r="M1890" s="248"/>
      <c r="N1890" s="248"/>
      <c r="P1890" s="248"/>
      <c r="Q1890" s="248"/>
    </row>
    <row r="1891">
      <c r="A1891" s="248"/>
      <c r="B1891" s="248"/>
      <c r="C1891" s="248"/>
      <c r="D1891" s="248"/>
      <c r="E1891" s="248"/>
      <c r="F1891" s="248"/>
      <c r="G1891" s="248"/>
      <c r="I1891" s="248"/>
      <c r="J1891" s="248"/>
      <c r="K1891" s="248"/>
      <c r="L1891" s="248"/>
      <c r="M1891" s="248"/>
      <c r="N1891" s="248"/>
      <c r="P1891" s="248"/>
      <c r="Q1891" s="248"/>
    </row>
    <row r="1892">
      <c r="A1892" s="248"/>
      <c r="B1892" s="248"/>
      <c r="C1892" s="248"/>
      <c r="D1892" s="248"/>
      <c r="E1892" s="248"/>
      <c r="F1892" s="248"/>
      <c r="G1892" s="248"/>
      <c r="I1892" s="248"/>
      <c r="J1892" s="248"/>
      <c r="K1892" s="248"/>
      <c r="L1892" s="248"/>
      <c r="M1892" s="248"/>
      <c r="N1892" s="248"/>
      <c r="P1892" s="248"/>
      <c r="Q1892" s="248"/>
    </row>
    <row r="1893">
      <c r="A1893" s="248"/>
      <c r="B1893" s="248"/>
      <c r="C1893" s="248"/>
      <c r="D1893" s="248"/>
      <c r="E1893" s="248"/>
      <c r="F1893" s="248"/>
      <c r="G1893" s="248"/>
      <c r="I1893" s="248"/>
      <c r="J1893" s="248"/>
      <c r="K1893" s="248"/>
      <c r="L1893" s="248"/>
      <c r="M1893" s="248"/>
      <c r="N1893" s="248"/>
      <c r="P1893" s="248"/>
      <c r="Q1893" s="248"/>
    </row>
    <row r="1894">
      <c r="A1894" s="248"/>
      <c r="B1894" s="248"/>
      <c r="C1894" s="248"/>
      <c r="D1894" s="248"/>
      <c r="E1894" s="248"/>
      <c r="F1894" s="248"/>
      <c r="G1894" s="248"/>
      <c r="I1894" s="248"/>
      <c r="J1894" s="248"/>
      <c r="K1894" s="248"/>
      <c r="L1894" s="248"/>
      <c r="M1894" s="248"/>
      <c r="N1894" s="248"/>
      <c r="P1894" s="248"/>
      <c r="Q1894" s="248"/>
    </row>
    <row r="1895">
      <c r="A1895" s="248"/>
      <c r="B1895" s="248"/>
      <c r="C1895" s="248"/>
      <c r="D1895" s="248"/>
      <c r="E1895" s="248"/>
      <c r="F1895" s="248"/>
      <c r="G1895" s="248"/>
      <c r="I1895" s="248"/>
      <c r="J1895" s="248"/>
      <c r="K1895" s="248"/>
      <c r="L1895" s="248"/>
      <c r="M1895" s="248"/>
      <c r="N1895" s="248"/>
      <c r="P1895" s="248"/>
      <c r="Q1895" s="248"/>
    </row>
    <row r="1896">
      <c r="A1896" s="248"/>
      <c r="B1896" s="248"/>
      <c r="C1896" s="248"/>
      <c r="D1896" s="248"/>
      <c r="E1896" s="248"/>
      <c r="F1896" s="248"/>
      <c r="G1896" s="248"/>
      <c r="I1896" s="248"/>
      <c r="J1896" s="248"/>
      <c r="K1896" s="248"/>
      <c r="L1896" s="248"/>
      <c r="M1896" s="248"/>
      <c r="N1896" s="248"/>
      <c r="P1896" s="248"/>
      <c r="Q1896" s="248"/>
    </row>
    <row r="1897">
      <c r="A1897" s="248"/>
      <c r="B1897" s="248"/>
      <c r="C1897" s="248"/>
      <c r="D1897" s="248"/>
      <c r="E1897" s="248"/>
      <c r="F1897" s="248"/>
      <c r="G1897" s="248"/>
      <c r="I1897" s="248"/>
      <c r="J1897" s="248"/>
      <c r="K1897" s="248"/>
      <c r="L1897" s="248"/>
      <c r="M1897" s="248"/>
      <c r="N1897" s="248"/>
      <c r="P1897" s="248"/>
      <c r="Q1897" s="248"/>
    </row>
    <row r="1898">
      <c r="A1898" s="248"/>
      <c r="B1898" s="248"/>
      <c r="C1898" s="248"/>
      <c r="D1898" s="248"/>
      <c r="E1898" s="248"/>
      <c r="F1898" s="248"/>
      <c r="G1898" s="248"/>
      <c r="I1898" s="248"/>
      <c r="J1898" s="248"/>
      <c r="K1898" s="248"/>
      <c r="L1898" s="248"/>
      <c r="M1898" s="248"/>
      <c r="N1898" s="248"/>
      <c r="P1898" s="248"/>
      <c r="Q1898" s="248"/>
    </row>
    <row r="1899">
      <c r="A1899" s="248"/>
      <c r="B1899" s="248"/>
      <c r="C1899" s="248"/>
      <c r="D1899" s="248"/>
      <c r="E1899" s="248"/>
      <c r="F1899" s="248"/>
      <c r="G1899" s="248"/>
      <c r="I1899" s="248"/>
      <c r="J1899" s="248"/>
      <c r="K1899" s="248"/>
      <c r="L1899" s="248"/>
      <c r="M1899" s="248"/>
      <c r="N1899" s="248"/>
      <c r="P1899" s="248"/>
      <c r="Q1899" s="248"/>
    </row>
    <row r="1900">
      <c r="A1900" s="248"/>
      <c r="B1900" s="248"/>
      <c r="C1900" s="248"/>
      <c r="D1900" s="248"/>
      <c r="E1900" s="248"/>
      <c r="F1900" s="248"/>
      <c r="G1900" s="248"/>
      <c r="I1900" s="248"/>
      <c r="J1900" s="248"/>
      <c r="K1900" s="248"/>
      <c r="L1900" s="248"/>
      <c r="M1900" s="248"/>
      <c r="N1900" s="248"/>
      <c r="P1900" s="248"/>
      <c r="Q1900" s="248"/>
    </row>
    <row r="1901">
      <c r="A1901" s="248"/>
      <c r="B1901" s="248"/>
      <c r="C1901" s="248"/>
      <c r="D1901" s="248"/>
      <c r="E1901" s="248"/>
      <c r="F1901" s="248"/>
      <c r="G1901" s="248"/>
      <c r="I1901" s="248"/>
      <c r="J1901" s="248"/>
      <c r="K1901" s="248"/>
      <c r="L1901" s="248"/>
      <c r="M1901" s="248"/>
      <c r="N1901" s="248"/>
      <c r="P1901" s="248"/>
      <c r="Q1901" s="248"/>
    </row>
    <row r="1902">
      <c r="A1902" s="248"/>
      <c r="B1902" s="248"/>
      <c r="C1902" s="248"/>
      <c r="D1902" s="248"/>
      <c r="E1902" s="248"/>
      <c r="F1902" s="248"/>
      <c r="G1902" s="248"/>
      <c r="I1902" s="248"/>
      <c r="J1902" s="248"/>
      <c r="K1902" s="248"/>
      <c r="L1902" s="248"/>
      <c r="M1902" s="248"/>
      <c r="N1902" s="248"/>
      <c r="P1902" s="248"/>
      <c r="Q1902" s="248"/>
    </row>
    <row r="1903">
      <c r="A1903" s="248"/>
      <c r="B1903" s="248"/>
      <c r="C1903" s="248"/>
      <c r="D1903" s="248"/>
      <c r="E1903" s="248"/>
      <c r="F1903" s="248"/>
      <c r="G1903" s="248"/>
      <c r="I1903" s="248"/>
      <c r="J1903" s="248"/>
      <c r="K1903" s="248"/>
      <c r="L1903" s="248"/>
      <c r="M1903" s="248"/>
      <c r="N1903" s="248"/>
      <c r="P1903" s="248"/>
      <c r="Q1903" s="248"/>
    </row>
    <row r="1904">
      <c r="A1904" s="248"/>
      <c r="B1904" s="248"/>
      <c r="C1904" s="248"/>
      <c r="D1904" s="248"/>
      <c r="E1904" s="248"/>
      <c r="F1904" s="248"/>
      <c r="G1904" s="248"/>
      <c r="I1904" s="248"/>
      <c r="J1904" s="248"/>
      <c r="K1904" s="248"/>
      <c r="L1904" s="248"/>
      <c r="M1904" s="248"/>
      <c r="N1904" s="248"/>
      <c r="P1904" s="248"/>
      <c r="Q1904" s="248"/>
    </row>
    <row r="1905">
      <c r="A1905" s="248"/>
      <c r="B1905" s="248"/>
      <c r="C1905" s="248"/>
      <c r="D1905" s="248"/>
      <c r="E1905" s="248"/>
      <c r="F1905" s="248"/>
      <c r="G1905" s="248"/>
      <c r="I1905" s="248"/>
      <c r="J1905" s="248"/>
      <c r="K1905" s="248"/>
      <c r="L1905" s="248"/>
      <c r="M1905" s="248"/>
      <c r="N1905" s="248"/>
      <c r="P1905" s="248"/>
      <c r="Q1905" s="248"/>
    </row>
    <row r="1906">
      <c r="A1906" s="248"/>
      <c r="B1906" s="248"/>
      <c r="C1906" s="248"/>
      <c r="D1906" s="248"/>
      <c r="E1906" s="248"/>
      <c r="F1906" s="248"/>
      <c r="G1906" s="248"/>
      <c r="I1906" s="248"/>
      <c r="J1906" s="248"/>
      <c r="K1906" s="248"/>
      <c r="L1906" s="248"/>
      <c r="M1906" s="248"/>
      <c r="N1906" s="248"/>
      <c r="P1906" s="248"/>
      <c r="Q1906" s="248"/>
    </row>
    <row r="1907">
      <c r="A1907" s="248"/>
      <c r="B1907" s="248"/>
      <c r="C1907" s="248"/>
      <c r="D1907" s="248"/>
      <c r="E1907" s="248"/>
      <c r="F1907" s="248"/>
      <c r="G1907" s="248"/>
      <c r="I1907" s="248"/>
      <c r="J1907" s="248"/>
      <c r="K1907" s="248"/>
      <c r="L1907" s="248"/>
      <c r="M1907" s="248"/>
      <c r="N1907" s="248"/>
      <c r="P1907" s="248"/>
      <c r="Q1907" s="248"/>
    </row>
    <row r="1908">
      <c r="A1908" s="248"/>
      <c r="B1908" s="248"/>
      <c r="C1908" s="248"/>
      <c r="D1908" s="248"/>
      <c r="E1908" s="248"/>
      <c r="F1908" s="248"/>
      <c r="G1908" s="248"/>
      <c r="I1908" s="248"/>
      <c r="J1908" s="248"/>
      <c r="K1908" s="248"/>
      <c r="L1908" s="248"/>
      <c r="M1908" s="248"/>
      <c r="N1908" s="248"/>
      <c r="P1908" s="248"/>
      <c r="Q1908" s="248"/>
    </row>
    <row r="1909">
      <c r="A1909" s="248"/>
      <c r="B1909" s="248"/>
      <c r="C1909" s="248"/>
      <c r="D1909" s="248"/>
      <c r="E1909" s="248"/>
      <c r="F1909" s="248"/>
      <c r="G1909" s="248"/>
      <c r="I1909" s="248"/>
      <c r="J1909" s="248"/>
      <c r="K1909" s="248"/>
      <c r="L1909" s="248"/>
      <c r="M1909" s="248"/>
      <c r="N1909" s="248"/>
      <c r="P1909" s="248"/>
      <c r="Q1909" s="248"/>
    </row>
    <row r="1910">
      <c r="A1910" s="248"/>
      <c r="B1910" s="248"/>
      <c r="C1910" s="248"/>
      <c r="D1910" s="248"/>
      <c r="E1910" s="248"/>
      <c r="F1910" s="248"/>
      <c r="G1910" s="248"/>
      <c r="I1910" s="248"/>
      <c r="J1910" s="248"/>
      <c r="K1910" s="248"/>
      <c r="L1910" s="248"/>
      <c r="M1910" s="248"/>
      <c r="N1910" s="248"/>
      <c r="P1910" s="248"/>
      <c r="Q1910" s="248"/>
    </row>
    <row r="1911">
      <c r="A1911" s="248"/>
      <c r="B1911" s="248"/>
      <c r="C1911" s="248"/>
      <c r="D1911" s="248"/>
      <c r="E1911" s="248"/>
      <c r="F1911" s="248"/>
      <c r="G1911" s="248"/>
      <c r="I1911" s="248"/>
      <c r="J1911" s="248"/>
      <c r="K1911" s="248"/>
      <c r="L1911" s="248"/>
      <c r="M1911" s="248"/>
      <c r="N1911" s="248"/>
      <c r="P1911" s="248"/>
      <c r="Q1911" s="248"/>
    </row>
    <row r="1912">
      <c r="A1912" s="248"/>
      <c r="B1912" s="248"/>
      <c r="C1912" s="248"/>
      <c r="D1912" s="248"/>
      <c r="E1912" s="248"/>
      <c r="F1912" s="248"/>
      <c r="G1912" s="248"/>
      <c r="I1912" s="248"/>
      <c r="J1912" s="248"/>
      <c r="K1912" s="248"/>
      <c r="L1912" s="248"/>
      <c r="M1912" s="248"/>
      <c r="N1912" s="248"/>
      <c r="P1912" s="248"/>
      <c r="Q1912" s="248"/>
    </row>
    <row r="1913">
      <c r="A1913" s="248"/>
      <c r="B1913" s="248"/>
      <c r="C1913" s="248"/>
      <c r="D1913" s="248"/>
      <c r="E1913" s="248"/>
      <c r="F1913" s="248"/>
      <c r="G1913" s="248"/>
      <c r="I1913" s="248"/>
      <c r="J1913" s="248"/>
      <c r="K1913" s="248"/>
      <c r="L1913" s="248"/>
      <c r="M1913" s="248"/>
      <c r="N1913" s="248"/>
      <c r="P1913" s="248"/>
      <c r="Q1913" s="248"/>
    </row>
    <row r="1914">
      <c r="A1914" s="248"/>
      <c r="B1914" s="248"/>
      <c r="C1914" s="248"/>
      <c r="D1914" s="248"/>
      <c r="E1914" s="248"/>
      <c r="F1914" s="248"/>
      <c r="G1914" s="248"/>
      <c r="I1914" s="248"/>
      <c r="J1914" s="248"/>
      <c r="K1914" s="248"/>
      <c r="L1914" s="248"/>
      <c r="M1914" s="248"/>
      <c r="N1914" s="248"/>
      <c r="P1914" s="248"/>
      <c r="Q1914" s="248"/>
    </row>
    <row r="1915">
      <c r="A1915" s="248"/>
      <c r="B1915" s="248"/>
      <c r="C1915" s="248"/>
      <c r="D1915" s="248"/>
      <c r="E1915" s="248"/>
      <c r="F1915" s="248"/>
      <c r="G1915" s="248"/>
      <c r="I1915" s="248"/>
      <c r="J1915" s="248"/>
      <c r="K1915" s="248"/>
      <c r="L1915" s="248"/>
      <c r="M1915" s="248"/>
      <c r="N1915" s="248"/>
      <c r="P1915" s="248"/>
      <c r="Q1915" s="248"/>
    </row>
    <row r="1916">
      <c r="A1916" s="248"/>
      <c r="B1916" s="248"/>
      <c r="C1916" s="248"/>
      <c r="D1916" s="248"/>
      <c r="E1916" s="248"/>
      <c r="F1916" s="248"/>
      <c r="G1916" s="248"/>
      <c r="I1916" s="248"/>
      <c r="J1916" s="248"/>
      <c r="K1916" s="248"/>
      <c r="L1916" s="248"/>
      <c r="M1916" s="248"/>
      <c r="N1916" s="248"/>
      <c r="P1916" s="248"/>
      <c r="Q1916" s="248"/>
    </row>
    <row r="1917">
      <c r="A1917" s="248"/>
      <c r="B1917" s="248"/>
      <c r="C1917" s="248"/>
      <c r="D1917" s="248"/>
      <c r="E1917" s="248"/>
      <c r="F1917" s="248"/>
      <c r="G1917" s="248"/>
      <c r="I1917" s="248"/>
      <c r="J1917" s="248"/>
      <c r="K1917" s="248"/>
      <c r="L1917" s="248"/>
      <c r="M1917" s="248"/>
      <c r="N1917" s="248"/>
      <c r="P1917" s="248"/>
      <c r="Q1917" s="248"/>
    </row>
    <row r="1918">
      <c r="A1918" s="248"/>
      <c r="B1918" s="248"/>
      <c r="C1918" s="248"/>
      <c r="D1918" s="248"/>
      <c r="E1918" s="248"/>
      <c r="F1918" s="248"/>
      <c r="G1918" s="248"/>
      <c r="I1918" s="248"/>
      <c r="J1918" s="248"/>
      <c r="K1918" s="248"/>
      <c r="L1918" s="248"/>
      <c r="M1918" s="248"/>
      <c r="N1918" s="248"/>
      <c r="P1918" s="248"/>
      <c r="Q1918" s="248"/>
    </row>
    <row r="1919">
      <c r="A1919" s="248"/>
      <c r="B1919" s="248"/>
      <c r="C1919" s="248"/>
      <c r="D1919" s="248"/>
      <c r="E1919" s="248"/>
      <c r="F1919" s="248"/>
      <c r="G1919" s="248"/>
      <c r="I1919" s="248"/>
      <c r="J1919" s="248"/>
      <c r="K1919" s="248"/>
      <c r="L1919" s="248"/>
      <c r="M1919" s="248"/>
      <c r="N1919" s="248"/>
      <c r="P1919" s="248"/>
      <c r="Q1919" s="248"/>
    </row>
    <row r="1920">
      <c r="A1920" s="248"/>
      <c r="B1920" s="248"/>
      <c r="C1920" s="248"/>
      <c r="D1920" s="248"/>
      <c r="E1920" s="248"/>
      <c r="F1920" s="248"/>
      <c r="G1920" s="248"/>
      <c r="I1920" s="248"/>
      <c r="J1920" s="248"/>
      <c r="K1920" s="248"/>
      <c r="L1920" s="248"/>
      <c r="M1920" s="248"/>
      <c r="N1920" s="248"/>
      <c r="P1920" s="248"/>
      <c r="Q1920" s="248"/>
    </row>
    <row r="1921">
      <c r="A1921" s="248"/>
      <c r="B1921" s="248"/>
      <c r="C1921" s="248"/>
      <c r="D1921" s="248"/>
      <c r="E1921" s="248"/>
      <c r="F1921" s="248"/>
      <c r="G1921" s="248"/>
      <c r="I1921" s="248"/>
      <c r="J1921" s="248"/>
      <c r="K1921" s="248"/>
      <c r="L1921" s="248"/>
      <c r="M1921" s="248"/>
      <c r="N1921" s="248"/>
      <c r="P1921" s="248"/>
      <c r="Q1921" s="248"/>
    </row>
    <row r="1922">
      <c r="A1922" s="248"/>
      <c r="B1922" s="248"/>
      <c r="C1922" s="248"/>
      <c r="D1922" s="248"/>
      <c r="E1922" s="248"/>
      <c r="F1922" s="248"/>
      <c r="G1922" s="248"/>
      <c r="I1922" s="248"/>
      <c r="J1922" s="248"/>
      <c r="K1922" s="248"/>
      <c r="L1922" s="248"/>
      <c r="M1922" s="248"/>
      <c r="N1922" s="248"/>
      <c r="P1922" s="248"/>
      <c r="Q1922" s="248"/>
    </row>
    <row r="1923">
      <c r="A1923" s="248"/>
      <c r="B1923" s="248"/>
      <c r="C1923" s="248"/>
      <c r="D1923" s="248"/>
      <c r="E1923" s="248"/>
      <c r="F1923" s="248"/>
      <c r="G1923" s="248"/>
      <c r="I1923" s="248"/>
      <c r="J1923" s="248"/>
      <c r="K1923" s="248"/>
      <c r="L1923" s="248"/>
      <c r="M1923" s="248"/>
      <c r="N1923" s="248"/>
      <c r="P1923" s="248"/>
      <c r="Q1923" s="248"/>
    </row>
    <row r="1924">
      <c r="A1924" s="248"/>
      <c r="B1924" s="248"/>
      <c r="C1924" s="248"/>
      <c r="D1924" s="248"/>
      <c r="E1924" s="248"/>
      <c r="F1924" s="248"/>
      <c r="G1924" s="248"/>
      <c r="I1924" s="248"/>
      <c r="J1924" s="248"/>
      <c r="K1924" s="248"/>
      <c r="L1924" s="248"/>
      <c r="M1924" s="248"/>
      <c r="N1924" s="248"/>
      <c r="P1924" s="248"/>
      <c r="Q1924" s="248"/>
    </row>
    <row r="1925">
      <c r="A1925" s="248"/>
      <c r="B1925" s="248"/>
      <c r="C1925" s="248"/>
      <c r="D1925" s="248"/>
      <c r="E1925" s="248"/>
      <c r="F1925" s="248"/>
      <c r="G1925" s="248"/>
      <c r="I1925" s="248"/>
      <c r="J1925" s="248"/>
      <c r="K1925" s="248"/>
      <c r="L1925" s="248"/>
      <c r="M1925" s="248"/>
      <c r="N1925" s="248"/>
      <c r="P1925" s="248"/>
      <c r="Q1925" s="248"/>
    </row>
    <row r="1926">
      <c r="A1926" s="248"/>
      <c r="B1926" s="248"/>
      <c r="C1926" s="248"/>
      <c r="D1926" s="248"/>
      <c r="E1926" s="248"/>
      <c r="F1926" s="248"/>
      <c r="G1926" s="248"/>
      <c r="I1926" s="248"/>
      <c r="J1926" s="248"/>
      <c r="K1926" s="248"/>
      <c r="L1926" s="248"/>
      <c r="M1926" s="248"/>
      <c r="N1926" s="248"/>
      <c r="P1926" s="248"/>
      <c r="Q1926" s="248"/>
    </row>
    <row r="1927">
      <c r="A1927" s="248"/>
      <c r="B1927" s="248"/>
      <c r="C1927" s="248"/>
      <c r="D1927" s="248"/>
      <c r="E1927" s="248"/>
      <c r="F1927" s="248"/>
      <c r="G1927" s="248"/>
      <c r="I1927" s="248"/>
      <c r="J1927" s="248"/>
      <c r="K1927" s="248"/>
      <c r="L1927" s="248"/>
      <c r="M1927" s="248"/>
      <c r="N1927" s="248"/>
      <c r="P1927" s="248"/>
      <c r="Q1927" s="248"/>
    </row>
    <row r="1928">
      <c r="A1928" s="248"/>
      <c r="B1928" s="248"/>
      <c r="C1928" s="248"/>
      <c r="D1928" s="248"/>
      <c r="E1928" s="248"/>
      <c r="F1928" s="248"/>
      <c r="G1928" s="248"/>
      <c r="I1928" s="248"/>
      <c r="J1928" s="248"/>
      <c r="K1928" s="248"/>
      <c r="L1928" s="248"/>
      <c r="M1928" s="248"/>
      <c r="N1928" s="248"/>
      <c r="P1928" s="248"/>
      <c r="Q1928" s="248"/>
    </row>
    <row r="1929">
      <c r="A1929" s="248"/>
      <c r="B1929" s="248"/>
      <c r="C1929" s="248"/>
      <c r="D1929" s="248"/>
      <c r="E1929" s="248"/>
      <c r="F1929" s="248"/>
      <c r="G1929" s="248"/>
      <c r="I1929" s="248"/>
      <c r="J1929" s="248"/>
      <c r="K1929" s="248"/>
      <c r="L1929" s="248"/>
      <c r="M1929" s="248"/>
      <c r="N1929" s="248"/>
      <c r="P1929" s="248"/>
      <c r="Q1929" s="248"/>
    </row>
    <row r="1930">
      <c r="A1930" s="248"/>
      <c r="B1930" s="248"/>
      <c r="C1930" s="248"/>
      <c r="D1930" s="248"/>
      <c r="E1930" s="248"/>
      <c r="F1930" s="248"/>
      <c r="G1930" s="248"/>
      <c r="I1930" s="248"/>
      <c r="J1930" s="248"/>
      <c r="K1930" s="248"/>
      <c r="L1930" s="248"/>
      <c r="M1930" s="248"/>
      <c r="N1930" s="248"/>
      <c r="P1930" s="248"/>
      <c r="Q1930" s="248"/>
    </row>
    <row r="1931">
      <c r="A1931" s="248"/>
      <c r="B1931" s="248"/>
      <c r="C1931" s="248"/>
      <c r="D1931" s="248"/>
      <c r="E1931" s="248"/>
      <c r="F1931" s="248"/>
      <c r="G1931" s="248"/>
      <c r="I1931" s="248"/>
      <c r="J1931" s="248"/>
      <c r="K1931" s="248"/>
      <c r="L1931" s="248"/>
      <c r="M1931" s="248"/>
      <c r="N1931" s="248"/>
      <c r="P1931" s="248"/>
      <c r="Q1931" s="248"/>
    </row>
    <row r="1932">
      <c r="A1932" s="248"/>
      <c r="B1932" s="248"/>
      <c r="C1932" s="248"/>
      <c r="D1932" s="248"/>
      <c r="E1932" s="248"/>
      <c r="F1932" s="248"/>
      <c r="G1932" s="248"/>
      <c r="I1932" s="248"/>
      <c r="J1932" s="248"/>
      <c r="K1932" s="248"/>
      <c r="L1932" s="248"/>
      <c r="M1932" s="248"/>
      <c r="N1932" s="248"/>
      <c r="P1932" s="248"/>
      <c r="Q1932" s="248"/>
    </row>
    <row r="1933">
      <c r="A1933" s="248"/>
      <c r="B1933" s="248"/>
      <c r="C1933" s="248"/>
      <c r="D1933" s="248"/>
      <c r="E1933" s="248"/>
      <c r="F1933" s="248"/>
      <c r="G1933" s="248"/>
      <c r="I1933" s="248"/>
      <c r="J1933" s="248"/>
      <c r="K1933" s="248"/>
      <c r="L1933" s="248"/>
      <c r="M1933" s="248"/>
      <c r="N1933" s="248"/>
      <c r="P1933" s="248"/>
      <c r="Q1933" s="248"/>
    </row>
    <row r="1934">
      <c r="A1934" s="248"/>
      <c r="B1934" s="248"/>
      <c r="C1934" s="248"/>
      <c r="D1934" s="248"/>
      <c r="E1934" s="248"/>
      <c r="F1934" s="248"/>
      <c r="G1934" s="248"/>
      <c r="I1934" s="248"/>
      <c r="J1934" s="248"/>
      <c r="K1934" s="248"/>
      <c r="L1934" s="248"/>
      <c r="M1934" s="248"/>
      <c r="N1934" s="248"/>
      <c r="P1934" s="248"/>
      <c r="Q1934" s="248"/>
    </row>
    <row r="1935">
      <c r="A1935" s="248"/>
      <c r="B1935" s="248"/>
      <c r="C1935" s="248"/>
      <c r="D1935" s="248"/>
      <c r="E1935" s="248"/>
      <c r="F1935" s="248"/>
      <c r="G1935" s="248"/>
      <c r="I1935" s="248"/>
      <c r="J1935" s="248"/>
      <c r="K1935" s="248"/>
      <c r="L1935" s="248"/>
      <c r="M1935" s="248"/>
      <c r="N1935" s="248"/>
      <c r="P1935" s="248"/>
      <c r="Q1935" s="248"/>
    </row>
    <row r="1936">
      <c r="A1936" s="248"/>
      <c r="B1936" s="248"/>
      <c r="C1936" s="248"/>
      <c r="D1936" s="248"/>
      <c r="E1936" s="248"/>
      <c r="F1936" s="248"/>
      <c r="G1936" s="248"/>
      <c r="I1936" s="248"/>
      <c r="J1936" s="248"/>
      <c r="K1936" s="248"/>
      <c r="L1936" s="248"/>
      <c r="M1936" s="248"/>
      <c r="N1936" s="248"/>
      <c r="P1936" s="248"/>
      <c r="Q1936" s="248"/>
    </row>
    <row r="1937">
      <c r="A1937" s="248"/>
      <c r="B1937" s="248"/>
      <c r="C1937" s="248"/>
      <c r="D1937" s="248"/>
      <c r="E1937" s="248"/>
      <c r="F1937" s="248"/>
      <c r="G1937" s="248"/>
      <c r="I1937" s="248"/>
      <c r="J1937" s="248"/>
      <c r="K1937" s="248"/>
      <c r="L1937" s="248"/>
      <c r="M1937" s="248"/>
      <c r="N1937" s="248"/>
      <c r="P1937" s="248"/>
      <c r="Q1937" s="248"/>
    </row>
    <row r="1938">
      <c r="A1938" s="248"/>
      <c r="B1938" s="248"/>
      <c r="C1938" s="248"/>
      <c r="D1938" s="248"/>
      <c r="E1938" s="248"/>
      <c r="F1938" s="248"/>
      <c r="G1938" s="248"/>
      <c r="I1938" s="248"/>
      <c r="J1938" s="248"/>
      <c r="K1938" s="248"/>
      <c r="L1938" s="248"/>
      <c r="M1938" s="248"/>
      <c r="N1938" s="248"/>
      <c r="P1938" s="248"/>
      <c r="Q1938" s="248"/>
    </row>
    <row r="1939">
      <c r="A1939" s="248"/>
      <c r="B1939" s="248"/>
      <c r="C1939" s="248"/>
      <c r="D1939" s="248"/>
      <c r="E1939" s="248"/>
      <c r="F1939" s="248"/>
      <c r="G1939" s="248"/>
      <c r="I1939" s="248"/>
      <c r="J1939" s="248"/>
      <c r="K1939" s="248"/>
      <c r="L1939" s="248"/>
      <c r="M1939" s="248"/>
      <c r="N1939" s="248"/>
      <c r="P1939" s="248"/>
      <c r="Q1939" s="248"/>
    </row>
    <row r="1940">
      <c r="A1940" s="248"/>
      <c r="B1940" s="248"/>
      <c r="C1940" s="248"/>
      <c r="D1940" s="248"/>
      <c r="E1940" s="248"/>
      <c r="F1940" s="248"/>
      <c r="G1940" s="248"/>
      <c r="I1940" s="248"/>
      <c r="J1940" s="248"/>
      <c r="K1940" s="248"/>
      <c r="L1940" s="248"/>
      <c r="M1940" s="248"/>
      <c r="N1940" s="248"/>
      <c r="P1940" s="248"/>
      <c r="Q1940" s="248"/>
    </row>
    <row r="1941">
      <c r="A1941" s="248"/>
      <c r="B1941" s="248"/>
      <c r="C1941" s="248"/>
      <c r="D1941" s="248"/>
      <c r="E1941" s="248"/>
      <c r="F1941" s="248"/>
      <c r="G1941" s="248"/>
      <c r="I1941" s="248"/>
      <c r="J1941" s="248"/>
      <c r="K1941" s="248"/>
      <c r="L1941" s="248"/>
      <c r="M1941" s="248"/>
      <c r="N1941" s="248"/>
      <c r="P1941" s="248"/>
      <c r="Q1941" s="248"/>
    </row>
    <row r="1942">
      <c r="A1942" s="248"/>
      <c r="B1942" s="248"/>
      <c r="C1942" s="248"/>
      <c r="D1942" s="248"/>
      <c r="E1942" s="248"/>
      <c r="F1942" s="248"/>
      <c r="G1942" s="248"/>
      <c r="I1942" s="248"/>
      <c r="J1942" s="248"/>
      <c r="K1942" s="248"/>
      <c r="L1942" s="248"/>
      <c r="M1942" s="248"/>
      <c r="N1942" s="248"/>
      <c r="P1942" s="248"/>
      <c r="Q1942" s="248"/>
    </row>
    <row r="1943">
      <c r="A1943" s="248"/>
      <c r="B1943" s="248"/>
      <c r="C1943" s="248"/>
      <c r="D1943" s="248"/>
      <c r="E1943" s="248"/>
      <c r="F1943" s="248"/>
      <c r="G1943" s="248"/>
      <c r="I1943" s="248"/>
      <c r="J1943" s="248"/>
      <c r="K1943" s="248"/>
      <c r="L1943" s="248"/>
      <c r="M1943" s="248"/>
      <c r="N1943" s="248"/>
      <c r="P1943" s="248"/>
      <c r="Q1943" s="248"/>
    </row>
    <row r="1944">
      <c r="A1944" s="248"/>
      <c r="B1944" s="248"/>
      <c r="C1944" s="248"/>
      <c r="D1944" s="248"/>
      <c r="E1944" s="248"/>
      <c r="F1944" s="248"/>
      <c r="G1944" s="248"/>
      <c r="I1944" s="248"/>
      <c r="J1944" s="248"/>
      <c r="K1944" s="248"/>
      <c r="L1944" s="248"/>
      <c r="M1944" s="248"/>
      <c r="N1944" s="248"/>
      <c r="P1944" s="248"/>
      <c r="Q1944" s="248"/>
    </row>
    <row r="1945">
      <c r="A1945" s="248"/>
      <c r="B1945" s="248"/>
      <c r="C1945" s="248"/>
      <c r="D1945" s="248"/>
      <c r="E1945" s="248"/>
      <c r="F1945" s="248"/>
      <c r="G1945" s="248"/>
      <c r="I1945" s="248"/>
      <c r="J1945" s="248"/>
      <c r="K1945" s="248"/>
      <c r="L1945" s="248"/>
      <c r="M1945" s="248"/>
      <c r="N1945" s="248"/>
      <c r="P1945" s="248"/>
      <c r="Q1945" s="248"/>
    </row>
    <row r="1946">
      <c r="A1946" s="248"/>
      <c r="B1946" s="248"/>
      <c r="C1946" s="248"/>
      <c r="D1946" s="248"/>
      <c r="E1946" s="248"/>
      <c r="F1946" s="248"/>
      <c r="G1946" s="248"/>
      <c r="I1946" s="248"/>
      <c r="J1946" s="248"/>
      <c r="K1946" s="248"/>
      <c r="L1946" s="248"/>
      <c r="M1946" s="248"/>
      <c r="N1946" s="248"/>
      <c r="P1946" s="248"/>
      <c r="Q1946" s="248"/>
    </row>
    <row r="1947">
      <c r="A1947" s="248"/>
      <c r="B1947" s="248"/>
      <c r="C1947" s="248"/>
      <c r="D1947" s="248"/>
      <c r="E1947" s="248"/>
      <c r="F1947" s="248"/>
      <c r="G1947" s="248"/>
      <c r="I1947" s="248"/>
      <c r="J1947" s="248"/>
      <c r="K1947" s="248"/>
      <c r="L1947" s="248"/>
      <c r="M1947" s="248"/>
      <c r="N1947" s="248"/>
      <c r="P1947" s="248"/>
      <c r="Q1947" s="248"/>
    </row>
    <row r="1948">
      <c r="A1948" s="248"/>
      <c r="B1948" s="248"/>
      <c r="C1948" s="248"/>
      <c r="D1948" s="248"/>
      <c r="E1948" s="248"/>
      <c r="F1948" s="248"/>
      <c r="G1948" s="248"/>
      <c r="I1948" s="248"/>
      <c r="J1948" s="248"/>
      <c r="K1948" s="248"/>
      <c r="L1948" s="248"/>
      <c r="M1948" s="248"/>
      <c r="N1948" s="248"/>
      <c r="P1948" s="248"/>
      <c r="Q1948" s="248"/>
    </row>
    <row r="1949">
      <c r="A1949" s="248"/>
      <c r="B1949" s="248"/>
      <c r="C1949" s="248"/>
      <c r="D1949" s="248"/>
      <c r="E1949" s="248"/>
      <c r="F1949" s="248"/>
      <c r="G1949" s="248"/>
      <c r="I1949" s="248"/>
      <c r="J1949" s="248"/>
      <c r="K1949" s="248"/>
      <c r="L1949" s="248"/>
      <c r="M1949" s="248"/>
      <c r="N1949" s="248"/>
      <c r="P1949" s="248"/>
      <c r="Q1949" s="248"/>
    </row>
    <row r="1950">
      <c r="A1950" s="248"/>
      <c r="B1950" s="248"/>
      <c r="C1950" s="248"/>
      <c r="D1950" s="248"/>
      <c r="E1950" s="248"/>
      <c r="F1950" s="248"/>
      <c r="G1950" s="248"/>
      <c r="I1950" s="248"/>
      <c r="J1950" s="248"/>
      <c r="K1950" s="248"/>
      <c r="L1950" s="248"/>
      <c r="M1950" s="248"/>
      <c r="N1950" s="248"/>
      <c r="P1950" s="248"/>
      <c r="Q1950" s="248"/>
    </row>
    <row r="1951">
      <c r="A1951" s="248"/>
      <c r="B1951" s="248"/>
      <c r="C1951" s="248"/>
      <c r="D1951" s="248"/>
      <c r="E1951" s="248"/>
      <c r="F1951" s="248"/>
      <c r="G1951" s="248"/>
      <c r="I1951" s="248"/>
      <c r="J1951" s="248"/>
      <c r="K1951" s="248"/>
      <c r="L1951" s="248"/>
      <c r="M1951" s="248"/>
      <c r="N1951" s="248"/>
      <c r="P1951" s="248"/>
      <c r="Q1951" s="248"/>
    </row>
    <row r="1952">
      <c r="A1952" s="248"/>
      <c r="B1952" s="248"/>
      <c r="C1952" s="248"/>
      <c r="D1952" s="248"/>
      <c r="E1952" s="248"/>
      <c r="F1952" s="248"/>
      <c r="G1952" s="248"/>
      <c r="I1952" s="248"/>
      <c r="J1952" s="248"/>
      <c r="K1952" s="248"/>
      <c r="L1952" s="248"/>
      <c r="M1952" s="248"/>
      <c r="N1952" s="248"/>
      <c r="P1952" s="248"/>
      <c r="Q1952" s="248"/>
    </row>
    <row r="1953">
      <c r="A1953" s="248"/>
      <c r="B1953" s="248"/>
      <c r="C1953" s="248"/>
      <c r="D1953" s="248"/>
      <c r="E1953" s="248"/>
      <c r="F1953" s="248"/>
      <c r="G1953" s="248"/>
      <c r="I1953" s="248"/>
      <c r="J1953" s="248"/>
      <c r="K1953" s="248"/>
      <c r="L1953" s="248"/>
      <c r="M1953" s="248"/>
      <c r="N1953" s="248"/>
      <c r="P1953" s="248"/>
      <c r="Q1953" s="248"/>
    </row>
    <row r="1954">
      <c r="A1954" s="248"/>
      <c r="B1954" s="248"/>
      <c r="C1954" s="248"/>
      <c r="D1954" s="248"/>
      <c r="E1954" s="248"/>
      <c r="F1954" s="248"/>
      <c r="G1954" s="248"/>
      <c r="I1954" s="248"/>
      <c r="J1954" s="248"/>
      <c r="K1954" s="248"/>
      <c r="L1954" s="248"/>
      <c r="M1954" s="248"/>
      <c r="N1954" s="248"/>
      <c r="P1954" s="248"/>
      <c r="Q1954" s="248"/>
    </row>
    <row r="1955">
      <c r="A1955" s="248"/>
      <c r="B1955" s="248"/>
      <c r="C1955" s="248"/>
      <c r="D1955" s="248"/>
      <c r="E1955" s="248"/>
      <c r="F1955" s="248"/>
      <c r="G1955" s="248"/>
      <c r="I1955" s="248"/>
      <c r="J1955" s="248"/>
      <c r="K1955" s="248"/>
      <c r="L1955" s="248"/>
      <c r="M1955" s="248"/>
      <c r="N1955" s="248"/>
      <c r="P1955" s="248"/>
      <c r="Q1955" s="248"/>
    </row>
    <row r="1956">
      <c r="A1956" s="248"/>
      <c r="B1956" s="248"/>
      <c r="C1956" s="248"/>
      <c r="D1956" s="248"/>
      <c r="E1956" s="248"/>
      <c r="F1956" s="248"/>
      <c r="G1956" s="248"/>
      <c r="I1956" s="248"/>
      <c r="J1956" s="248"/>
      <c r="K1956" s="248"/>
      <c r="L1956" s="248"/>
      <c r="M1956" s="248"/>
      <c r="N1956" s="248"/>
      <c r="P1956" s="248"/>
      <c r="Q1956" s="248"/>
    </row>
    <row r="1957">
      <c r="A1957" s="248"/>
      <c r="B1957" s="248"/>
      <c r="C1957" s="248"/>
      <c r="D1957" s="248"/>
      <c r="E1957" s="248"/>
      <c r="F1957" s="248"/>
      <c r="G1957" s="248"/>
      <c r="I1957" s="248"/>
      <c r="J1957" s="248"/>
      <c r="K1957" s="248"/>
      <c r="L1957" s="248"/>
      <c r="M1957" s="248"/>
      <c r="N1957" s="248"/>
      <c r="P1957" s="248"/>
      <c r="Q1957" s="248"/>
    </row>
    <row r="1958">
      <c r="A1958" s="248"/>
      <c r="B1958" s="248"/>
      <c r="C1958" s="248"/>
      <c r="D1958" s="248"/>
      <c r="E1958" s="248"/>
      <c r="F1958" s="248"/>
      <c r="G1958" s="248"/>
      <c r="I1958" s="248"/>
      <c r="J1958" s="248"/>
      <c r="K1958" s="248"/>
      <c r="L1958" s="248"/>
      <c r="M1958" s="248"/>
      <c r="N1958" s="248"/>
      <c r="P1958" s="248"/>
      <c r="Q1958" s="248"/>
    </row>
    <row r="1959">
      <c r="A1959" s="248"/>
      <c r="B1959" s="248"/>
      <c r="C1959" s="248"/>
      <c r="D1959" s="248"/>
      <c r="E1959" s="248"/>
      <c r="F1959" s="248"/>
      <c r="G1959" s="248"/>
      <c r="I1959" s="248"/>
      <c r="J1959" s="248"/>
      <c r="K1959" s="248"/>
      <c r="L1959" s="248"/>
      <c r="M1959" s="248"/>
      <c r="N1959" s="248"/>
      <c r="P1959" s="248"/>
      <c r="Q1959" s="248"/>
    </row>
    <row r="1960">
      <c r="A1960" s="248"/>
      <c r="B1960" s="248"/>
      <c r="C1960" s="248"/>
      <c r="D1960" s="248"/>
      <c r="E1960" s="248"/>
      <c r="F1960" s="248"/>
      <c r="G1960" s="248"/>
      <c r="I1960" s="248"/>
      <c r="J1960" s="248"/>
      <c r="K1960" s="248"/>
      <c r="L1960" s="248"/>
      <c r="M1960" s="248"/>
      <c r="N1960" s="248"/>
      <c r="P1960" s="248"/>
      <c r="Q1960" s="248"/>
    </row>
    <row r="1961">
      <c r="A1961" s="248"/>
      <c r="B1961" s="248"/>
      <c r="C1961" s="248"/>
      <c r="D1961" s="248"/>
      <c r="E1961" s="248"/>
      <c r="F1961" s="248"/>
      <c r="G1961" s="248"/>
      <c r="I1961" s="248"/>
      <c r="J1961" s="248"/>
      <c r="K1961" s="248"/>
      <c r="L1961" s="248"/>
      <c r="M1961" s="248"/>
      <c r="N1961" s="248"/>
      <c r="P1961" s="248"/>
      <c r="Q1961" s="248"/>
    </row>
    <row r="1962">
      <c r="A1962" s="248"/>
      <c r="B1962" s="248"/>
      <c r="C1962" s="248"/>
      <c r="D1962" s="248"/>
      <c r="E1962" s="248"/>
      <c r="F1962" s="248"/>
      <c r="G1962" s="248"/>
      <c r="I1962" s="248"/>
      <c r="J1962" s="248"/>
      <c r="K1962" s="248"/>
      <c r="L1962" s="248"/>
      <c r="M1962" s="248"/>
      <c r="N1962" s="248"/>
      <c r="P1962" s="248"/>
      <c r="Q1962" s="248"/>
    </row>
    <row r="1963">
      <c r="A1963" s="248"/>
      <c r="B1963" s="248"/>
      <c r="C1963" s="248"/>
      <c r="D1963" s="248"/>
      <c r="E1963" s="248"/>
      <c r="F1963" s="248"/>
      <c r="G1963" s="248"/>
      <c r="I1963" s="248"/>
      <c r="J1963" s="248"/>
      <c r="K1963" s="248"/>
      <c r="L1963" s="248"/>
      <c r="M1963" s="248"/>
      <c r="N1963" s="248"/>
      <c r="P1963" s="248"/>
      <c r="Q1963" s="248"/>
    </row>
    <row r="1964">
      <c r="A1964" s="248"/>
      <c r="B1964" s="248"/>
      <c r="C1964" s="248"/>
      <c r="D1964" s="248"/>
      <c r="E1964" s="248"/>
      <c r="F1964" s="248"/>
      <c r="G1964" s="248"/>
      <c r="I1964" s="248"/>
      <c r="J1964" s="248"/>
      <c r="K1964" s="248"/>
      <c r="L1964" s="248"/>
      <c r="M1964" s="248"/>
      <c r="N1964" s="248"/>
      <c r="P1964" s="248"/>
      <c r="Q1964" s="248"/>
    </row>
    <row r="1965">
      <c r="A1965" s="248"/>
      <c r="B1965" s="248"/>
      <c r="C1965" s="248"/>
      <c r="D1965" s="248"/>
      <c r="E1965" s="248"/>
      <c r="F1965" s="248"/>
      <c r="G1965" s="248"/>
      <c r="I1965" s="248"/>
      <c r="J1965" s="248"/>
      <c r="K1965" s="248"/>
      <c r="L1965" s="248"/>
      <c r="M1965" s="248"/>
      <c r="N1965" s="248"/>
      <c r="P1965" s="248"/>
      <c r="Q1965" s="248"/>
    </row>
    <row r="1966">
      <c r="A1966" s="248"/>
      <c r="B1966" s="248"/>
      <c r="C1966" s="248"/>
      <c r="D1966" s="248"/>
      <c r="E1966" s="248"/>
      <c r="F1966" s="248"/>
      <c r="G1966" s="248"/>
      <c r="I1966" s="248"/>
      <c r="J1966" s="248"/>
      <c r="K1966" s="248"/>
      <c r="L1966" s="248"/>
      <c r="M1966" s="248"/>
      <c r="N1966" s="248"/>
      <c r="P1966" s="248"/>
      <c r="Q1966" s="248"/>
    </row>
    <row r="1967">
      <c r="A1967" s="248"/>
      <c r="B1967" s="248"/>
      <c r="C1967" s="248"/>
      <c r="D1967" s="248"/>
      <c r="E1967" s="248"/>
      <c r="F1967" s="248"/>
      <c r="G1967" s="248"/>
      <c r="I1967" s="248"/>
      <c r="J1967" s="248"/>
      <c r="K1967" s="248"/>
      <c r="L1967" s="248"/>
      <c r="M1967" s="248"/>
      <c r="N1967" s="248"/>
      <c r="P1967" s="248"/>
      <c r="Q1967" s="248"/>
    </row>
    <row r="1968">
      <c r="A1968" s="248"/>
      <c r="B1968" s="248"/>
      <c r="C1968" s="248"/>
      <c r="D1968" s="248"/>
      <c r="E1968" s="248"/>
      <c r="F1968" s="248"/>
      <c r="G1968" s="248"/>
      <c r="I1968" s="248"/>
      <c r="J1968" s="248"/>
      <c r="K1968" s="248"/>
      <c r="L1968" s="248"/>
      <c r="M1968" s="248"/>
      <c r="N1968" s="248"/>
      <c r="P1968" s="248"/>
      <c r="Q1968" s="248"/>
    </row>
    <row r="1969">
      <c r="A1969" s="248"/>
      <c r="B1969" s="248"/>
      <c r="C1969" s="248"/>
      <c r="D1969" s="248"/>
      <c r="E1969" s="248"/>
      <c r="F1969" s="248"/>
      <c r="G1969" s="248"/>
      <c r="I1969" s="248"/>
      <c r="J1969" s="248"/>
      <c r="K1969" s="248"/>
      <c r="L1969" s="248"/>
      <c r="M1969" s="248"/>
      <c r="N1969" s="248"/>
      <c r="P1969" s="248"/>
      <c r="Q1969" s="248"/>
    </row>
    <row r="1970">
      <c r="A1970" s="248"/>
      <c r="B1970" s="248"/>
      <c r="C1970" s="248"/>
      <c r="D1970" s="248"/>
      <c r="E1970" s="248"/>
      <c r="F1970" s="248"/>
      <c r="G1970" s="248"/>
      <c r="I1970" s="248"/>
      <c r="J1970" s="248"/>
      <c r="K1970" s="248"/>
      <c r="L1970" s="248"/>
      <c r="M1970" s="248"/>
      <c r="N1970" s="248"/>
      <c r="P1970" s="248"/>
      <c r="Q1970" s="248"/>
    </row>
    <row r="1971">
      <c r="A1971" s="248"/>
      <c r="B1971" s="248"/>
      <c r="C1971" s="248"/>
      <c r="D1971" s="248"/>
      <c r="E1971" s="248"/>
      <c r="F1971" s="248"/>
      <c r="G1971" s="248"/>
      <c r="I1971" s="248"/>
      <c r="J1971" s="248"/>
      <c r="K1971" s="248"/>
      <c r="L1971" s="248"/>
      <c r="M1971" s="248"/>
      <c r="N1971" s="248"/>
      <c r="P1971" s="248"/>
      <c r="Q1971" s="248"/>
    </row>
    <row r="1972">
      <c r="A1972" s="248"/>
      <c r="B1972" s="248"/>
      <c r="C1972" s="248"/>
      <c r="D1972" s="248"/>
      <c r="E1972" s="248"/>
      <c r="F1972" s="248"/>
      <c r="G1972" s="248"/>
      <c r="I1972" s="248"/>
      <c r="J1972" s="248"/>
      <c r="K1972" s="248"/>
      <c r="L1972" s="248"/>
      <c r="M1972" s="248"/>
      <c r="N1972" s="248"/>
      <c r="P1972" s="248"/>
      <c r="Q1972" s="248"/>
    </row>
    <row r="1973">
      <c r="A1973" s="248"/>
      <c r="B1973" s="248"/>
      <c r="C1973" s="248"/>
      <c r="D1973" s="248"/>
      <c r="E1973" s="248"/>
      <c r="F1973" s="248"/>
      <c r="G1973" s="248"/>
      <c r="I1973" s="248"/>
      <c r="J1973" s="248"/>
      <c r="K1973" s="248"/>
      <c r="L1973" s="248"/>
      <c r="M1973" s="248"/>
      <c r="N1973" s="248"/>
      <c r="P1973" s="248"/>
      <c r="Q1973" s="248"/>
    </row>
    <row r="1974">
      <c r="A1974" s="248"/>
      <c r="B1974" s="248"/>
      <c r="C1974" s="248"/>
      <c r="D1974" s="248"/>
      <c r="E1974" s="248"/>
      <c r="F1974" s="248"/>
      <c r="G1974" s="248"/>
      <c r="I1974" s="248"/>
      <c r="J1974" s="248"/>
      <c r="K1974" s="248"/>
      <c r="L1974" s="248"/>
      <c r="M1974" s="248"/>
      <c r="N1974" s="248"/>
      <c r="P1974" s="248"/>
      <c r="Q1974" s="248"/>
    </row>
    <row r="1975">
      <c r="A1975" s="248"/>
      <c r="B1975" s="248"/>
      <c r="C1975" s="248"/>
      <c r="D1975" s="248"/>
      <c r="E1975" s="248"/>
      <c r="F1975" s="248"/>
      <c r="G1975" s="248"/>
      <c r="I1975" s="248"/>
      <c r="J1975" s="248"/>
      <c r="K1975" s="248"/>
      <c r="L1975" s="248"/>
      <c r="M1975" s="248"/>
      <c r="N1975" s="248"/>
      <c r="P1975" s="248"/>
      <c r="Q1975" s="248"/>
    </row>
    <row r="1976">
      <c r="A1976" s="248"/>
      <c r="B1976" s="248"/>
      <c r="C1976" s="248"/>
      <c r="D1976" s="248"/>
      <c r="E1976" s="248"/>
      <c r="F1976" s="248"/>
      <c r="G1976" s="248"/>
      <c r="I1976" s="248"/>
      <c r="J1976" s="248"/>
      <c r="K1976" s="248"/>
      <c r="L1976" s="248"/>
      <c r="M1976" s="248"/>
      <c r="N1976" s="248"/>
      <c r="P1976" s="248"/>
      <c r="Q1976" s="248"/>
    </row>
    <row r="1977">
      <c r="A1977" s="248"/>
      <c r="B1977" s="248"/>
      <c r="C1977" s="248"/>
      <c r="D1977" s="248"/>
      <c r="E1977" s="248"/>
      <c r="F1977" s="248"/>
      <c r="G1977" s="248"/>
      <c r="I1977" s="248"/>
      <c r="J1977" s="248"/>
      <c r="K1977" s="248"/>
      <c r="L1977" s="248"/>
      <c r="M1977" s="248"/>
      <c r="N1977" s="248"/>
      <c r="P1977" s="248"/>
      <c r="Q1977" s="248"/>
    </row>
    <row r="1978">
      <c r="A1978" s="248"/>
      <c r="B1978" s="248"/>
      <c r="C1978" s="248"/>
      <c r="D1978" s="248"/>
      <c r="E1978" s="248"/>
      <c r="F1978" s="248"/>
      <c r="G1978" s="248"/>
      <c r="I1978" s="248"/>
      <c r="J1978" s="248"/>
      <c r="K1978" s="248"/>
      <c r="L1978" s="248"/>
      <c r="M1978" s="248"/>
      <c r="N1978" s="248"/>
      <c r="P1978" s="248"/>
      <c r="Q1978" s="248"/>
    </row>
    <row r="1979">
      <c r="A1979" s="248"/>
      <c r="B1979" s="248"/>
      <c r="C1979" s="248"/>
      <c r="D1979" s="248"/>
      <c r="E1979" s="248"/>
      <c r="F1979" s="248"/>
      <c r="G1979" s="248"/>
      <c r="I1979" s="248"/>
      <c r="J1979" s="248"/>
      <c r="K1979" s="248"/>
      <c r="L1979" s="248"/>
      <c r="M1979" s="248"/>
      <c r="N1979" s="248"/>
      <c r="P1979" s="248"/>
      <c r="Q1979" s="248"/>
    </row>
    <row r="1980">
      <c r="A1980" s="248"/>
      <c r="B1980" s="248"/>
      <c r="C1980" s="248"/>
      <c r="D1980" s="248"/>
      <c r="E1980" s="248"/>
      <c r="F1980" s="248"/>
      <c r="G1980" s="248"/>
      <c r="I1980" s="248"/>
      <c r="J1980" s="248"/>
      <c r="K1980" s="248"/>
      <c r="L1980" s="248"/>
      <c r="M1980" s="248"/>
      <c r="N1980" s="248"/>
      <c r="P1980" s="248"/>
      <c r="Q1980" s="248"/>
    </row>
    <row r="1981">
      <c r="A1981" s="248"/>
      <c r="B1981" s="248"/>
      <c r="C1981" s="248"/>
      <c r="D1981" s="248"/>
      <c r="E1981" s="248"/>
      <c r="F1981" s="248"/>
      <c r="G1981" s="248"/>
      <c r="I1981" s="248"/>
      <c r="J1981" s="248"/>
      <c r="K1981" s="248"/>
      <c r="L1981" s="248"/>
      <c r="M1981" s="248"/>
      <c r="N1981" s="248"/>
      <c r="P1981" s="248"/>
      <c r="Q1981" s="248"/>
    </row>
    <row r="1982">
      <c r="A1982" s="248"/>
      <c r="B1982" s="248"/>
      <c r="C1982" s="248"/>
      <c r="D1982" s="248"/>
      <c r="E1982" s="248"/>
      <c r="F1982" s="248"/>
      <c r="G1982" s="248"/>
      <c r="I1982" s="248"/>
      <c r="J1982" s="248"/>
      <c r="K1982" s="248"/>
      <c r="L1982" s="248"/>
      <c r="M1982" s="248"/>
      <c r="N1982" s="248"/>
      <c r="P1982" s="248"/>
      <c r="Q1982" s="248"/>
    </row>
    <row r="1983">
      <c r="A1983" s="248"/>
      <c r="B1983" s="248"/>
      <c r="C1983" s="248"/>
      <c r="D1983" s="248"/>
      <c r="E1983" s="248"/>
      <c r="F1983" s="248"/>
      <c r="G1983" s="248"/>
      <c r="I1983" s="248"/>
      <c r="J1983" s="248"/>
      <c r="K1983" s="248"/>
      <c r="L1983" s="248"/>
      <c r="M1983" s="248"/>
      <c r="N1983" s="248"/>
      <c r="P1983" s="248"/>
      <c r="Q1983" s="248"/>
    </row>
    <row r="1984">
      <c r="A1984" s="248"/>
      <c r="B1984" s="248"/>
      <c r="C1984" s="248"/>
      <c r="D1984" s="248"/>
      <c r="E1984" s="248"/>
      <c r="F1984" s="248"/>
      <c r="G1984" s="248"/>
      <c r="I1984" s="248"/>
      <c r="J1984" s="248"/>
      <c r="K1984" s="248"/>
      <c r="L1984" s="248"/>
      <c r="M1984" s="248"/>
      <c r="N1984" s="248"/>
      <c r="P1984" s="248"/>
      <c r="Q1984" s="248"/>
    </row>
    <row r="1985">
      <c r="A1985" s="248"/>
      <c r="B1985" s="248"/>
      <c r="C1985" s="248"/>
      <c r="D1985" s="248"/>
      <c r="E1985" s="248"/>
      <c r="F1985" s="248"/>
      <c r="G1985" s="248"/>
      <c r="I1985" s="248"/>
      <c r="J1985" s="248"/>
      <c r="K1985" s="248"/>
      <c r="L1985" s="248"/>
      <c r="M1985" s="248"/>
      <c r="N1985" s="248"/>
      <c r="P1985" s="248"/>
      <c r="Q1985" s="248"/>
    </row>
    <row r="1986">
      <c r="A1986" s="248"/>
      <c r="B1986" s="248"/>
      <c r="C1986" s="248"/>
      <c r="D1986" s="248"/>
      <c r="E1986" s="248"/>
      <c r="F1986" s="248"/>
      <c r="G1986" s="248"/>
      <c r="I1986" s="248"/>
      <c r="J1986" s="248"/>
      <c r="K1986" s="248"/>
      <c r="L1986" s="248"/>
      <c r="M1986" s="248"/>
      <c r="N1986" s="248"/>
      <c r="P1986" s="248"/>
      <c r="Q1986" s="248"/>
    </row>
    <row r="1987">
      <c r="A1987" s="248"/>
      <c r="B1987" s="248"/>
      <c r="C1987" s="248"/>
      <c r="D1987" s="248"/>
      <c r="E1987" s="248"/>
      <c r="F1987" s="248"/>
      <c r="G1987" s="248"/>
      <c r="I1987" s="248"/>
      <c r="J1987" s="248"/>
      <c r="K1987" s="248"/>
      <c r="L1987" s="248"/>
      <c r="M1987" s="248"/>
      <c r="N1987" s="248"/>
      <c r="P1987" s="248"/>
      <c r="Q1987" s="248"/>
    </row>
    <row r="1988">
      <c r="A1988" s="248"/>
      <c r="B1988" s="248"/>
      <c r="C1988" s="248"/>
      <c r="D1988" s="248"/>
      <c r="E1988" s="248"/>
      <c r="F1988" s="248"/>
      <c r="G1988" s="248"/>
      <c r="I1988" s="248"/>
      <c r="J1988" s="248"/>
      <c r="K1988" s="248"/>
      <c r="L1988" s="248"/>
      <c r="M1988" s="248"/>
      <c r="N1988" s="248"/>
      <c r="P1988" s="248"/>
      <c r="Q1988" s="248"/>
    </row>
    <row r="1989">
      <c r="A1989" s="248"/>
      <c r="B1989" s="248"/>
      <c r="C1989" s="248"/>
      <c r="D1989" s="248"/>
      <c r="E1989" s="248"/>
      <c r="F1989" s="248"/>
      <c r="G1989" s="248"/>
      <c r="I1989" s="248"/>
      <c r="J1989" s="248"/>
      <c r="K1989" s="248"/>
      <c r="L1989" s="248"/>
      <c r="M1989" s="248"/>
      <c r="N1989" s="248"/>
      <c r="P1989" s="248"/>
      <c r="Q1989" s="248"/>
    </row>
    <row r="1990">
      <c r="A1990" s="248"/>
      <c r="B1990" s="248"/>
      <c r="C1990" s="248"/>
      <c r="D1990" s="248"/>
      <c r="E1990" s="248"/>
      <c r="F1990" s="248"/>
      <c r="G1990" s="248"/>
      <c r="I1990" s="248"/>
      <c r="J1990" s="248"/>
      <c r="K1990" s="248"/>
      <c r="L1990" s="248"/>
      <c r="M1990" s="248"/>
      <c r="N1990" s="248"/>
      <c r="P1990" s="248"/>
      <c r="Q1990" s="248"/>
    </row>
    <row r="1991">
      <c r="A1991" s="248"/>
      <c r="B1991" s="248"/>
      <c r="C1991" s="248"/>
      <c r="D1991" s="248"/>
      <c r="E1991" s="248"/>
      <c r="F1991" s="248"/>
      <c r="G1991" s="248"/>
      <c r="I1991" s="248"/>
      <c r="J1991" s="248"/>
      <c r="K1991" s="248"/>
      <c r="L1991" s="248"/>
      <c r="M1991" s="248"/>
      <c r="N1991" s="248"/>
      <c r="P1991" s="248"/>
      <c r="Q1991" s="248"/>
    </row>
    <row r="1992">
      <c r="A1992" s="248"/>
      <c r="B1992" s="248"/>
      <c r="C1992" s="248"/>
      <c r="D1992" s="248"/>
      <c r="E1992" s="248"/>
      <c r="F1992" s="248"/>
      <c r="G1992" s="248"/>
      <c r="I1992" s="248"/>
      <c r="J1992" s="248"/>
      <c r="K1992" s="248"/>
      <c r="L1992" s="248"/>
      <c r="M1992" s="248"/>
      <c r="N1992" s="248"/>
      <c r="P1992" s="248"/>
      <c r="Q1992" s="248"/>
    </row>
    <row r="1993">
      <c r="A1993" s="248"/>
      <c r="B1993" s="248"/>
      <c r="C1993" s="248"/>
      <c r="D1993" s="248"/>
      <c r="E1993" s="248"/>
      <c r="F1993" s="248"/>
      <c r="G1993" s="248"/>
      <c r="I1993" s="248"/>
      <c r="J1993" s="248"/>
      <c r="K1993" s="248"/>
      <c r="L1993" s="248"/>
      <c r="M1993" s="248"/>
      <c r="N1993" s="248"/>
      <c r="P1993" s="248"/>
      <c r="Q1993" s="248"/>
    </row>
    <row r="1994">
      <c r="A1994" s="248"/>
      <c r="B1994" s="248"/>
      <c r="C1994" s="248"/>
      <c r="D1994" s="248"/>
      <c r="E1994" s="248"/>
      <c r="F1994" s="248"/>
      <c r="G1994" s="248"/>
      <c r="I1994" s="248"/>
      <c r="J1994" s="248"/>
      <c r="K1994" s="248"/>
      <c r="L1994" s="248"/>
      <c r="M1994" s="248"/>
      <c r="N1994" s="248"/>
      <c r="P1994" s="248"/>
      <c r="Q1994" s="248"/>
    </row>
    <row r="1995">
      <c r="A1995" s="248"/>
      <c r="B1995" s="248"/>
      <c r="C1995" s="248"/>
      <c r="D1995" s="248"/>
      <c r="E1995" s="248"/>
      <c r="F1995" s="248"/>
      <c r="G1995" s="248"/>
      <c r="I1995" s="248"/>
      <c r="J1995" s="248"/>
      <c r="K1995" s="248"/>
      <c r="L1995" s="248"/>
      <c r="M1995" s="248"/>
      <c r="N1995" s="248"/>
      <c r="P1995" s="248"/>
      <c r="Q1995" s="248"/>
    </row>
    <row r="1996">
      <c r="A1996" s="248"/>
      <c r="B1996" s="248"/>
      <c r="C1996" s="248"/>
      <c r="D1996" s="248"/>
      <c r="E1996" s="248"/>
      <c r="F1996" s="248"/>
      <c r="G1996" s="248"/>
      <c r="I1996" s="248"/>
      <c r="J1996" s="248"/>
      <c r="K1996" s="248"/>
      <c r="L1996" s="248"/>
      <c r="M1996" s="248"/>
      <c r="N1996" s="248"/>
      <c r="P1996" s="248"/>
      <c r="Q1996" s="248"/>
    </row>
    <row r="1997">
      <c r="A1997" s="248"/>
      <c r="B1997" s="248"/>
      <c r="C1997" s="248"/>
      <c r="D1997" s="248"/>
      <c r="E1997" s="248"/>
      <c r="F1997" s="248"/>
      <c r="G1997" s="248"/>
      <c r="I1997" s="248"/>
      <c r="J1997" s="248"/>
      <c r="K1997" s="248"/>
      <c r="L1997" s="248"/>
      <c r="M1997" s="248"/>
      <c r="N1997" s="248"/>
      <c r="P1997" s="248"/>
      <c r="Q1997" s="248"/>
    </row>
    <row r="1998">
      <c r="A1998" s="248"/>
      <c r="B1998" s="248"/>
      <c r="C1998" s="248"/>
      <c r="D1998" s="248"/>
      <c r="E1998" s="248"/>
      <c r="F1998" s="248"/>
      <c r="G1998" s="248"/>
      <c r="I1998" s="248"/>
      <c r="J1998" s="248"/>
      <c r="K1998" s="248"/>
      <c r="L1998" s="248"/>
      <c r="M1998" s="248"/>
      <c r="N1998" s="248"/>
      <c r="P1998" s="248"/>
      <c r="Q1998" s="248"/>
    </row>
    <row r="1999">
      <c r="A1999" s="248"/>
      <c r="B1999" s="248"/>
      <c r="C1999" s="248"/>
      <c r="D1999" s="248"/>
      <c r="E1999" s="248"/>
      <c r="F1999" s="248"/>
      <c r="G1999" s="248"/>
      <c r="I1999" s="248"/>
      <c r="J1999" s="248"/>
      <c r="K1999" s="248"/>
      <c r="L1999" s="248"/>
      <c r="M1999" s="248"/>
      <c r="N1999" s="248"/>
      <c r="P1999" s="248"/>
      <c r="Q1999" s="248"/>
    </row>
    <row r="2000">
      <c r="A2000" s="248"/>
      <c r="B2000" s="248"/>
      <c r="C2000" s="248"/>
      <c r="D2000" s="248"/>
      <c r="E2000" s="248"/>
      <c r="F2000" s="248"/>
      <c r="G2000" s="248"/>
      <c r="I2000" s="248"/>
      <c r="J2000" s="248"/>
      <c r="K2000" s="248"/>
      <c r="L2000" s="248"/>
      <c r="M2000" s="248"/>
      <c r="N2000" s="248"/>
      <c r="P2000" s="248"/>
      <c r="Q2000" s="248"/>
    </row>
  </sheetData>
  <conditionalFormatting sqref="F2:F2000">
    <cfRule type="cellIs" dxfId="13" priority="1" stopIfTrue="1" operator="equal">
      <formula>"Vaqtida"</formula>
    </cfRule>
  </conditionalFormatting>
  <conditionalFormatting sqref="F2:F2000">
    <cfRule type="cellIs" dxfId="14" priority="2" stopIfTrue="1" operator="equal">
      <formula>"Kech qoldi"</formula>
    </cfRule>
  </conditionalFormatting>
  <conditionalFormatting sqref="F2:F2000">
    <cfRule type="cellIs" dxfId="15" priority="3" stopIfTrue="1" operator="equal">
      <formula>"Kelmadi"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4A3A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4" width="15.13"/>
    <col customWidth="1" min="5" max="5" width="3.13"/>
    <col customWidth="1" min="6" max="6" width="16.88"/>
    <col customWidth="1" min="7" max="7" width="7.63"/>
    <col customWidth="1" min="8" max="9" width="15.13"/>
    <col customWidth="1" min="10" max="10" width="23.88"/>
    <col customWidth="1" min="11" max="11" width="40.13"/>
  </cols>
  <sheetData>
    <row r="1" ht="36.0" customHeight="1">
      <c r="A1" s="250" t="s">
        <v>767</v>
      </c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>
      <c r="A3" s="251" t="s">
        <v>14</v>
      </c>
      <c r="B3" s="252">
        <v>46296.0</v>
      </c>
      <c r="C3" s="10" t="s">
        <v>15</v>
      </c>
      <c r="D3" s="252">
        <v>46326.0</v>
      </c>
      <c r="E3" s="253" t="s">
        <v>17</v>
      </c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2.5" customHeight="1">
      <c r="A5" s="254" t="s">
        <v>768</v>
      </c>
      <c r="B5" s="22"/>
      <c r="C5" s="255" t="s">
        <v>769</v>
      </c>
      <c r="D5" s="22"/>
      <c r="E5" s="256" t="s">
        <v>771</v>
      </c>
      <c r="F5" s="22"/>
      <c r="G5" s="257" t="s">
        <v>772</v>
      </c>
      <c r="I5" s="2"/>
      <c r="J5" s="2"/>
      <c r="K5" s="2"/>
      <c r="L5" s="2"/>
      <c r="M5" s="2"/>
      <c r="N5" s="2"/>
    </row>
    <row r="6" ht="31.5" customHeight="1">
      <c r="A6" s="258">
        <f>SUMIFS(Amallar!G:G,Amallar!K:K,"rahbarga",Amallar!F:F,"Chiqim",Amallar!Q:Q,"&lt;&gt;Ha",Amallar!B:B,"&gt;="&amp;$B$3,Amallar!B:B,"&lt;="&amp;$D$3)</f>
        <v>21893470</v>
      </c>
      <c r="B6" s="22"/>
      <c r="C6" s="259">
        <f>SUMIFS(Amallar!G:G,Amallar!K:K,"uy",Amallar!F:F,"Chiqim",Amallar!Q:Q,"&lt;&gt;Ha",Amallar!B:B,"&gt;="&amp;$B$3,Amallar!B:B,"&lt;="&amp;$D$3)</f>
        <v>18866170</v>
      </c>
      <c r="D6" s="22"/>
      <c r="E6" s="259">
        <f>A6+C6</f>
        <v>40759640</v>
      </c>
      <c r="F6" s="22"/>
      <c r="G6" s="259">
        <f>SUMIFS(Amallar!G:G,Amallar!K:K,"rahbarga",Amallar!F:F,"Chiqim",Amallar!Q:Q,"&lt;&gt;Ha")+SUMIFS(Amallar!G:G,Amallar!K:K,"uy",Amallar!F:F,"Chiqim",Amallar!Q:Q,"&lt;&gt;Ha")</f>
        <v>40759640</v>
      </c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22.5" customHeight="1">
      <c r="A8" s="260" t="s">
        <v>775</v>
      </c>
      <c r="B8" s="261"/>
      <c r="C8" s="261"/>
      <c r="D8" s="261"/>
      <c r="E8" s="261"/>
      <c r="F8" s="260" t="s">
        <v>776</v>
      </c>
      <c r="G8" s="261"/>
      <c r="H8" s="261"/>
      <c r="I8" s="261"/>
      <c r="J8" s="261"/>
      <c r="K8" s="261"/>
      <c r="L8" s="2"/>
      <c r="M8" s="2"/>
      <c r="N8" s="2"/>
    </row>
    <row r="9" ht="25.5" customHeight="1">
      <c r="A9" s="33" t="s">
        <v>207</v>
      </c>
      <c r="B9" s="33" t="s">
        <v>777</v>
      </c>
      <c r="C9" s="33" t="s">
        <v>778</v>
      </c>
      <c r="D9" s="33" t="s">
        <v>779</v>
      </c>
      <c r="E9" s="34"/>
      <c r="F9" s="33" t="s">
        <v>37</v>
      </c>
      <c r="G9" s="33" t="s">
        <v>41</v>
      </c>
      <c r="H9" s="33" t="s">
        <v>42</v>
      </c>
      <c r="I9" s="33" t="s">
        <v>38</v>
      </c>
      <c r="J9" s="33" t="s">
        <v>780</v>
      </c>
      <c r="K9" s="33" t="s">
        <v>44</v>
      </c>
      <c r="L9" s="2"/>
      <c r="M9" s="2"/>
      <c r="N9" s="2"/>
    </row>
    <row r="10" ht="18.0" customHeight="1">
      <c r="A10" s="262">
        <f>EDATE($B$3,-11)</f>
        <v>45962</v>
      </c>
      <c r="B10" s="263">
        <f>SUMIFS(Amallar!G:G,Amallar!K:K,"rahbarga",Amallar!F:F,"Chiqim",Amallar!Q:Q,"&lt;&gt;Ha",Amallar!B:B,"&gt;="&amp;$A10,Amallar!B:B,"&lt;="&amp;EOMONTH($A10,0))</f>
        <v>0</v>
      </c>
      <c r="C10" s="263">
        <f>SUMIFS(Amallar!G:G,Amallar!K:K,"uy",Amallar!F:F,"Chiqim",Amallar!Q:Q,"&lt;&gt;Ha",Amallar!B:B,"&gt;="&amp;$A10,Amallar!B:B,"&lt;="&amp;EOMONTH($A10,0))</f>
        <v>0</v>
      </c>
      <c r="D10" s="263">
        <f t="shared" ref="D10:D21" si="1">B10+C10</f>
        <v>0</v>
      </c>
      <c r="E10" s="2"/>
      <c r="F10" s="38">
        <f>IFERROR(__xludf.DUMMYFUNCTION("IFERROR(ARRAYFORMULA(SORT(FILTER({Amallar!B2:B600,Amallar!C2:C600,IF(Amallar!K2:K600=""uy"",""🏠 Uy uchun"",""👔 Shaxsiy""),Amallar!G2:G600,Amallar!E2:E600,Amallar!N2:N600},((Amallar!K2:K600=""rahbarga"")+(Amallar!K2:K600=""uy""))&gt;0,Amallar!F2:F600=""Chiq"&amp;"im"",Amallar!Q2:Q600&lt;&gt;""Ha"",Amallar!B2:B600&gt;=$B$3,Amallar!B2:B600&lt;=$D$3),1,FALSE,2,FALSE)),""— bu oyda yozuv yo'q"")"),46322.0)</f>
        <v>46322</v>
      </c>
      <c r="G10" s="42">
        <f>IFERROR(__xludf.DUMMYFUNCTION("""COMPUTED_VALUE"""),0.5881944444444445)</f>
        <v>0.5881944444</v>
      </c>
      <c r="H10" s="41" t="str">
        <f>IFERROR(__xludf.DUMMYFUNCTION("""COMPUTED_VALUE"""),"🏠 Uy uchun")</f>
        <v>🏠 Uy uchun</v>
      </c>
      <c r="I10" s="40">
        <f>IFERROR(__xludf.DUMMYFUNCTION("""COMPUTED_VALUE"""),3570000.0)</f>
        <v>3570000</v>
      </c>
      <c r="J10" s="41" t="str">
        <f>IFERROR(__xludf.DUMMYFUNCTION("""COMPUTED_VALUE"""),"МирМуxаммад Файзуллаев")</f>
        <v>МирМуxаммад Файзуллаев</v>
      </c>
      <c r="K10" s="41" t="str">
        <f>IFERROR(__xludf.DUMMYFUNCTION("""COMPUTED_VALUE"""),"uy uchun adamga")</f>
        <v>uy uchun adamga</v>
      </c>
      <c r="L10" s="2"/>
      <c r="M10" s="2"/>
      <c r="N10" s="2"/>
    </row>
    <row r="11" ht="18.0" customHeight="1">
      <c r="A11" s="262">
        <f>EDATE($B$3,-10)</f>
        <v>45992</v>
      </c>
      <c r="B11" s="263">
        <f>SUMIFS(Amallar!G:G,Amallar!K:K,"rahbarga",Amallar!F:F,"Chiqim",Amallar!Q:Q,"&lt;&gt;Ha",Amallar!B:B,"&gt;="&amp;$A11,Amallar!B:B,"&lt;="&amp;EOMONTH($A11,0))</f>
        <v>0</v>
      </c>
      <c r="C11" s="263">
        <f>SUMIFS(Amallar!G:G,Amallar!K:K,"uy",Amallar!F:F,"Chiqim",Amallar!Q:Q,"&lt;&gt;Ha",Amallar!B:B,"&gt;="&amp;$A11,Amallar!B:B,"&lt;="&amp;EOMONTH($A11,0))</f>
        <v>0</v>
      </c>
      <c r="D11" s="263">
        <f t="shared" si="1"/>
        <v>0</v>
      </c>
      <c r="E11" s="2"/>
      <c r="F11" s="38">
        <f>IFERROR(__xludf.DUMMYFUNCTION("""COMPUTED_VALUE"""),46321.0)</f>
        <v>46321</v>
      </c>
      <c r="G11" s="42">
        <f>IFERROR(__xludf.DUMMYFUNCTION("""COMPUTED_VALUE"""),0.8680555555555556)</f>
        <v>0.8680555556</v>
      </c>
      <c r="H11" s="41" t="str">
        <f>IFERROR(__xludf.DUMMYFUNCTION("""COMPUTED_VALUE"""),"🏠 Uy uchun")</f>
        <v>🏠 Uy uchun</v>
      </c>
      <c r="I11" s="40">
        <f>IFERROR(__xludf.DUMMYFUNCTION("""COMPUTED_VALUE"""),70000.0)</f>
        <v>70000</v>
      </c>
      <c r="J11" s="41" t="str">
        <f>IFERROR(__xludf.DUMMYFUNCTION("""COMPUTED_VALUE"""),"МирМуxаммад Файзуллаев")</f>
        <v>МирМуxаммад Файзуллаев</v>
      </c>
      <c r="K11" s="41" t="str">
        <f>IFERROR(__xludf.DUMMYFUNCTION("""COMPUTED_VALUE"""),"uy uchun")</f>
        <v>uy uchun</v>
      </c>
      <c r="L11" s="2"/>
      <c r="M11" s="2"/>
      <c r="N11" s="2"/>
    </row>
    <row r="12" ht="18.0" customHeight="1">
      <c r="A12" s="262">
        <f>EDATE($B$3,-9)</f>
        <v>46023</v>
      </c>
      <c r="B12" s="263">
        <f>SUMIFS(Amallar!G:G,Amallar!K:K,"rahbarga",Amallar!F:F,"Chiqim",Amallar!Q:Q,"&lt;&gt;Ha",Amallar!B:B,"&gt;="&amp;$A12,Amallar!B:B,"&lt;="&amp;EOMONTH($A12,0))</f>
        <v>0</v>
      </c>
      <c r="C12" s="263">
        <f>SUMIFS(Amallar!G:G,Amallar!K:K,"uy",Amallar!F:F,"Chiqim",Amallar!Q:Q,"&lt;&gt;Ha",Amallar!B:B,"&gt;="&amp;$A12,Amallar!B:B,"&lt;="&amp;EOMONTH($A12,0))</f>
        <v>0</v>
      </c>
      <c r="D12" s="263">
        <f t="shared" si="1"/>
        <v>0</v>
      </c>
      <c r="E12" s="2"/>
      <c r="F12" s="38">
        <f>IFERROR(__xludf.DUMMYFUNCTION("""COMPUTED_VALUE"""),46321.0)</f>
        <v>46321</v>
      </c>
      <c r="G12" s="42">
        <f>IFERROR(__xludf.DUMMYFUNCTION("""COMPUTED_VALUE"""),0.6979166666666666)</f>
        <v>0.6979166667</v>
      </c>
      <c r="H12" s="41" t="str">
        <f>IFERROR(__xludf.DUMMYFUNCTION("""COMPUTED_VALUE"""),"👔 Shaxsiy")</f>
        <v>👔 Shaxsiy</v>
      </c>
      <c r="I12" s="40">
        <f>IFERROR(__xludf.DUMMYFUNCTION("""COMPUTED_VALUE"""),800000.0)</f>
        <v>800000</v>
      </c>
      <c r="J12" s="41" t="str">
        <f>IFERROR(__xludf.DUMMYFUNCTION("""COMPUTED_VALUE"""),"МирМуxаммад Файзуллаев")</f>
        <v>МирМуxаммад Файзуллаев</v>
      </c>
      <c r="K12" s="41" t="str">
        <f>IFERROR(__xludf.DUMMYFUNCTION("""COMPUTED_VALUE"""),"shaxsiy xayriya")</f>
        <v>shaxsiy xayriya</v>
      </c>
      <c r="L12" s="2"/>
      <c r="M12" s="2"/>
      <c r="N12" s="2"/>
    </row>
    <row r="13" ht="18.0" customHeight="1">
      <c r="A13" s="262">
        <f>EDATE($B$3,-8)</f>
        <v>46054</v>
      </c>
      <c r="B13" s="263">
        <f>SUMIFS(Amallar!G:G,Amallar!K:K,"rahbarga",Amallar!F:F,"Chiqim",Amallar!Q:Q,"&lt;&gt;Ha",Amallar!B:B,"&gt;="&amp;$A13,Amallar!B:B,"&lt;="&amp;EOMONTH($A13,0))</f>
        <v>0</v>
      </c>
      <c r="C13" s="263">
        <f>SUMIFS(Amallar!G:G,Amallar!K:K,"uy",Amallar!F:F,"Chiqim",Amallar!Q:Q,"&lt;&gt;Ha",Amallar!B:B,"&gt;="&amp;$A13,Amallar!B:B,"&lt;="&amp;EOMONTH($A13,0))</f>
        <v>0</v>
      </c>
      <c r="D13" s="263">
        <f t="shared" si="1"/>
        <v>0</v>
      </c>
      <c r="E13" s="2"/>
      <c r="F13" s="38">
        <f>IFERROR(__xludf.DUMMYFUNCTION("""COMPUTED_VALUE"""),46321.0)</f>
        <v>46321</v>
      </c>
      <c r="G13" s="42">
        <f>IFERROR(__xludf.DUMMYFUNCTION("""COMPUTED_VALUE"""),0.68125)</f>
        <v>0.68125</v>
      </c>
      <c r="H13" s="41" t="str">
        <f>IFERROR(__xludf.DUMMYFUNCTION("""COMPUTED_VALUE"""),"👔 Shaxsiy")</f>
        <v>👔 Shaxsiy</v>
      </c>
      <c r="I13" s="40">
        <f>IFERROR(__xludf.DUMMYFUNCTION("""COMPUTED_VALUE"""),45000.0)</f>
        <v>45000</v>
      </c>
      <c r="J13" s="41" t="str">
        <f>IFERROR(__xludf.DUMMYFUNCTION("""COMPUTED_VALUE"""),"МирМуxаммад Файзуллаев")</f>
        <v>МирМуxаммад Файзуллаев</v>
      </c>
      <c r="K13" s="41" t="str">
        <f>IFERROR(__xludf.DUMMYFUNCTION("""COMPUTED_VALUE"""),"shaxsiy  obed")</f>
        <v>shaxsiy  obed</v>
      </c>
      <c r="L13" s="2"/>
      <c r="M13" s="2"/>
      <c r="N13" s="2"/>
    </row>
    <row r="14" ht="18.0" customHeight="1">
      <c r="A14" s="262">
        <f>EDATE($B$3,-7)</f>
        <v>46082</v>
      </c>
      <c r="B14" s="263">
        <f>SUMIFS(Amallar!G:G,Amallar!K:K,"rahbarga",Amallar!F:F,"Chiqim",Amallar!Q:Q,"&lt;&gt;Ha",Amallar!B:B,"&gt;="&amp;$A14,Amallar!B:B,"&lt;="&amp;EOMONTH($A14,0))</f>
        <v>0</v>
      </c>
      <c r="C14" s="263">
        <f>SUMIFS(Amallar!G:G,Amallar!K:K,"uy",Amallar!F:F,"Chiqim",Amallar!Q:Q,"&lt;&gt;Ha",Amallar!B:B,"&gt;="&amp;$A14,Amallar!B:B,"&lt;="&amp;EOMONTH($A14,0))</f>
        <v>0</v>
      </c>
      <c r="D14" s="263">
        <f t="shared" si="1"/>
        <v>0</v>
      </c>
      <c r="E14" s="2"/>
      <c r="F14" s="38">
        <f>IFERROR(__xludf.DUMMYFUNCTION("""COMPUTED_VALUE"""),46320.0)</f>
        <v>46320</v>
      </c>
      <c r="G14" s="42">
        <f>IFERROR(__xludf.DUMMYFUNCTION("""COMPUTED_VALUE"""),0.8479166666666667)</f>
        <v>0.8479166667</v>
      </c>
      <c r="H14" s="41" t="str">
        <f>IFERROR(__xludf.DUMMYFUNCTION("""COMPUTED_VALUE"""),"👔 Shaxsiy")</f>
        <v>👔 Shaxsiy</v>
      </c>
      <c r="I14" s="40">
        <f>IFERROR(__xludf.DUMMYFUNCTION("""COMPUTED_VALUE"""),250000.0)</f>
        <v>250000</v>
      </c>
      <c r="J14" s="41" t="str">
        <f>IFERROR(__xludf.DUMMYFUNCTION("""COMPUTED_VALUE"""),"МирМуxаммад Файзуллаев")</f>
        <v>МирМуxаммад Файзуллаев</v>
      </c>
      <c r="K14" s="41" t="str">
        <f>IFERROR(__xludf.DUMMYFUNCTION("""COMPUTED_VALUE"""),"shaxsiy fudboll")</f>
        <v>shaxsiy fudboll</v>
      </c>
      <c r="L14" s="2"/>
      <c r="M14" s="2"/>
      <c r="N14" s="2"/>
    </row>
    <row r="15" ht="18.0" customHeight="1">
      <c r="A15" s="262">
        <f>EDATE($B$3,-6)</f>
        <v>46113</v>
      </c>
      <c r="B15" s="263">
        <f>SUMIFS(Amallar!G:G,Amallar!K:K,"rahbarga",Amallar!F:F,"Chiqim",Amallar!Q:Q,"&lt;&gt;Ha",Amallar!B:B,"&gt;="&amp;$A15,Amallar!B:B,"&lt;="&amp;EOMONTH($A15,0))</f>
        <v>0</v>
      </c>
      <c r="C15" s="263">
        <f>SUMIFS(Amallar!G:G,Amallar!K:K,"uy",Amallar!F:F,"Chiqim",Amallar!Q:Q,"&lt;&gt;Ha",Amallar!B:B,"&gt;="&amp;$A15,Amallar!B:B,"&lt;="&amp;EOMONTH($A15,0))</f>
        <v>0</v>
      </c>
      <c r="D15" s="263">
        <f t="shared" si="1"/>
        <v>0</v>
      </c>
      <c r="E15" s="2"/>
      <c r="F15" s="38">
        <f>IFERROR(__xludf.DUMMYFUNCTION("""COMPUTED_VALUE"""),46320.0)</f>
        <v>46320</v>
      </c>
      <c r="G15" s="42">
        <f>IFERROR(__xludf.DUMMYFUNCTION("""COMPUTED_VALUE"""),0.7673611111111112)</f>
        <v>0.7673611111</v>
      </c>
      <c r="H15" s="41" t="str">
        <f>IFERROR(__xludf.DUMMYFUNCTION("""COMPUTED_VALUE"""),"🏠 Uy uchun")</f>
        <v>🏠 Uy uchun</v>
      </c>
      <c r="I15" s="40">
        <f>IFERROR(__xludf.DUMMYFUNCTION("""COMPUTED_VALUE"""),1350000.0)</f>
        <v>1350000</v>
      </c>
      <c r="J15" s="41" t="str">
        <f>IFERROR(__xludf.DUMMYFUNCTION("""COMPUTED_VALUE"""),"МирМуxаммад Файзуллаев")</f>
        <v>МирМуxаммад Файзуллаев</v>
      </c>
      <c r="K15" s="41" t="str">
        <f>IFERROR(__xludf.DUMMYFUNCTION("""COMPUTED_VALUE"""),"uy uchun")</f>
        <v>uy uchun</v>
      </c>
      <c r="L15" s="2"/>
      <c r="M15" s="2"/>
      <c r="N15" s="2"/>
    </row>
    <row r="16" ht="18.0" customHeight="1">
      <c r="A16" s="262">
        <f>EDATE($B$3,-5)</f>
        <v>46143</v>
      </c>
      <c r="B16" s="263">
        <f>SUMIFS(Amallar!G:G,Amallar!K:K,"rahbarga",Amallar!F:F,"Chiqim",Amallar!Q:Q,"&lt;&gt;Ha",Amallar!B:B,"&gt;="&amp;$A16,Amallar!B:B,"&lt;="&amp;EOMONTH($A16,0))</f>
        <v>0</v>
      </c>
      <c r="C16" s="263">
        <f>SUMIFS(Amallar!G:G,Amallar!K:K,"uy",Amallar!F:F,"Chiqim",Amallar!Q:Q,"&lt;&gt;Ha",Amallar!B:B,"&gt;="&amp;$A16,Amallar!B:B,"&lt;="&amp;EOMONTH($A16,0))</f>
        <v>0</v>
      </c>
      <c r="D16" s="263">
        <f t="shared" si="1"/>
        <v>0</v>
      </c>
      <c r="E16" s="2"/>
      <c r="F16" s="38">
        <f>IFERROR(__xludf.DUMMYFUNCTION("""COMPUTED_VALUE"""),46320.0)</f>
        <v>46320</v>
      </c>
      <c r="G16" s="42">
        <f>IFERROR(__xludf.DUMMYFUNCTION("""COMPUTED_VALUE"""),0.4173611111111111)</f>
        <v>0.4173611111</v>
      </c>
      <c r="H16" s="41" t="str">
        <f>IFERROR(__xludf.DUMMYFUNCTION("""COMPUTED_VALUE"""),"👔 Shaxsiy")</f>
        <v>👔 Shaxsiy</v>
      </c>
      <c r="I16" s="40">
        <f>IFERROR(__xludf.DUMMYFUNCTION("""COMPUTED_VALUE"""),45000.0)</f>
        <v>45000</v>
      </c>
      <c r="J16" s="41" t="str">
        <f>IFERROR(__xludf.DUMMYFUNCTION("""COMPUTED_VALUE"""),"°°•• Gafurov Islom ••°°")</f>
        <v>°°•• Gafurov Islom ••°°</v>
      </c>
      <c r="K16" s="41" t="str">
        <f>IFERROR(__xludf.DUMMYFUNCTION("""COMPUTED_VALUE"""),"Обед")</f>
        <v>Обед</v>
      </c>
      <c r="L16" s="2"/>
      <c r="M16" s="2"/>
      <c r="N16" s="2"/>
    </row>
    <row r="17" ht="18.0" customHeight="1">
      <c r="A17" s="262">
        <f>EDATE($B$3,-4)</f>
        <v>46174</v>
      </c>
      <c r="B17" s="263">
        <f>SUMIFS(Amallar!G:G,Amallar!K:K,"rahbarga",Amallar!F:F,"Chiqim",Amallar!Q:Q,"&lt;&gt;Ha",Amallar!B:B,"&gt;="&amp;$A17,Amallar!B:B,"&lt;="&amp;EOMONTH($A17,0))</f>
        <v>0</v>
      </c>
      <c r="C17" s="263">
        <f>SUMIFS(Amallar!G:G,Amallar!K:K,"uy",Amallar!F:F,"Chiqim",Amallar!Q:Q,"&lt;&gt;Ha",Amallar!B:B,"&gt;="&amp;$A17,Amallar!B:B,"&lt;="&amp;EOMONTH($A17,0))</f>
        <v>0</v>
      </c>
      <c r="D17" s="263">
        <f t="shared" si="1"/>
        <v>0</v>
      </c>
      <c r="E17" s="2"/>
      <c r="F17" s="38">
        <f>IFERROR(__xludf.DUMMYFUNCTION("""COMPUTED_VALUE"""),46320.0)</f>
        <v>46320</v>
      </c>
      <c r="G17" s="42">
        <f>IFERROR(__xludf.DUMMYFUNCTION("""COMPUTED_VALUE"""),0.38263888888888886)</f>
        <v>0.3826388889</v>
      </c>
      <c r="H17" s="41" t="str">
        <f>IFERROR(__xludf.DUMMYFUNCTION("""COMPUTED_VALUE"""),"🏠 Uy uchun")</f>
        <v>🏠 Uy uchun</v>
      </c>
      <c r="I17" s="40">
        <f>IFERROR(__xludf.DUMMYFUNCTION("""COMPUTED_VALUE"""),100000.0)</f>
        <v>100000</v>
      </c>
      <c r="J17" s="41" t="str">
        <f>IFERROR(__xludf.DUMMYFUNCTION("""COMPUTED_VALUE"""),"МирМуxаммад Файзуллаев")</f>
        <v>МирМуxаммад Файзуллаев</v>
      </c>
      <c r="K17" s="41" t="str">
        <f>IFERROR(__xludf.DUMMYFUNCTION("""COMPUTED_VALUE"""),"uy uchun svet")</f>
        <v>uy uchun svet</v>
      </c>
      <c r="L17" s="2"/>
      <c r="M17" s="2"/>
      <c r="N17" s="2"/>
    </row>
    <row r="18" ht="18.0" customHeight="1">
      <c r="A18" s="262">
        <f>EDATE($B$3,-3)</f>
        <v>46204</v>
      </c>
      <c r="B18" s="263">
        <f>SUMIFS(Amallar!G:G,Amallar!K:K,"rahbarga",Amallar!F:F,"Chiqim",Amallar!Q:Q,"&lt;&gt;Ha",Amallar!B:B,"&gt;="&amp;$A18,Amallar!B:B,"&lt;="&amp;EOMONTH($A18,0))</f>
        <v>0</v>
      </c>
      <c r="C18" s="263">
        <f>SUMIFS(Amallar!G:G,Amallar!K:K,"uy",Amallar!F:F,"Chiqim",Amallar!Q:Q,"&lt;&gt;Ha",Amallar!B:B,"&gt;="&amp;$A18,Amallar!B:B,"&lt;="&amp;EOMONTH($A18,0))</f>
        <v>0</v>
      </c>
      <c r="D18" s="263">
        <f t="shared" si="1"/>
        <v>0</v>
      </c>
      <c r="E18" s="2"/>
      <c r="F18" s="38">
        <f>IFERROR(__xludf.DUMMYFUNCTION("""COMPUTED_VALUE"""),46320.0)</f>
        <v>46320</v>
      </c>
      <c r="G18" s="42">
        <f>IFERROR(__xludf.DUMMYFUNCTION("""COMPUTED_VALUE"""),0.0)</f>
        <v>0</v>
      </c>
      <c r="H18" s="41" t="str">
        <f>IFERROR(__xludf.DUMMYFUNCTION("""COMPUTED_VALUE"""),"🏠 Uy uchun")</f>
        <v>🏠 Uy uchun</v>
      </c>
      <c r="I18" s="40">
        <f>IFERROR(__xludf.DUMMYFUNCTION("""COMPUTED_VALUE"""),140000.0)</f>
        <v>140000</v>
      </c>
      <c r="J18" s="41" t="str">
        <f>IFERROR(__xludf.DUMMYFUNCTION("""COMPUTED_VALUE"""),"МирМуxаммад Файзуллаев")</f>
        <v>МирМуxаммад Файзуллаев</v>
      </c>
      <c r="K18" s="41" t="str">
        <f>IFERROR(__xludf.DUMMYFUNCTION("""COMPUTED_VALUE"""),"uy uchun safia")</f>
        <v>uy uchun safia</v>
      </c>
      <c r="L18" s="2"/>
      <c r="M18" s="2"/>
      <c r="N18" s="2"/>
    </row>
    <row r="19" ht="18.0" customHeight="1">
      <c r="A19" s="262">
        <f>EDATE($B$3,-2)</f>
        <v>46235</v>
      </c>
      <c r="B19" s="263">
        <f>SUMIFS(Amallar!G:G,Amallar!K:K,"rahbarga",Amallar!F:F,"Chiqim",Amallar!Q:Q,"&lt;&gt;Ha",Amallar!B:B,"&gt;="&amp;$A19,Amallar!B:B,"&lt;="&amp;EOMONTH($A19,0))</f>
        <v>0</v>
      </c>
      <c r="C19" s="263">
        <f>SUMIFS(Amallar!G:G,Amallar!K:K,"uy",Amallar!F:F,"Chiqim",Amallar!Q:Q,"&lt;&gt;Ha",Amallar!B:B,"&gt;="&amp;$A19,Amallar!B:B,"&lt;="&amp;EOMONTH($A19,0))</f>
        <v>0</v>
      </c>
      <c r="D19" s="263">
        <f t="shared" si="1"/>
        <v>0</v>
      </c>
      <c r="E19" s="2"/>
      <c r="F19" s="38">
        <f>IFERROR(__xludf.DUMMYFUNCTION("""COMPUTED_VALUE"""),46320.0)</f>
        <v>46320</v>
      </c>
      <c r="G19" s="42">
        <f>IFERROR(__xludf.DUMMYFUNCTION("""COMPUTED_VALUE"""),0.0)</f>
        <v>0</v>
      </c>
      <c r="H19" s="41" t="str">
        <f>IFERROR(__xludf.DUMMYFUNCTION("""COMPUTED_VALUE"""),"👔 Shaxsiy")</f>
        <v>👔 Shaxsiy</v>
      </c>
      <c r="I19" s="40">
        <f>IFERROR(__xludf.DUMMYFUNCTION("""COMPUTED_VALUE"""),100000.0)</f>
        <v>100000</v>
      </c>
      <c r="J19" s="41" t="str">
        <f>IFERROR(__xludf.DUMMYFUNCTION("""COMPUTED_VALUE"""),"МирМуxаммад Файзуллаев")</f>
        <v>МирМуxаммад Файзуллаев</v>
      </c>
      <c r="K19" s="41" t="str">
        <f>IFERROR(__xludf.DUMMYFUNCTION("""COMPUTED_VALUE"""),"shaxsiy ujin")</f>
        <v>shaxsiy ujin</v>
      </c>
      <c r="L19" s="2"/>
      <c r="M19" s="2"/>
      <c r="N19" s="2"/>
    </row>
    <row r="20" ht="18.0" customHeight="1">
      <c r="A20" s="262">
        <f>EDATE($B$3,-1)</f>
        <v>46266</v>
      </c>
      <c r="B20" s="263">
        <f>SUMIFS(Amallar!G:G,Amallar!K:K,"rahbarga",Amallar!F:F,"Chiqim",Amallar!Q:Q,"&lt;&gt;Ha",Amallar!B:B,"&gt;="&amp;$A20,Amallar!B:B,"&lt;="&amp;EOMONTH($A20,0))</f>
        <v>0</v>
      </c>
      <c r="C20" s="263">
        <f>SUMIFS(Amallar!G:G,Amallar!K:K,"uy",Amallar!F:F,"Chiqim",Amallar!Q:Q,"&lt;&gt;Ha",Amallar!B:B,"&gt;="&amp;$A20,Amallar!B:B,"&lt;="&amp;EOMONTH($A20,0))</f>
        <v>0</v>
      </c>
      <c r="D20" s="263">
        <f t="shared" si="1"/>
        <v>0</v>
      </c>
      <c r="E20" s="2"/>
      <c r="F20" s="38">
        <f>IFERROR(__xludf.DUMMYFUNCTION("""COMPUTED_VALUE"""),46319.0)</f>
        <v>46319</v>
      </c>
      <c r="G20" s="42">
        <f>IFERROR(__xludf.DUMMYFUNCTION("""COMPUTED_VALUE"""),0.7736111111111111)</f>
        <v>0.7736111111</v>
      </c>
      <c r="H20" s="41" t="str">
        <f>IFERROR(__xludf.DUMMYFUNCTION("""COMPUTED_VALUE"""),"🏠 Uy uchun")</f>
        <v>🏠 Uy uchun</v>
      </c>
      <c r="I20" s="40">
        <f>IFERROR(__xludf.DUMMYFUNCTION("""COMPUTED_VALUE"""),180000.0)</f>
        <v>180000</v>
      </c>
      <c r="J20" s="41" t="str">
        <f>IFERROR(__xludf.DUMMYFUNCTION("""COMPUTED_VALUE"""),"МирМуxаммад Файзуллаев")</f>
        <v>МирМуxаммад Файзуллаев</v>
      </c>
      <c r="K20" s="41" t="str">
        <f>IFERROR(__xludf.DUMMYFUNCTION("""COMPUTED_VALUE"""),"uy uchun suvga")</f>
        <v>uy uchun suvga</v>
      </c>
      <c r="L20" s="2"/>
      <c r="M20" s="2"/>
      <c r="N20" s="2"/>
    </row>
    <row r="21" ht="18.0" customHeight="1">
      <c r="A21" s="265">
        <f>EDATE($B$3,0)</f>
        <v>46296</v>
      </c>
      <c r="B21" s="266">
        <f>SUMIFS(Amallar!G:G,Amallar!K:K,"rahbarga",Amallar!F:F,"Chiqim",Amallar!Q:Q,"&lt;&gt;Ha",Amallar!B:B,"&gt;="&amp;$A21,Amallar!B:B,"&lt;="&amp;EOMONTH($A21,0))</f>
        <v>21893470</v>
      </c>
      <c r="C21" s="266">
        <f>SUMIFS(Amallar!G:G,Amallar!K:K,"uy",Amallar!F:F,"Chiqim",Amallar!Q:Q,"&lt;&gt;Ha",Amallar!B:B,"&gt;="&amp;$A21,Amallar!B:B,"&lt;="&amp;EOMONTH($A21,0))</f>
        <v>18866170</v>
      </c>
      <c r="D21" s="266">
        <f t="shared" si="1"/>
        <v>40759640</v>
      </c>
      <c r="E21" s="2"/>
      <c r="F21" s="38">
        <f>IFERROR(__xludf.DUMMYFUNCTION("""COMPUTED_VALUE"""),46319.0)</f>
        <v>46319</v>
      </c>
      <c r="G21" s="42">
        <f>IFERROR(__xludf.DUMMYFUNCTION("""COMPUTED_VALUE"""),0.5069444444444444)</f>
        <v>0.5069444444</v>
      </c>
      <c r="H21" s="41" t="str">
        <f>IFERROR(__xludf.DUMMYFUNCTION("""COMPUTED_VALUE"""),"🏠 Uy uchun")</f>
        <v>🏠 Uy uchun</v>
      </c>
      <c r="I21" s="40">
        <f>IFERROR(__xludf.DUMMYFUNCTION("""COMPUTED_VALUE"""),1963500.0)</f>
        <v>1963500</v>
      </c>
      <c r="J21" s="41" t="str">
        <f>IFERROR(__xludf.DUMMYFUNCTION("""COMPUTED_VALUE"""),"МирМуxаммад Файзуллаев")</f>
        <v>МирМуxаммад Файзуллаев</v>
      </c>
      <c r="K21" s="41" t="str">
        <f>IFERROR(__xludf.DUMMYFUNCTION("""COMPUTED_VALUE"""),"uy uchun farangizga")</f>
        <v>uy uchun farangizga</v>
      </c>
      <c r="L21" s="2"/>
      <c r="M21" s="2"/>
      <c r="N21" s="2"/>
    </row>
    <row r="22" ht="18.0" customHeight="1">
      <c r="A22" s="2"/>
      <c r="B22" s="2"/>
      <c r="C22" s="2"/>
      <c r="D22" s="2"/>
      <c r="E22" s="2"/>
      <c r="F22" s="38">
        <f>IFERROR(__xludf.DUMMYFUNCTION("""COMPUTED_VALUE"""),46318.0)</f>
        <v>46318</v>
      </c>
      <c r="G22" s="42">
        <f>IFERROR(__xludf.DUMMYFUNCTION("""COMPUTED_VALUE"""),0.9534722222222223)</f>
        <v>0.9534722222</v>
      </c>
      <c r="H22" s="41" t="str">
        <f>IFERROR(__xludf.DUMMYFUNCTION("""COMPUTED_VALUE"""),"🏠 Uy uchun")</f>
        <v>🏠 Uy uchun</v>
      </c>
      <c r="I22" s="40">
        <f>IFERROR(__xludf.DUMMYFUNCTION("""COMPUTED_VALUE"""),180000.0)</f>
        <v>180000</v>
      </c>
      <c r="J22" s="41" t="str">
        <f>IFERROR(__xludf.DUMMYFUNCTION("""COMPUTED_VALUE"""),"МирМуxаммад Файзуллаев")</f>
        <v>МирМуxаммад Файзуллаев</v>
      </c>
      <c r="K22" s="41" t="str">
        <f>IFERROR(__xludf.DUMMYFUNCTION("""COMPUTED_VALUE"""),"uy uchun dori")</f>
        <v>uy uchun dori</v>
      </c>
      <c r="L22" s="2"/>
      <c r="M22" s="2"/>
      <c r="N22" s="2"/>
    </row>
    <row r="23" ht="18.0" customHeight="1">
      <c r="A23" s="2"/>
      <c r="B23" s="2"/>
      <c r="C23" s="2"/>
      <c r="D23" s="2"/>
      <c r="E23" s="2"/>
      <c r="F23" s="38">
        <f>IFERROR(__xludf.DUMMYFUNCTION("""COMPUTED_VALUE"""),46318.0)</f>
        <v>46318</v>
      </c>
      <c r="G23" s="42">
        <f>IFERROR(__xludf.DUMMYFUNCTION("""COMPUTED_VALUE"""),0.6590277777777778)</f>
        <v>0.6590277778</v>
      </c>
      <c r="H23" s="41" t="str">
        <f>IFERROR(__xludf.DUMMYFUNCTION("""COMPUTED_VALUE"""),"🏠 Uy uchun")</f>
        <v>🏠 Uy uchun</v>
      </c>
      <c r="I23" s="40">
        <f>IFERROR(__xludf.DUMMYFUNCTION("""COMPUTED_VALUE"""),600000.0)</f>
        <v>600000</v>
      </c>
      <c r="J23" s="41" t="str">
        <f>IFERROR(__xludf.DUMMYFUNCTION("""COMPUTED_VALUE"""),"МирМуxаммад Файзуллаев")</f>
        <v>МирМуxаммад Файзуллаев</v>
      </c>
      <c r="K23" s="41" t="str">
        <f>IFERROR(__xludf.DUMMYFUNCTION("""COMPUTED_VALUE"""),"uy uchun adamga")</f>
        <v>uy uchun adamga</v>
      </c>
      <c r="L23" s="2"/>
      <c r="M23" s="2"/>
      <c r="N23" s="2"/>
    </row>
    <row r="24" ht="18.0" customHeight="1">
      <c r="A24" s="2"/>
      <c r="B24" s="2"/>
      <c r="C24" s="2"/>
      <c r="D24" s="2"/>
      <c r="E24" s="2"/>
      <c r="F24" s="38">
        <f>IFERROR(__xludf.DUMMYFUNCTION("""COMPUTED_VALUE"""),46318.0)</f>
        <v>46318</v>
      </c>
      <c r="G24" s="42">
        <f>IFERROR(__xludf.DUMMYFUNCTION("""COMPUTED_VALUE"""),0.6590277777777778)</f>
        <v>0.6590277778</v>
      </c>
      <c r="H24" s="41" t="str">
        <f>IFERROR(__xludf.DUMMYFUNCTION("""COMPUTED_VALUE"""),"👔 Shaxsiy")</f>
        <v>👔 Shaxsiy</v>
      </c>
      <c r="I24" s="40">
        <f>IFERROR(__xludf.DUMMYFUNCTION("""COMPUTED_VALUE"""),50000.0)</f>
        <v>50000</v>
      </c>
      <c r="J24" s="41" t="str">
        <f>IFERROR(__xludf.DUMMYFUNCTION("""COMPUTED_VALUE"""),"МирМуxаммад Файзуллаев")</f>
        <v>МирМуxаммад Файзуллаев</v>
      </c>
      <c r="K24" s="41" t="str">
        <f>IFERROR(__xludf.DUMMYFUNCTION("""COMPUTED_VALUE"""),"shaxsiy obed")</f>
        <v>shaxsiy obed</v>
      </c>
      <c r="L24" s="2"/>
      <c r="M24" s="2"/>
      <c r="N24" s="2"/>
    </row>
    <row r="25" ht="18.0" customHeight="1">
      <c r="A25" s="2"/>
      <c r="B25" s="2"/>
      <c r="C25" s="2"/>
      <c r="D25" s="2"/>
      <c r="E25" s="2"/>
      <c r="F25" s="38">
        <f>IFERROR(__xludf.DUMMYFUNCTION("""COMPUTED_VALUE"""),46318.0)</f>
        <v>46318</v>
      </c>
      <c r="G25" s="42">
        <f>IFERROR(__xludf.DUMMYFUNCTION("""COMPUTED_VALUE"""),0.48333333333333334)</f>
        <v>0.4833333333</v>
      </c>
      <c r="H25" s="41" t="str">
        <f>IFERROR(__xludf.DUMMYFUNCTION("""COMPUTED_VALUE"""),"🏠 Uy uchun")</f>
        <v>🏠 Uy uchun</v>
      </c>
      <c r="I25" s="40">
        <f>IFERROR(__xludf.DUMMYFUNCTION("""COMPUTED_VALUE"""),400000.0)</f>
        <v>400000</v>
      </c>
      <c r="J25" s="41" t="str">
        <f>IFERROR(__xludf.DUMMYFUNCTION("""COMPUTED_VALUE"""),"МирМуxаммад Файзуллаев")</f>
        <v>МирМуxаммад Файзуллаев</v>
      </c>
      <c r="K25" s="41" t="str">
        <f>IFERROR(__xludf.DUMMYFUNCTION("""COMPUTED_VALUE"""),"uy uchun dori")</f>
        <v>uy uchun dori</v>
      </c>
      <c r="L25" s="2"/>
      <c r="M25" s="2"/>
      <c r="N25" s="2"/>
    </row>
    <row r="26" ht="18.0" customHeight="1">
      <c r="A26" s="2"/>
      <c r="B26" s="2"/>
      <c r="C26" s="2"/>
      <c r="D26" s="2"/>
      <c r="E26" s="2"/>
      <c r="F26" s="38">
        <f>IFERROR(__xludf.DUMMYFUNCTION("""COMPUTED_VALUE"""),46317.0)</f>
        <v>46317</v>
      </c>
      <c r="G26" s="42">
        <f>IFERROR(__xludf.DUMMYFUNCTION("""COMPUTED_VALUE"""),0.8493055555555555)</f>
        <v>0.8493055556</v>
      </c>
      <c r="H26" s="41" t="str">
        <f>IFERROR(__xludf.DUMMYFUNCTION("""COMPUTED_VALUE"""),"🏠 Uy uchun")</f>
        <v>🏠 Uy uchun</v>
      </c>
      <c r="I26" s="40">
        <f>IFERROR(__xludf.DUMMYFUNCTION("""COMPUTED_VALUE"""),380000.0)</f>
        <v>380000</v>
      </c>
      <c r="J26" s="41" t="str">
        <f>IFERROR(__xludf.DUMMYFUNCTION("""COMPUTED_VALUE"""),"МирМуxаммад Файзуллаев")</f>
        <v>МирМуxаммад Файзуллаев</v>
      </c>
      <c r="K26" s="41" t="str">
        <f>IFERROR(__xludf.DUMMYFUNCTION("""COMPUTED_VALUE"""),"uy uchun kasha")</f>
        <v>uy uchun kasha</v>
      </c>
      <c r="L26" s="2"/>
      <c r="M26" s="2"/>
      <c r="N26" s="2"/>
    </row>
    <row r="27" ht="18.0" customHeight="1">
      <c r="A27" s="2"/>
      <c r="B27" s="2"/>
      <c r="C27" s="2"/>
      <c r="D27" s="2"/>
      <c r="E27" s="2"/>
      <c r="F27" s="38">
        <f>IFERROR(__xludf.DUMMYFUNCTION("""COMPUTED_VALUE"""),46317.0)</f>
        <v>46317</v>
      </c>
      <c r="G27" s="42">
        <f>IFERROR(__xludf.DUMMYFUNCTION("""COMPUTED_VALUE"""),0.7409722222222223)</f>
        <v>0.7409722222</v>
      </c>
      <c r="H27" s="41" t="str">
        <f>IFERROR(__xludf.DUMMYFUNCTION("""COMPUTED_VALUE"""),"👔 Shaxsiy")</f>
        <v>👔 Shaxsiy</v>
      </c>
      <c r="I27" s="40">
        <f>IFERROR(__xludf.DUMMYFUNCTION("""COMPUTED_VALUE"""),70000.0)</f>
        <v>70000</v>
      </c>
      <c r="J27" s="41" t="str">
        <f>IFERROR(__xludf.DUMMYFUNCTION("""COMPUTED_VALUE"""),"МирМуxаммад Файзуллаев")</f>
        <v>МирМуxаммад Файзуллаев</v>
      </c>
      <c r="K27" s="41" t="str">
        <f>IFERROR(__xludf.DUMMYFUNCTION("""COMPUTED_VALUE"""),"shaxsiy obed")</f>
        <v>shaxsiy obed</v>
      </c>
      <c r="L27" s="2"/>
      <c r="M27" s="2"/>
      <c r="N27" s="2"/>
    </row>
    <row r="28" ht="18.0" customHeight="1">
      <c r="A28" s="2"/>
      <c r="B28" s="2"/>
      <c r="C28" s="2"/>
      <c r="D28" s="2"/>
      <c r="E28" s="2"/>
      <c r="F28" s="38">
        <f>IFERROR(__xludf.DUMMYFUNCTION("""COMPUTED_VALUE"""),46316.0)</f>
        <v>46316</v>
      </c>
      <c r="G28" s="42">
        <f>IFERROR(__xludf.DUMMYFUNCTION("""COMPUTED_VALUE"""),0.9208333333333333)</f>
        <v>0.9208333333</v>
      </c>
      <c r="H28" s="41" t="str">
        <f>IFERROR(__xludf.DUMMYFUNCTION("""COMPUTED_VALUE"""),"🏠 Uy uchun")</f>
        <v>🏠 Uy uchun</v>
      </c>
      <c r="I28" s="40">
        <f>IFERROR(__xludf.DUMMYFUNCTION("""COMPUTED_VALUE"""),140000.0)</f>
        <v>140000</v>
      </c>
      <c r="J28" s="41" t="str">
        <f>IFERROR(__xludf.DUMMYFUNCTION("""COMPUTED_VALUE"""),"МирМуxаммад Файзуллаев")</f>
        <v>МирМуxаммад Файзуллаев</v>
      </c>
      <c r="K28" s="41" t="str">
        <f>IFERROR(__xludf.DUMMYFUNCTION("""COMPUTED_VALUE"""),"uy uchun")</f>
        <v>uy uchun</v>
      </c>
      <c r="L28" s="2"/>
      <c r="M28" s="2"/>
      <c r="N28" s="2"/>
    </row>
    <row r="29" ht="18.0" customHeight="1">
      <c r="A29" s="2"/>
      <c r="B29" s="2"/>
      <c r="C29" s="2"/>
      <c r="D29" s="2"/>
      <c r="E29" s="2"/>
      <c r="F29" s="38">
        <f>IFERROR(__xludf.DUMMYFUNCTION("""COMPUTED_VALUE"""),46316.0)</f>
        <v>46316</v>
      </c>
      <c r="G29" s="42">
        <f>IFERROR(__xludf.DUMMYFUNCTION("""COMPUTED_VALUE"""),0.7597222222222222)</f>
        <v>0.7597222222</v>
      </c>
      <c r="H29" s="41" t="str">
        <f>IFERROR(__xludf.DUMMYFUNCTION("""COMPUTED_VALUE"""),"👔 Shaxsiy")</f>
        <v>👔 Shaxsiy</v>
      </c>
      <c r="I29" s="40">
        <f>IFERROR(__xludf.DUMMYFUNCTION("""COMPUTED_VALUE"""),35000.0)</f>
        <v>35000</v>
      </c>
      <c r="J29" s="41" t="str">
        <f>IFERROR(__xludf.DUMMYFUNCTION("""COMPUTED_VALUE"""),"°°•• Gafurov Islom ••°°")</f>
        <v>°°•• Gafurov Islom ••°°</v>
      </c>
      <c r="K29" s="41" t="str">
        <f>IFERROR(__xludf.DUMMYFUNCTION("""COMPUTED_VALUE"""),"Обед")</f>
        <v>Обед</v>
      </c>
      <c r="L29" s="2"/>
      <c r="M29" s="2"/>
      <c r="N29" s="2"/>
    </row>
    <row r="30" ht="18.0" customHeight="1">
      <c r="A30" s="2"/>
      <c r="B30" s="2"/>
      <c r="C30" s="2"/>
      <c r="D30" s="2"/>
      <c r="E30" s="2"/>
      <c r="F30" s="38">
        <f>IFERROR(__xludf.DUMMYFUNCTION("""COMPUTED_VALUE"""),46316.0)</f>
        <v>46316</v>
      </c>
      <c r="G30" s="42">
        <f>IFERROR(__xludf.DUMMYFUNCTION("""COMPUTED_VALUE"""),0.6041666666666666)</f>
        <v>0.6041666667</v>
      </c>
      <c r="H30" s="41" t="str">
        <f>IFERROR(__xludf.DUMMYFUNCTION("""COMPUTED_VALUE"""),"🏠 Uy uchun")</f>
        <v>🏠 Uy uchun</v>
      </c>
      <c r="I30" s="40">
        <f>IFERROR(__xludf.DUMMYFUNCTION("""COMPUTED_VALUE"""),125000.0)</f>
        <v>125000</v>
      </c>
      <c r="J30" s="41" t="str">
        <f>IFERROR(__xludf.DUMMYFUNCTION("""COMPUTED_VALUE"""),"МирМуxаммад Файзуллаев")</f>
        <v>МирМуxаммад Файзуллаев</v>
      </c>
      <c r="K30" s="41" t="str">
        <f>IFERROR(__xludf.DUMMYFUNCTION("""COMPUTED_VALUE"""),"uy uchun")</f>
        <v>uy uchun</v>
      </c>
      <c r="L30" s="2"/>
      <c r="M30" s="2"/>
      <c r="N30" s="2"/>
    </row>
    <row r="31" ht="18.0" customHeight="1">
      <c r="A31" s="2"/>
      <c r="B31" s="2"/>
      <c r="C31" s="2"/>
      <c r="D31" s="2"/>
      <c r="E31" s="2"/>
      <c r="F31" s="38">
        <f>IFERROR(__xludf.DUMMYFUNCTION("""COMPUTED_VALUE"""),46316.0)</f>
        <v>46316</v>
      </c>
      <c r="G31" s="42">
        <f>IFERROR(__xludf.DUMMYFUNCTION("""COMPUTED_VALUE"""),0.48819444444444443)</f>
        <v>0.4881944444</v>
      </c>
      <c r="H31" s="41" t="str">
        <f>IFERROR(__xludf.DUMMYFUNCTION("""COMPUTED_VALUE"""),"🏠 Uy uchun")</f>
        <v>🏠 Uy uchun</v>
      </c>
      <c r="I31" s="40">
        <f>IFERROR(__xludf.DUMMYFUNCTION("""COMPUTED_VALUE"""),250000.0)</f>
        <v>250000</v>
      </c>
      <c r="J31" s="41" t="str">
        <f>IFERROR(__xludf.DUMMYFUNCTION("""COMPUTED_VALUE"""),"МирМуxаммад Файзуллаев")</f>
        <v>МирМуxаммад Файзуллаев</v>
      </c>
      <c r="K31" s="41" t="str">
        <f>IFERROR(__xludf.DUMMYFUNCTION("""COMPUTED_VALUE"""),"uy uchun")</f>
        <v>uy uchun</v>
      </c>
      <c r="L31" s="2"/>
      <c r="M31" s="2"/>
      <c r="N31" s="2"/>
    </row>
    <row r="32" ht="18.0" customHeight="1">
      <c r="A32" s="2"/>
      <c r="B32" s="2"/>
      <c r="C32" s="2"/>
      <c r="D32" s="2"/>
      <c r="E32" s="2"/>
      <c r="F32" s="38">
        <f>IFERROR(__xludf.DUMMYFUNCTION("""COMPUTED_VALUE"""),46316.0)</f>
        <v>46316</v>
      </c>
      <c r="G32" s="42">
        <f>IFERROR(__xludf.DUMMYFUNCTION("""COMPUTED_VALUE"""),0.058333333333333334)</f>
        <v>0.05833333333</v>
      </c>
      <c r="H32" s="41" t="str">
        <f>IFERROR(__xludf.DUMMYFUNCTION("""COMPUTED_VALUE"""),"👔 Shaxsiy")</f>
        <v>👔 Shaxsiy</v>
      </c>
      <c r="I32" s="40">
        <f>IFERROR(__xludf.DUMMYFUNCTION("""COMPUTED_VALUE"""),390.0)</f>
        <v>390</v>
      </c>
      <c r="J32" s="41" t="str">
        <f>IFERROR(__xludf.DUMMYFUNCTION("""COMPUTED_VALUE"""),"МирМуxаммад Файзуллаев")</f>
        <v>МирМуxаммад Файзуллаев</v>
      </c>
      <c r="K32" s="41" t="str">
        <f>IFERROR(__xludf.DUMMYFUNCTION("""COMPUTED_VALUE"""),"mind shaxsiy ujin")</f>
        <v>mind shaxsiy ujin</v>
      </c>
      <c r="L32" s="2"/>
      <c r="M32" s="2"/>
      <c r="N32" s="2"/>
    </row>
    <row r="33" ht="18.0" customHeight="1">
      <c r="A33" s="2"/>
      <c r="B33" s="2"/>
      <c r="C33" s="2"/>
      <c r="D33" s="2"/>
      <c r="E33" s="2"/>
      <c r="F33" s="38">
        <f>IFERROR(__xludf.DUMMYFUNCTION("""COMPUTED_VALUE"""),46315.0)</f>
        <v>46315</v>
      </c>
      <c r="G33" s="42">
        <f>IFERROR(__xludf.DUMMYFUNCTION("""COMPUTED_VALUE"""),0.39861111111111114)</f>
        <v>0.3986111111</v>
      </c>
      <c r="H33" s="41" t="str">
        <f>IFERROR(__xludf.DUMMYFUNCTION("""COMPUTED_VALUE"""),"🏠 Uy uchun")</f>
        <v>🏠 Uy uchun</v>
      </c>
      <c r="I33" s="40">
        <f>IFERROR(__xludf.DUMMYFUNCTION("""COMPUTED_VALUE"""),550000.0)</f>
        <v>550000</v>
      </c>
      <c r="J33" s="41" t="str">
        <f>IFERROR(__xludf.DUMMYFUNCTION("""COMPUTED_VALUE"""),"МирМуxаммад Файзуллаев")</f>
        <v>МирМуxаммад Файзуллаев</v>
      </c>
      <c r="K33" s="41" t="str">
        <f>IFERROR(__xludf.DUMMYFUNCTION("""COMPUTED_VALUE"""),"uy uchun")</f>
        <v>uy uchun</v>
      </c>
      <c r="L33" s="2"/>
      <c r="M33" s="2"/>
      <c r="N33" s="2"/>
    </row>
    <row r="34" ht="18.0" customHeight="1">
      <c r="A34" s="2"/>
      <c r="B34" s="2"/>
      <c r="C34" s="2"/>
      <c r="D34" s="2"/>
      <c r="E34" s="2"/>
      <c r="F34" s="38">
        <f>IFERROR(__xludf.DUMMYFUNCTION("""COMPUTED_VALUE"""),46314.0)</f>
        <v>46314</v>
      </c>
      <c r="G34" s="42">
        <f>IFERROR(__xludf.DUMMYFUNCTION("""COMPUTED_VALUE"""),0.9145833333333333)</f>
        <v>0.9145833333</v>
      </c>
      <c r="H34" s="41" t="str">
        <f>IFERROR(__xludf.DUMMYFUNCTION("""COMPUTED_VALUE"""),"👔 Shaxsiy")</f>
        <v>👔 Shaxsiy</v>
      </c>
      <c r="I34" s="40">
        <f>IFERROR(__xludf.DUMMYFUNCTION("""COMPUTED_VALUE"""),340000.0)</f>
        <v>340000</v>
      </c>
      <c r="J34" s="41" t="str">
        <f>IFERROR(__xludf.DUMMYFUNCTION("""COMPUTED_VALUE"""),"МирМуxаммад Файзуллаев")</f>
        <v>МирМуxаммад Файзуллаев</v>
      </c>
      <c r="K34" s="41" t="str">
        <f>IFERROR(__xludf.DUMMYFUNCTION("""COMPUTED_VALUE"""),"shaxsiy zaryadka uy bozor")</f>
        <v>shaxsiy zaryadka uy bozor</v>
      </c>
      <c r="L34" s="2"/>
      <c r="M34" s="2"/>
      <c r="N34" s="2"/>
    </row>
    <row r="35" ht="18.0" customHeight="1">
      <c r="A35" s="2"/>
      <c r="B35" s="2"/>
      <c r="C35" s="2"/>
      <c r="D35" s="2"/>
      <c r="E35" s="2"/>
      <c r="F35" s="38">
        <f>IFERROR(__xludf.DUMMYFUNCTION("""COMPUTED_VALUE"""),46314.0)</f>
        <v>46314</v>
      </c>
      <c r="G35" s="42">
        <f>IFERROR(__xludf.DUMMYFUNCTION("""COMPUTED_VALUE"""),0.73125)</f>
        <v>0.73125</v>
      </c>
      <c r="H35" s="41" t="str">
        <f>IFERROR(__xludf.DUMMYFUNCTION("""COMPUTED_VALUE"""),"🏠 Uy uchun")</f>
        <v>🏠 Uy uchun</v>
      </c>
      <c r="I35" s="40">
        <f>IFERROR(__xludf.DUMMYFUNCTION("""COMPUTED_VALUE"""),600000.0)</f>
        <v>600000</v>
      </c>
      <c r="J35" s="41" t="str">
        <f>IFERROR(__xludf.DUMMYFUNCTION("""COMPUTED_VALUE"""),"МирМуxаммад Файзуллаев")</f>
        <v>МирМуxаммад Файзуллаев</v>
      </c>
      <c r="K35" s="41" t="str">
        <f>IFERROR(__xludf.DUMMYFUNCTION("""COMPUTED_VALUE"""),"uy uchun adamga")</f>
        <v>uy uchun adamga</v>
      </c>
      <c r="L35" s="2"/>
      <c r="M35" s="2"/>
      <c r="N35" s="2"/>
    </row>
    <row r="36" ht="18.0" customHeight="1">
      <c r="A36" s="2"/>
      <c r="B36" s="2"/>
      <c r="C36" s="2"/>
      <c r="D36" s="2"/>
      <c r="E36" s="2"/>
      <c r="F36" s="38">
        <f>IFERROR(__xludf.DUMMYFUNCTION("""COMPUTED_VALUE"""),46314.0)</f>
        <v>46314</v>
      </c>
      <c r="G36" s="42">
        <f>IFERROR(__xludf.DUMMYFUNCTION("""COMPUTED_VALUE"""),0.6284722222222222)</f>
        <v>0.6284722222</v>
      </c>
      <c r="H36" s="41" t="str">
        <f>IFERROR(__xludf.DUMMYFUNCTION("""COMPUTED_VALUE"""),"🏠 Uy uchun")</f>
        <v>🏠 Uy uchun</v>
      </c>
      <c r="I36" s="40">
        <f>IFERROR(__xludf.DUMMYFUNCTION("""COMPUTED_VALUE"""),200000.0)</f>
        <v>200000</v>
      </c>
      <c r="J36" s="41" t="str">
        <f>IFERROR(__xludf.DUMMYFUNCTION("""COMPUTED_VALUE"""),"МирМуxаммад Файзуллаев")</f>
        <v>МирМуxаммад Файзуллаев</v>
      </c>
      <c r="K36" s="41" t="str">
        <f>IFERROR(__xludf.DUMMYFUNCTION("""COMPUTED_VALUE"""),"uy uchun domla")</f>
        <v>uy uchun domla</v>
      </c>
      <c r="L36" s="2"/>
      <c r="M36" s="2"/>
      <c r="N36" s="2"/>
    </row>
    <row r="37" ht="18.0" customHeight="1">
      <c r="A37" s="2"/>
      <c r="B37" s="2"/>
      <c r="C37" s="2"/>
      <c r="D37" s="2"/>
      <c r="E37" s="2"/>
      <c r="F37" s="38">
        <f>IFERROR(__xludf.DUMMYFUNCTION("""COMPUTED_VALUE"""),46313.0)</f>
        <v>46313</v>
      </c>
      <c r="G37" s="42">
        <f>IFERROR(__xludf.DUMMYFUNCTION("""COMPUTED_VALUE"""),0.9423611111111111)</f>
        <v>0.9423611111</v>
      </c>
      <c r="H37" s="41" t="str">
        <f>IFERROR(__xludf.DUMMYFUNCTION("""COMPUTED_VALUE"""),"👔 Shaxsiy")</f>
        <v>👔 Shaxsiy</v>
      </c>
      <c r="I37" s="40">
        <f>IFERROR(__xludf.DUMMYFUNCTION("""COMPUTED_VALUE"""),50000.0)</f>
        <v>50000</v>
      </c>
      <c r="J37" s="41" t="str">
        <f>IFERROR(__xludf.DUMMYFUNCTION("""COMPUTED_VALUE"""),"МирМуxаммад Файзуллаев")</f>
        <v>МирМуxаммад Файзуллаев</v>
      </c>
      <c r="K37" s="41" t="str">
        <f>IFERROR(__xludf.DUMMYFUNCTION("""COMPUTED_VALUE"""),"shaxsiy bolla bilan")</f>
        <v>shaxsiy bolla bilan</v>
      </c>
      <c r="L37" s="2"/>
      <c r="M37" s="2"/>
      <c r="N37" s="2"/>
    </row>
    <row r="38" ht="18.0" customHeight="1">
      <c r="A38" s="2"/>
      <c r="B38" s="2"/>
      <c r="C38" s="2"/>
      <c r="D38" s="2"/>
      <c r="E38" s="2"/>
      <c r="F38" s="38">
        <f>IFERROR(__xludf.DUMMYFUNCTION("""COMPUTED_VALUE"""),46313.0)</f>
        <v>46313</v>
      </c>
      <c r="G38" s="42">
        <f>IFERROR(__xludf.DUMMYFUNCTION("""COMPUTED_VALUE"""),0.6388888888888888)</f>
        <v>0.6388888889</v>
      </c>
      <c r="H38" s="41" t="str">
        <f>IFERROR(__xludf.DUMMYFUNCTION("""COMPUTED_VALUE"""),"🏠 Uy uchun")</f>
        <v>🏠 Uy uchun</v>
      </c>
      <c r="I38" s="40">
        <f>IFERROR(__xludf.DUMMYFUNCTION("""COMPUTED_VALUE"""),280000.0)</f>
        <v>280000</v>
      </c>
      <c r="J38" s="41" t="str">
        <f>IFERROR(__xludf.DUMMYFUNCTION("""COMPUTED_VALUE"""),"МирМуxаммад Файзуллаев")</f>
        <v>МирМуxаммад Файзуллаев</v>
      </c>
      <c r="K38" s="41" t="str">
        <f>IFERROR(__xludf.DUMMYFUNCTION("""COMPUTED_VALUE"""),"uy uchun safia")</f>
        <v>uy uchun safia</v>
      </c>
      <c r="L38" s="2"/>
      <c r="M38" s="2"/>
      <c r="N38" s="2"/>
    </row>
    <row r="39" ht="18.0" customHeight="1">
      <c r="A39" s="2"/>
      <c r="B39" s="2"/>
      <c r="C39" s="2"/>
      <c r="D39" s="2"/>
      <c r="E39" s="2"/>
      <c r="F39" s="38">
        <f>IFERROR(__xludf.DUMMYFUNCTION("""COMPUTED_VALUE"""),46313.0)</f>
        <v>46313</v>
      </c>
      <c r="G39" s="42">
        <f>IFERROR(__xludf.DUMMYFUNCTION("""COMPUTED_VALUE"""),0.6375)</f>
        <v>0.6375</v>
      </c>
      <c r="H39" s="41" t="str">
        <f>IFERROR(__xludf.DUMMYFUNCTION("""COMPUTED_VALUE"""),"👔 Shaxsiy")</f>
        <v>👔 Shaxsiy</v>
      </c>
      <c r="I39" s="40">
        <f>IFERROR(__xludf.DUMMYFUNCTION("""COMPUTED_VALUE"""),1.446708E7)</f>
        <v>14467080</v>
      </c>
      <c r="J39" s="41" t="str">
        <f>IFERROR(__xludf.DUMMYFUNCTION("""COMPUTED_VALUE"""),"МирМуxаммад Файзуллаев")</f>
        <v>МирМуxаммад Файзуллаев</v>
      </c>
      <c r="K39" s="41" t="str">
        <f>IFERROR(__xludf.DUMMYFUNCTION("""COMPUTED_VALUE"""),"shaxsiy moshinaga A")</f>
        <v>shaxsiy moshinaga A</v>
      </c>
      <c r="L39" s="2"/>
      <c r="M39" s="2"/>
      <c r="N39" s="2"/>
    </row>
    <row r="40" ht="18.0" customHeight="1">
      <c r="A40" s="2"/>
      <c r="B40" s="2"/>
      <c r="C40" s="2"/>
      <c r="D40" s="2"/>
      <c r="E40" s="2"/>
      <c r="F40" s="38">
        <f>IFERROR(__xludf.DUMMYFUNCTION("""COMPUTED_VALUE"""),46313.0)</f>
        <v>46313</v>
      </c>
      <c r="G40" s="42">
        <f>IFERROR(__xludf.DUMMYFUNCTION("""COMPUTED_VALUE"""),0.04027777777777778)</f>
        <v>0.04027777778</v>
      </c>
      <c r="H40" s="41" t="str">
        <f>IFERROR(__xludf.DUMMYFUNCTION("""COMPUTED_VALUE"""),"👔 Shaxsiy")</f>
        <v>👔 Shaxsiy</v>
      </c>
      <c r="I40" s="40">
        <f>IFERROR(__xludf.DUMMYFUNCTION("""COMPUTED_VALUE"""),200000.0)</f>
        <v>200000</v>
      </c>
      <c r="J40" s="41" t="str">
        <f>IFERROR(__xludf.DUMMYFUNCTION("""COMPUTED_VALUE"""),"МирМуxаммад Файзуллаев")</f>
        <v>МирМуxаммад Файзуллаев</v>
      </c>
      <c r="K40" s="41" t="str">
        <f>IFERROR(__xludf.DUMMYFUNCTION("""COMPUTED_VALUE"""),"shaxsiy ujin")</f>
        <v>shaxsiy ujin</v>
      </c>
      <c r="L40" s="2"/>
      <c r="M40" s="2"/>
      <c r="N40" s="2"/>
    </row>
    <row r="41" ht="18.0" customHeight="1">
      <c r="A41" s="2"/>
      <c r="B41" s="2"/>
      <c r="C41" s="2"/>
      <c r="D41" s="2"/>
      <c r="E41" s="2"/>
      <c r="F41" s="38">
        <f>IFERROR(__xludf.DUMMYFUNCTION("""COMPUTED_VALUE"""),46312.0)</f>
        <v>46312</v>
      </c>
      <c r="G41" s="42">
        <f>IFERROR(__xludf.DUMMYFUNCTION("""COMPUTED_VALUE"""),0.8152777777777778)</f>
        <v>0.8152777778</v>
      </c>
      <c r="H41" s="41" t="str">
        <f>IFERROR(__xludf.DUMMYFUNCTION("""COMPUTED_VALUE"""),"👔 Shaxsiy")</f>
        <v>👔 Shaxsiy</v>
      </c>
      <c r="I41" s="40">
        <f>IFERROR(__xludf.DUMMYFUNCTION("""COMPUTED_VALUE"""),120000.0)</f>
        <v>120000</v>
      </c>
      <c r="J41" s="41" t="str">
        <f>IFERROR(__xludf.DUMMYFUNCTION("""COMPUTED_VALUE"""),"Umid Yusupov")</f>
        <v>Umid Yusupov</v>
      </c>
      <c r="K41" s="41" t="str">
        <f>IFERROR(__xludf.DUMMYFUNCTION("""COMPUTED_VALUE"""),"Картага ташалди")</f>
        <v>Картага ташалди</v>
      </c>
      <c r="L41" s="2"/>
      <c r="M41" s="2"/>
      <c r="N41" s="2"/>
    </row>
    <row r="42" ht="18.0" customHeight="1">
      <c r="A42" s="2"/>
      <c r="B42" s="2"/>
      <c r="C42" s="2"/>
      <c r="D42" s="2"/>
      <c r="E42" s="2"/>
      <c r="F42" s="38">
        <f>IFERROR(__xludf.DUMMYFUNCTION("""COMPUTED_VALUE"""),46312.0)</f>
        <v>46312</v>
      </c>
      <c r="G42" s="42">
        <f>IFERROR(__xludf.DUMMYFUNCTION("""COMPUTED_VALUE"""),0.5145833333333333)</f>
        <v>0.5145833333</v>
      </c>
      <c r="H42" s="41" t="str">
        <f>IFERROR(__xludf.DUMMYFUNCTION("""COMPUTED_VALUE"""),"🏠 Uy uchun")</f>
        <v>🏠 Uy uchun</v>
      </c>
      <c r="I42" s="40">
        <f>IFERROR(__xludf.DUMMYFUNCTION("""COMPUTED_VALUE"""),280000.0)</f>
        <v>280000</v>
      </c>
      <c r="J42" s="41" t="str">
        <f>IFERROR(__xludf.DUMMYFUNCTION("""COMPUTED_VALUE"""),"МирМуxаммад Файзуллаев")</f>
        <v>МирМуxаммад Файзуллаев</v>
      </c>
      <c r="K42" s="41" t="str">
        <f>IFERROR(__xludf.DUMMYFUNCTION("""COMPUTED_VALUE"""),"uy uchun")</f>
        <v>uy uchun</v>
      </c>
      <c r="L42" s="2"/>
      <c r="M42" s="2"/>
      <c r="N42" s="2"/>
    </row>
    <row r="43" ht="18.0" customHeight="1">
      <c r="A43" s="2"/>
      <c r="B43" s="2"/>
      <c r="C43" s="2"/>
      <c r="D43" s="2"/>
      <c r="E43" s="2"/>
      <c r="F43" s="38">
        <f>IFERROR(__xludf.DUMMYFUNCTION("""COMPUTED_VALUE"""),46311.0)</f>
        <v>46311</v>
      </c>
      <c r="G43" s="42">
        <f>IFERROR(__xludf.DUMMYFUNCTION("""COMPUTED_VALUE"""),0.9895833333333334)</f>
        <v>0.9895833333</v>
      </c>
      <c r="H43" s="41" t="str">
        <f>IFERROR(__xludf.DUMMYFUNCTION("""COMPUTED_VALUE"""),"👔 Shaxsiy")</f>
        <v>👔 Shaxsiy</v>
      </c>
      <c r="I43" s="40">
        <f>IFERROR(__xludf.DUMMYFUNCTION("""COMPUTED_VALUE"""),88000.0)</f>
        <v>88000</v>
      </c>
      <c r="J43" s="41" t="str">
        <f>IFERROR(__xludf.DUMMYFUNCTION("""COMPUTED_VALUE"""),"Umid Yusupov")</f>
        <v>Umid Yusupov</v>
      </c>
      <c r="K43" s="41" t="str">
        <f>IFERROR(__xludf.DUMMYFUNCTION("""COMPUTED_VALUE"""),"Элер дори")</f>
        <v>Элер дори</v>
      </c>
      <c r="L43" s="2"/>
      <c r="M43" s="2"/>
      <c r="N43" s="2"/>
    </row>
    <row r="44" ht="18.0" customHeight="1">
      <c r="A44" s="2"/>
      <c r="B44" s="2"/>
      <c r="C44" s="2"/>
      <c r="D44" s="2"/>
      <c r="E44" s="2"/>
      <c r="F44" s="38">
        <f>IFERROR(__xludf.DUMMYFUNCTION("""COMPUTED_VALUE"""),46311.0)</f>
        <v>46311</v>
      </c>
      <c r="G44" s="42">
        <f>IFERROR(__xludf.DUMMYFUNCTION("""COMPUTED_VALUE"""),0.9888888888888889)</f>
        <v>0.9888888889</v>
      </c>
      <c r="H44" s="41" t="str">
        <f>IFERROR(__xludf.DUMMYFUNCTION("""COMPUTED_VALUE"""),"👔 Shaxsiy")</f>
        <v>👔 Shaxsiy</v>
      </c>
      <c r="I44" s="40">
        <f>IFERROR(__xludf.DUMMYFUNCTION("""COMPUTED_VALUE"""),55000.0)</f>
        <v>55000</v>
      </c>
      <c r="J44" s="41" t="str">
        <f>IFERROR(__xludf.DUMMYFUNCTION("""COMPUTED_VALUE"""),"Umid Yusupov")</f>
        <v>Umid Yusupov</v>
      </c>
      <c r="K44" s="41" t="str">
        <f>IFERROR(__xludf.DUMMYFUNCTION("""COMPUTED_VALUE"""),"Элер куришга овкат")</f>
        <v>Элер куришга овкат</v>
      </c>
      <c r="L44" s="2"/>
      <c r="M44" s="2"/>
      <c r="N44" s="2"/>
    </row>
    <row r="45" ht="18.0" customHeight="1">
      <c r="A45" s="2"/>
      <c r="B45" s="2"/>
      <c r="C45" s="2"/>
      <c r="D45" s="2"/>
      <c r="E45" s="2"/>
      <c r="F45" s="38">
        <f>IFERROR(__xludf.DUMMYFUNCTION("""COMPUTED_VALUE"""),46311.0)</f>
        <v>46311</v>
      </c>
      <c r="G45" s="42">
        <f>IFERROR(__xludf.DUMMYFUNCTION("""COMPUTED_VALUE"""),0.9805555555555555)</f>
        <v>0.9805555556</v>
      </c>
      <c r="H45" s="41" t="str">
        <f>IFERROR(__xludf.DUMMYFUNCTION("""COMPUTED_VALUE"""),"🏠 Uy uchun")</f>
        <v>🏠 Uy uchun</v>
      </c>
      <c r="I45" s="40">
        <f>IFERROR(__xludf.DUMMYFUNCTION("""COMPUTED_VALUE"""),200000.0)</f>
        <v>200000</v>
      </c>
      <c r="J45" s="41" t="str">
        <f>IFERROR(__xludf.DUMMYFUNCTION("""COMPUTED_VALUE"""),"МирМуxаммад Файзуллаев")</f>
        <v>МирМуxаммад Файзуллаев</v>
      </c>
      <c r="K45" s="41" t="str">
        <f>IFERROR(__xludf.DUMMYFUNCTION("""COMPUTED_VALUE"""),"uy uchun sushi")</f>
        <v>uy uchun sushi</v>
      </c>
      <c r="L45" s="2"/>
      <c r="M45" s="2"/>
      <c r="N45" s="2"/>
    </row>
    <row r="46" ht="18.0" customHeight="1">
      <c r="A46" s="2"/>
      <c r="B46" s="2"/>
      <c r="C46" s="2"/>
      <c r="D46" s="2"/>
      <c r="E46" s="2"/>
      <c r="F46" s="38">
        <f>IFERROR(__xludf.DUMMYFUNCTION("""COMPUTED_VALUE"""),46311.0)</f>
        <v>46311</v>
      </c>
      <c r="G46" s="42">
        <f>IFERROR(__xludf.DUMMYFUNCTION("""COMPUTED_VALUE"""),0.9270833333333334)</f>
        <v>0.9270833333</v>
      </c>
      <c r="H46" s="41" t="str">
        <f>IFERROR(__xludf.DUMMYFUNCTION("""COMPUTED_VALUE"""),"🏠 Uy uchun")</f>
        <v>🏠 Uy uchun</v>
      </c>
      <c r="I46" s="40">
        <f>IFERROR(__xludf.DUMMYFUNCTION("""COMPUTED_VALUE"""),40000.0)</f>
        <v>40000</v>
      </c>
      <c r="J46" s="41" t="str">
        <f>IFERROR(__xludf.DUMMYFUNCTION("""COMPUTED_VALUE"""),"МирМуxаммад Файзуллаев")</f>
        <v>МирМуxаммад Файзуллаев</v>
      </c>
      <c r="K46" s="41" t="str">
        <f>IFERROR(__xludf.DUMMYFUNCTION("""COMPUTED_VALUE"""),"uy uchun bozor")</f>
        <v>uy uchun bozor</v>
      </c>
      <c r="L46" s="2"/>
      <c r="M46" s="2"/>
      <c r="N46" s="2"/>
    </row>
    <row r="47" ht="18.0" customHeight="1">
      <c r="A47" s="2"/>
      <c r="B47" s="2"/>
      <c r="C47" s="2"/>
      <c r="D47" s="2"/>
      <c r="E47" s="2"/>
      <c r="F47" s="38">
        <f>IFERROR(__xludf.DUMMYFUNCTION("""COMPUTED_VALUE"""),46311.0)</f>
        <v>46311</v>
      </c>
      <c r="G47" s="42">
        <f>IFERROR(__xludf.DUMMYFUNCTION("""COMPUTED_VALUE"""),0.9027777777777778)</f>
        <v>0.9027777778</v>
      </c>
      <c r="H47" s="41" t="str">
        <f>IFERROR(__xludf.DUMMYFUNCTION("""COMPUTED_VALUE"""),"👔 Shaxsiy")</f>
        <v>👔 Shaxsiy</v>
      </c>
      <c r="I47" s="40">
        <f>IFERROR(__xludf.DUMMYFUNCTION("""COMPUTED_VALUE"""),180000.0)</f>
        <v>180000</v>
      </c>
      <c r="J47" s="41" t="str">
        <f>IFERROR(__xludf.DUMMYFUNCTION("""COMPUTED_VALUE"""),"МирМуxаммад Файзуллаев")</f>
        <v>МирМуxаммад Файзуллаев</v>
      </c>
      <c r="K47" s="41" t="str">
        <f>IFERROR(__xludf.DUMMYFUNCTION("""COMPUTED_VALUE"""),"shaxsiy exson")</f>
        <v>shaxsiy exson</v>
      </c>
      <c r="L47" s="2"/>
      <c r="M47" s="2"/>
      <c r="N47" s="2"/>
    </row>
    <row r="48" ht="18.0" customHeight="1">
      <c r="A48" s="2"/>
      <c r="B48" s="2"/>
      <c r="C48" s="2"/>
      <c r="D48" s="2"/>
      <c r="E48" s="2"/>
      <c r="F48" s="38">
        <f>IFERROR(__xludf.DUMMYFUNCTION("""COMPUTED_VALUE"""),46311.0)</f>
        <v>46311</v>
      </c>
      <c r="G48" s="42">
        <f>IFERROR(__xludf.DUMMYFUNCTION("""COMPUTED_VALUE"""),0.6465277777777778)</f>
        <v>0.6465277778</v>
      </c>
      <c r="H48" s="41" t="str">
        <f>IFERROR(__xludf.DUMMYFUNCTION("""COMPUTED_VALUE"""),"🏠 Uy uchun")</f>
        <v>🏠 Uy uchun</v>
      </c>
      <c r="I48" s="40">
        <f>IFERROR(__xludf.DUMMYFUNCTION("""COMPUTED_VALUE"""),200000.0)</f>
        <v>200000</v>
      </c>
      <c r="J48" s="41" t="str">
        <f>IFERROR(__xludf.DUMMYFUNCTION("""COMPUTED_VALUE"""),"МирМуxаммад Файзуллаев")</f>
        <v>МирМуxаммад Файзуллаев</v>
      </c>
      <c r="K48" s="41" t="str">
        <f>IFERROR(__xludf.DUMMYFUNCTION("""COMPUTED_VALUE"""),"uy uchun oyimga")</f>
        <v>uy uchun oyimga</v>
      </c>
      <c r="L48" s="2"/>
      <c r="M48" s="2"/>
      <c r="N48" s="2"/>
    </row>
    <row r="49" ht="18.0" customHeight="1">
      <c r="A49" s="2"/>
      <c r="B49" s="2"/>
      <c r="C49" s="2"/>
      <c r="D49" s="2"/>
      <c r="E49" s="2"/>
      <c r="F49" s="38">
        <f>IFERROR(__xludf.DUMMYFUNCTION("""COMPUTED_VALUE"""),46311.0)</f>
        <v>46311</v>
      </c>
      <c r="G49" s="42">
        <f>IFERROR(__xludf.DUMMYFUNCTION("""COMPUTED_VALUE"""),0.6451388888888889)</f>
        <v>0.6451388889</v>
      </c>
      <c r="H49" s="41" t="str">
        <f>IFERROR(__xludf.DUMMYFUNCTION("""COMPUTED_VALUE"""),"👔 Shaxsiy")</f>
        <v>👔 Shaxsiy</v>
      </c>
      <c r="I49" s="40">
        <f>IFERROR(__xludf.DUMMYFUNCTION("""COMPUTED_VALUE"""),110000.0)</f>
        <v>110000</v>
      </c>
      <c r="J49" s="41" t="str">
        <f>IFERROR(__xludf.DUMMYFUNCTION("""COMPUTED_VALUE"""),"Umid Yusupov")</f>
        <v>Umid Yusupov</v>
      </c>
      <c r="K49" s="41" t="str">
        <f>IFERROR(__xludf.DUMMYFUNCTION("""COMPUTED_VALUE"""),"Картага перевод")</f>
        <v>Картага перевод</v>
      </c>
      <c r="L49" s="2"/>
      <c r="M49" s="2"/>
      <c r="N49" s="2"/>
    </row>
    <row r="50" ht="18.0" customHeight="1">
      <c r="A50" s="2"/>
      <c r="B50" s="2"/>
      <c r="C50" s="2"/>
      <c r="D50" s="2"/>
      <c r="E50" s="2"/>
      <c r="F50" s="38">
        <f>IFERROR(__xludf.DUMMYFUNCTION("""COMPUTED_VALUE"""),46311.0)</f>
        <v>46311</v>
      </c>
      <c r="G50" s="42">
        <f>IFERROR(__xludf.DUMMYFUNCTION("""COMPUTED_VALUE"""),0.6097222222222223)</f>
        <v>0.6097222222</v>
      </c>
      <c r="H50" s="41" t="str">
        <f>IFERROR(__xludf.DUMMYFUNCTION("""COMPUTED_VALUE"""),"👔 Shaxsiy")</f>
        <v>👔 Shaxsiy</v>
      </c>
      <c r="I50" s="40">
        <f>IFERROR(__xludf.DUMMYFUNCTION("""COMPUTED_VALUE"""),45000.0)</f>
        <v>45000</v>
      </c>
      <c r="J50" s="41" t="str">
        <f>IFERROR(__xludf.DUMMYFUNCTION("""COMPUTED_VALUE"""),"Umid Yusupov")</f>
        <v>Umid Yusupov</v>
      </c>
      <c r="K50" s="41" t="str">
        <f>IFERROR(__xludf.DUMMYFUNCTION("""COMPUTED_VALUE"""),"Обед Айва")</f>
        <v>Обед Айва</v>
      </c>
      <c r="L50" s="2"/>
      <c r="M50" s="2"/>
      <c r="N50" s="2"/>
    </row>
    <row r="51" ht="18.0" customHeight="1">
      <c r="A51" s="2"/>
      <c r="B51" s="2"/>
      <c r="C51" s="2"/>
      <c r="D51" s="2"/>
      <c r="E51" s="2"/>
      <c r="F51" s="38">
        <f>IFERROR(__xludf.DUMMYFUNCTION("""COMPUTED_VALUE"""),46311.0)</f>
        <v>46311</v>
      </c>
      <c r="G51" s="42">
        <f>IFERROR(__xludf.DUMMYFUNCTION("""COMPUTED_VALUE"""),0.004166666666666667)</f>
        <v>0.004166666667</v>
      </c>
      <c r="H51" s="41" t="str">
        <f>IFERROR(__xludf.DUMMYFUNCTION("""COMPUTED_VALUE"""),"👔 Shaxsiy")</f>
        <v>👔 Shaxsiy</v>
      </c>
      <c r="I51" s="40">
        <f>IFERROR(__xludf.DUMMYFUNCTION("""COMPUTED_VALUE"""),130000.0)</f>
        <v>130000</v>
      </c>
      <c r="J51" s="41" t="str">
        <f>IFERROR(__xludf.DUMMYFUNCTION("""COMPUTED_VALUE"""),"МирМуxаммад Файзуллаев")</f>
        <v>МирМуxаммад Файзуллаев</v>
      </c>
      <c r="K51" s="41" t="str">
        <f>IFERROR(__xludf.DUMMYFUNCTION("""COMPUTED_VALUE"""),"shaxsiy ujin")</f>
        <v>shaxsiy ujin</v>
      </c>
      <c r="L51" s="2"/>
      <c r="M51" s="2"/>
      <c r="N51" s="2"/>
    </row>
    <row r="52" ht="18.0" customHeight="1">
      <c r="A52" s="2"/>
      <c r="B52" s="2"/>
      <c r="C52" s="2"/>
      <c r="D52" s="2"/>
      <c r="E52" s="2"/>
      <c r="F52" s="38">
        <f>IFERROR(__xludf.DUMMYFUNCTION("""COMPUTED_VALUE"""),46310.0)</f>
        <v>46310</v>
      </c>
      <c r="G52" s="42">
        <f>IFERROR(__xludf.DUMMYFUNCTION("""COMPUTED_VALUE"""),0.9611111111111111)</f>
        <v>0.9611111111</v>
      </c>
      <c r="H52" s="41" t="str">
        <f>IFERROR(__xludf.DUMMYFUNCTION("""COMPUTED_VALUE"""),"👔 Shaxsiy")</f>
        <v>👔 Shaxsiy</v>
      </c>
      <c r="I52" s="40">
        <f>IFERROR(__xludf.DUMMYFUNCTION("""COMPUTED_VALUE"""),35000.0)</f>
        <v>35000</v>
      </c>
      <c r="J52" s="41" t="str">
        <f>IFERROR(__xludf.DUMMYFUNCTION("""COMPUTED_VALUE"""),"МирМуxаммад Файзуллаев")</f>
        <v>МирМуxаммад Файзуллаев</v>
      </c>
      <c r="K52" s="41" t="str">
        <f>IFERROR(__xludf.DUMMYFUNCTION("""COMPUTED_VALUE"""),"shaxsiy parkovka")</f>
        <v>shaxsiy parkovka</v>
      </c>
      <c r="L52" s="2"/>
      <c r="M52" s="2"/>
      <c r="N52" s="2"/>
    </row>
    <row r="53" ht="18.0" customHeight="1">
      <c r="A53" s="2"/>
      <c r="B53" s="2"/>
      <c r="C53" s="2"/>
      <c r="D53" s="2"/>
      <c r="E53" s="2"/>
      <c r="F53" s="38">
        <f>IFERROR(__xludf.DUMMYFUNCTION("""COMPUTED_VALUE"""),46309.0)</f>
        <v>46309</v>
      </c>
      <c r="G53" s="42">
        <f>IFERROR(__xludf.DUMMYFUNCTION("""COMPUTED_VALUE"""),0.8375)</f>
        <v>0.8375</v>
      </c>
      <c r="H53" s="41" t="str">
        <f>IFERROR(__xludf.DUMMYFUNCTION("""COMPUTED_VALUE"""),"👔 Shaxsiy")</f>
        <v>👔 Shaxsiy</v>
      </c>
      <c r="I53" s="40">
        <f>IFERROR(__xludf.DUMMYFUNCTION("""COMPUTED_VALUE"""),100000.0)</f>
        <v>100000</v>
      </c>
      <c r="J53" s="41" t="str">
        <f>IFERROR(__xludf.DUMMYFUNCTION("""COMPUTED_VALUE"""),"МирМуxаммад Файзуллаев")</f>
        <v>МирМуxаммад Файзуллаев</v>
      </c>
      <c r="K53" s="41" t="str">
        <f>IFERROR(__xludf.DUMMYFUNCTION("""COMPUTED_VALUE"""),"shaxsiy ujin")</f>
        <v>shaxsiy ujin</v>
      </c>
      <c r="L53" s="2"/>
      <c r="M53" s="2"/>
      <c r="N53" s="2"/>
    </row>
    <row r="54" ht="18.0" customHeight="1">
      <c r="A54" s="2"/>
      <c r="B54" s="2"/>
      <c r="C54" s="2"/>
      <c r="D54" s="2"/>
      <c r="E54" s="2"/>
      <c r="F54" s="38">
        <f>IFERROR(__xludf.DUMMYFUNCTION("""COMPUTED_VALUE"""),46309.0)</f>
        <v>46309</v>
      </c>
      <c r="G54" s="42">
        <f>IFERROR(__xludf.DUMMYFUNCTION("""COMPUTED_VALUE"""),0.6826388888888889)</f>
        <v>0.6826388889</v>
      </c>
      <c r="H54" s="41" t="str">
        <f>IFERROR(__xludf.DUMMYFUNCTION("""COMPUTED_VALUE"""),"🏠 Uy uchun")</f>
        <v>🏠 Uy uchun</v>
      </c>
      <c r="I54" s="40">
        <f>IFERROR(__xludf.DUMMYFUNCTION("""COMPUTED_VALUE"""),2382670.0)</f>
        <v>2382670</v>
      </c>
      <c r="J54" s="41" t="str">
        <f>IFERROR(__xludf.DUMMYFUNCTION("""COMPUTED_VALUE"""),"МирМуxаммад Файзуллаев")</f>
        <v>МирМуxаммад Файзуллаев</v>
      </c>
      <c r="K54" s="41" t="str">
        <f>IFERROR(__xludf.DUMMYFUNCTION("""COMPUTED_VALUE"""),"uy uchun bozor")</f>
        <v>uy uchun bozor</v>
      </c>
      <c r="L54" s="2"/>
      <c r="M54" s="2"/>
      <c r="N54" s="2"/>
    </row>
    <row r="55" ht="18.0" customHeight="1">
      <c r="A55" s="2"/>
      <c r="B55" s="2"/>
      <c r="C55" s="2"/>
      <c r="D55" s="2"/>
      <c r="E55" s="2"/>
      <c r="F55" s="38">
        <f>IFERROR(__xludf.DUMMYFUNCTION("""COMPUTED_VALUE"""),46309.0)</f>
        <v>46309</v>
      </c>
      <c r="G55" s="42">
        <f>IFERROR(__xludf.DUMMYFUNCTION("""COMPUTED_VALUE"""),0.6618055555555555)</f>
        <v>0.6618055556</v>
      </c>
      <c r="H55" s="41" t="str">
        <f>IFERROR(__xludf.DUMMYFUNCTION("""COMPUTED_VALUE"""),"👔 Shaxsiy")</f>
        <v>👔 Shaxsiy</v>
      </c>
      <c r="I55" s="40">
        <f>IFERROR(__xludf.DUMMYFUNCTION("""COMPUTED_VALUE"""),53000.0)</f>
        <v>53000</v>
      </c>
      <c r="J55" s="41" t="str">
        <f>IFERROR(__xludf.DUMMYFUNCTION("""COMPUTED_VALUE"""),"МирМуxаммад Файзуллаев")</f>
        <v>МирМуxаммад Файзуллаев</v>
      </c>
      <c r="K55" s="41" t="str">
        <f>IFERROR(__xludf.DUMMYFUNCTION("""COMPUTED_VALUE"""),"shaxsiy obed")</f>
        <v>shaxsiy obed</v>
      </c>
      <c r="L55" s="2"/>
      <c r="M55" s="2"/>
      <c r="N55" s="2"/>
    </row>
    <row r="56" ht="18.0" customHeight="1">
      <c r="A56" s="2"/>
      <c r="B56" s="2"/>
      <c r="C56" s="2"/>
      <c r="D56" s="2"/>
      <c r="E56" s="2"/>
      <c r="F56" s="38">
        <f>IFERROR(__xludf.DUMMYFUNCTION("""COMPUTED_VALUE"""),46308.0)</f>
        <v>46308</v>
      </c>
      <c r="G56" s="42">
        <f>IFERROR(__xludf.DUMMYFUNCTION("""COMPUTED_VALUE"""),0.9034722222222222)</f>
        <v>0.9034722222</v>
      </c>
      <c r="H56" s="41" t="str">
        <f>IFERROR(__xludf.DUMMYFUNCTION("""COMPUTED_VALUE"""),"👔 Shaxsiy")</f>
        <v>👔 Shaxsiy</v>
      </c>
      <c r="I56" s="40">
        <f>IFERROR(__xludf.DUMMYFUNCTION("""COMPUTED_VALUE"""),120000.0)</f>
        <v>120000</v>
      </c>
      <c r="J56" s="41" t="str">
        <f>IFERROR(__xludf.DUMMYFUNCTION("""COMPUTED_VALUE"""),"МирМуxаммад Файзуллаев")</f>
        <v>МирМуxаммад Файзуллаев</v>
      </c>
      <c r="K56" s="41" t="str">
        <f>IFERROR(__xludf.DUMMYFUNCTION("""COMPUTED_VALUE"""),"shaxsiy moyka")</f>
        <v>shaxsiy moyka</v>
      </c>
      <c r="L56" s="2"/>
      <c r="M56" s="2"/>
      <c r="N56" s="2"/>
    </row>
    <row r="57" ht="18.0" customHeight="1">
      <c r="A57" s="2"/>
      <c r="B57" s="2"/>
      <c r="C57" s="2"/>
      <c r="D57" s="2"/>
      <c r="E57" s="2"/>
      <c r="F57" s="38">
        <f>IFERROR(__xludf.DUMMYFUNCTION("""COMPUTED_VALUE"""),46308.0)</f>
        <v>46308</v>
      </c>
      <c r="G57" s="42">
        <f>IFERROR(__xludf.DUMMYFUNCTION("""COMPUTED_VALUE"""),0.6645833333333333)</f>
        <v>0.6645833333</v>
      </c>
      <c r="H57" s="41" t="str">
        <f>IFERROR(__xludf.DUMMYFUNCTION("""COMPUTED_VALUE"""),"👔 Shaxsiy")</f>
        <v>👔 Shaxsiy</v>
      </c>
      <c r="I57" s="40">
        <f>IFERROR(__xludf.DUMMYFUNCTION("""COMPUTED_VALUE"""),200000.0)</f>
        <v>200000</v>
      </c>
      <c r="J57" s="41" t="str">
        <f>IFERROR(__xludf.DUMMYFUNCTION("""COMPUTED_VALUE"""),"МирМуxаммад Файзуллаев")</f>
        <v>МирМуxаммад Файзуллаев</v>
      </c>
      <c r="K57" s="41" t="str">
        <f>IFERROR(__xludf.DUMMYFUNCTION("""COMPUTED_VALUE"""),"shaxsiy sartarosh")</f>
        <v>shaxsiy sartarosh</v>
      </c>
      <c r="L57" s="2"/>
      <c r="M57" s="2"/>
      <c r="N57" s="2"/>
    </row>
    <row r="58" ht="18.0" customHeight="1">
      <c r="A58" s="2"/>
      <c r="B58" s="2"/>
      <c r="C58" s="2"/>
      <c r="D58" s="2"/>
      <c r="E58" s="2"/>
      <c r="F58" s="38">
        <f>IFERROR(__xludf.DUMMYFUNCTION("""COMPUTED_VALUE"""),46308.0)</f>
        <v>46308</v>
      </c>
      <c r="G58" s="42">
        <f>IFERROR(__xludf.DUMMYFUNCTION("""COMPUTED_VALUE"""),0.5513888888888889)</f>
        <v>0.5513888889</v>
      </c>
      <c r="H58" s="41" t="str">
        <f>IFERROR(__xludf.DUMMYFUNCTION("""COMPUTED_VALUE"""),"👔 Shaxsiy")</f>
        <v>👔 Shaxsiy</v>
      </c>
      <c r="I58" s="40">
        <f>IFERROR(__xludf.DUMMYFUNCTION("""COMPUTED_VALUE"""),35000.0)</f>
        <v>35000</v>
      </c>
      <c r="J58" s="41" t="str">
        <f>IFERROR(__xludf.DUMMYFUNCTION("""COMPUTED_VALUE"""),"МирМуxаммад Файзуллаев")</f>
        <v>МирМуxаммад Файзуллаев</v>
      </c>
      <c r="K58" s="41" t="str">
        <f>IFERROR(__xludf.DUMMYFUNCTION("""COMPUTED_VALUE"""),"shaxsiy obed")</f>
        <v>shaxsiy obed</v>
      </c>
      <c r="L58" s="2"/>
      <c r="M58" s="2"/>
      <c r="N58" s="2"/>
    </row>
    <row r="59" ht="18.0" customHeight="1">
      <c r="A59" s="2"/>
      <c r="B59" s="2"/>
      <c r="C59" s="2"/>
      <c r="D59" s="2"/>
      <c r="E59" s="2"/>
      <c r="F59" s="38">
        <f>IFERROR(__xludf.DUMMYFUNCTION("""COMPUTED_VALUE"""),46308.0)</f>
        <v>46308</v>
      </c>
      <c r="G59" s="42">
        <f>IFERROR(__xludf.DUMMYFUNCTION("""COMPUTED_VALUE"""),0.5222222222222223)</f>
        <v>0.5222222222</v>
      </c>
      <c r="H59" s="41" t="str">
        <f>IFERROR(__xludf.DUMMYFUNCTION("""COMPUTED_VALUE"""),"🏠 Uy uchun")</f>
        <v>🏠 Uy uchun</v>
      </c>
      <c r="I59" s="40">
        <f>IFERROR(__xludf.DUMMYFUNCTION("""COMPUTED_VALUE"""),260000.0)</f>
        <v>260000</v>
      </c>
      <c r="J59" s="41" t="str">
        <f>IFERROR(__xludf.DUMMYFUNCTION("""COMPUTED_VALUE"""),"МирМуxаммад Файзуллаев")</f>
        <v>МирМуxаммад Файзуллаев</v>
      </c>
      <c r="K59" s="41" t="str">
        <f>IFERROR(__xludf.DUMMYFUNCTION("""COMPUTED_VALUE"""),"uy uchun pampers")</f>
        <v>uy uchun pampers</v>
      </c>
      <c r="L59" s="2"/>
      <c r="M59" s="2"/>
      <c r="N59" s="2"/>
    </row>
    <row r="60" ht="18.0" customHeight="1">
      <c r="A60" s="2"/>
      <c r="B60" s="2"/>
      <c r="C60" s="2"/>
      <c r="D60" s="2"/>
      <c r="E60" s="2"/>
      <c r="F60" s="38">
        <f>IFERROR(__xludf.DUMMYFUNCTION("""COMPUTED_VALUE"""),46307.0)</f>
        <v>46307</v>
      </c>
      <c r="G60" s="42">
        <f>IFERROR(__xludf.DUMMYFUNCTION("""COMPUTED_VALUE"""),0.9236111111111112)</f>
        <v>0.9236111111</v>
      </c>
      <c r="H60" s="41" t="str">
        <f>IFERROR(__xludf.DUMMYFUNCTION("""COMPUTED_VALUE"""),"🏠 Uy uchun")</f>
        <v>🏠 Uy uchun</v>
      </c>
      <c r="I60" s="40">
        <f>IFERROR(__xludf.DUMMYFUNCTION("""COMPUTED_VALUE"""),100000.0)</f>
        <v>100000</v>
      </c>
      <c r="J60" s="41" t="str">
        <f>IFERROR(__xludf.DUMMYFUNCTION("""COMPUTED_VALUE"""),"МирМуxаммад Файзуллаев")</f>
        <v>МирМуxаммад Файзуллаев</v>
      </c>
      <c r="K60" s="41" t="str">
        <f>IFERROR(__xludf.DUMMYFUNCTION("""COMPUTED_VALUE"""),"uy uchun bozor")</f>
        <v>uy uchun bozor</v>
      </c>
      <c r="L60" s="2"/>
      <c r="M60" s="2"/>
      <c r="N60" s="2"/>
    </row>
    <row r="61" ht="18.0" customHeight="1">
      <c r="A61" s="2"/>
      <c r="B61" s="2"/>
      <c r="C61" s="2"/>
      <c r="D61" s="2"/>
      <c r="E61" s="2"/>
      <c r="F61" s="38">
        <f>IFERROR(__xludf.DUMMYFUNCTION("""COMPUTED_VALUE"""),46307.0)</f>
        <v>46307</v>
      </c>
      <c r="G61" s="42">
        <f>IFERROR(__xludf.DUMMYFUNCTION("""COMPUTED_VALUE"""),0.7569444444444444)</f>
        <v>0.7569444444</v>
      </c>
      <c r="H61" s="41" t="str">
        <f>IFERROR(__xludf.DUMMYFUNCTION("""COMPUTED_VALUE"""),"🏠 Uy uchun")</f>
        <v>🏠 Uy uchun</v>
      </c>
      <c r="I61" s="40">
        <f>IFERROR(__xludf.DUMMYFUNCTION("""COMPUTED_VALUE"""),380000.0)</f>
        <v>380000</v>
      </c>
      <c r="J61" s="41" t="str">
        <f>IFERROR(__xludf.DUMMYFUNCTION("""COMPUTED_VALUE"""),"МирМуxаммад Файзуллаев")</f>
        <v>МирМуxаммад Файзуллаев</v>
      </c>
      <c r="K61" s="41" t="str">
        <f>IFERROR(__xludf.DUMMYFUNCTION("""COMPUTED_VALUE"""),"uy uchun bollga")</f>
        <v>uy uchun bollga</v>
      </c>
      <c r="L61" s="2"/>
      <c r="M61" s="2"/>
      <c r="N61" s="2"/>
    </row>
    <row r="62" ht="18.0" customHeight="1">
      <c r="A62" s="2"/>
      <c r="B62" s="2"/>
      <c r="C62" s="2"/>
      <c r="D62" s="2"/>
      <c r="E62" s="2"/>
      <c r="F62" s="38">
        <f>IFERROR(__xludf.DUMMYFUNCTION("""COMPUTED_VALUE"""),46307.0)</f>
        <v>46307</v>
      </c>
      <c r="G62" s="42">
        <f>IFERROR(__xludf.DUMMYFUNCTION("""COMPUTED_VALUE"""),0.7548611111111111)</f>
        <v>0.7548611111</v>
      </c>
      <c r="H62" s="41" t="str">
        <f>IFERROR(__xludf.DUMMYFUNCTION("""COMPUTED_VALUE"""),"👔 Shaxsiy")</f>
        <v>👔 Shaxsiy</v>
      </c>
      <c r="I62" s="40">
        <f>IFERROR(__xludf.DUMMYFUNCTION("""COMPUTED_VALUE"""),100000.0)</f>
        <v>100000</v>
      </c>
      <c r="J62" s="41" t="str">
        <f>IFERROR(__xludf.DUMMYFUNCTION("""COMPUTED_VALUE"""),"МирМуxаммад Файзуллаев")</f>
        <v>МирМуxаммад Файзуллаев</v>
      </c>
      <c r="K62" s="41" t="str">
        <f>IFERROR(__xludf.DUMMYFUNCTION("""COMPUTED_VALUE"""),"shaxsiy ujinga")</f>
        <v>shaxsiy ujinga</v>
      </c>
      <c r="L62" s="2"/>
      <c r="M62" s="2"/>
      <c r="N62" s="2"/>
    </row>
    <row r="63" ht="18.0" customHeight="1">
      <c r="A63" s="2"/>
      <c r="B63" s="2"/>
      <c r="C63" s="2"/>
      <c r="D63" s="2"/>
      <c r="E63" s="2"/>
      <c r="F63" s="38">
        <f>IFERROR(__xludf.DUMMYFUNCTION("""COMPUTED_VALUE"""),46307.0)</f>
        <v>46307</v>
      </c>
      <c r="G63" s="42">
        <f>IFERROR(__xludf.DUMMYFUNCTION("""COMPUTED_VALUE"""),0.7548611111111111)</f>
        <v>0.7548611111</v>
      </c>
      <c r="H63" s="41" t="str">
        <f>IFERROR(__xludf.DUMMYFUNCTION("""COMPUTED_VALUE"""),"🏠 Uy uchun")</f>
        <v>🏠 Uy uchun</v>
      </c>
      <c r="I63" s="40">
        <f>IFERROR(__xludf.DUMMYFUNCTION("""COMPUTED_VALUE"""),540000.0)</f>
        <v>540000</v>
      </c>
      <c r="J63" s="41" t="str">
        <f>IFERROR(__xludf.DUMMYFUNCTION("""COMPUTED_VALUE"""),"МирМуxаммад Файзуллаев")</f>
        <v>МирМуxаммад Файзуллаев</v>
      </c>
      <c r="K63" s="41" t="str">
        <f>IFERROR(__xludf.DUMMYFUNCTION("""COMPUTED_VALUE"""),"uy uchun")</f>
        <v>uy uchun</v>
      </c>
      <c r="L63" s="2"/>
      <c r="M63" s="2"/>
      <c r="N63" s="2"/>
    </row>
    <row r="64" ht="18.0" customHeight="1">
      <c r="A64" s="2"/>
      <c r="B64" s="2"/>
      <c r="C64" s="2"/>
      <c r="D64" s="2"/>
      <c r="E64" s="2"/>
      <c r="F64" s="38">
        <f>IFERROR(__xludf.DUMMYFUNCTION("""COMPUTED_VALUE"""),46307.0)</f>
        <v>46307</v>
      </c>
      <c r="G64" s="42">
        <f>IFERROR(__xludf.DUMMYFUNCTION("""COMPUTED_VALUE"""),0.7534722222222222)</f>
        <v>0.7534722222</v>
      </c>
      <c r="H64" s="41" t="str">
        <f>IFERROR(__xludf.DUMMYFUNCTION("""COMPUTED_VALUE"""),"🏠 Uy uchun")</f>
        <v>🏠 Uy uchun</v>
      </c>
      <c r="I64" s="40">
        <f>IFERROR(__xludf.DUMMYFUNCTION("""COMPUTED_VALUE"""),105000.0)</f>
        <v>105000</v>
      </c>
      <c r="J64" s="41" t="str">
        <f>IFERROR(__xludf.DUMMYFUNCTION("""COMPUTED_VALUE"""),"МирМуxаммад Файзуллаев")</f>
        <v>МирМуxаммад Файзуллаев</v>
      </c>
      <c r="K64" s="41" t="str">
        <f>IFERROR(__xludf.DUMMYFUNCTION("""COMPUTED_VALUE"""),"uy uchun adamga straflariga")</f>
        <v>uy uchun adamga straflariga</v>
      </c>
      <c r="L64" s="2"/>
      <c r="M64" s="2"/>
      <c r="N64" s="2"/>
    </row>
    <row r="65" ht="18.0" customHeight="1">
      <c r="A65" s="2"/>
      <c r="B65" s="2"/>
      <c r="C65" s="2"/>
      <c r="D65" s="2"/>
      <c r="E65" s="2"/>
      <c r="F65" s="38">
        <f>IFERROR(__xludf.DUMMYFUNCTION("""COMPUTED_VALUE"""),46307.0)</f>
        <v>46307</v>
      </c>
      <c r="G65" s="42">
        <f>IFERROR(__xludf.DUMMYFUNCTION("""COMPUTED_VALUE"""),0.7534722222222222)</f>
        <v>0.7534722222</v>
      </c>
      <c r="H65" s="41" t="str">
        <f>IFERROR(__xludf.DUMMYFUNCTION("""COMPUTED_VALUE"""),"🏠 Uy uchun")</f>
        <v>🏠 Uy uchun</v>
      </c>
      <c r="I65" s="40">
        <f>IFERROR(__xludf.DUMMYFUNCTION("""COMPUTED_VALUE"""),250000.0)</f>
        <v>250000</v>
      </c>
      <c r="J65" s="41" t="str">
        <f>IFERROR(__xludf.DUMMYFUNCTION("""COMPUTED_VALUE"""),"МирМуxаммад Файзуллаев")</f>
        <v>МирМуxаммад Файзуллаев</v>
      </c>
      <c r="K65" s="41" t="str">
        <f>IFERROR(__xludf.DUMMYFUNCTION("""COMPUTED_VALUE"""),"uy uchun dori")</f>
        <v>uy uchun dori</v>
      </c>
      <c r="L65" s="2"/>
      <c r="M65" s="2"/>
      <c r="N65" s="2"/>
    </row>
    <row r="66" ht="18.0" customHeight="1">
      <c r="A66" s="2"/>
      <c r="B66" s="2"/>
      <c r="C66" s="2"/>
      <c r="D66" s="2"/>
      <c r="E66" s="2"/>
      <c r="F66" s="38">
        <f>IFERROR(__xludf.DUMMYFUNCTION("""COMPUTED_VALUE"""),46307.0)</f>
        <v>46307</v>
      </c>
      <c r="G66" s="42">
        <f>IFERROR(__xludf.DUMMYFUNCTION("""COMPUTED_VALUE"""),0.7534722222222222)</f>
        <v>0.7534722222</v>
      </c>
      <c r="H66" s="41" t="str">
        <f>IFERROR(__xludf.DUMMYFUNCTION("""COMPUTED_VALUE"""),"🏠 Uy uchun")</f>
        <v>🏠 Uy uchun</v>
      </c>
      <c r="I66" s="40">
        <f>IFERROR(__xludf.DUMMYFUNCTION("""COMPUTED_VALUE"""),700000.0)</f>
        <v>700000</v>
      </c>
      <c r="J66" s="41" t="str">
        <f>IFERROR(__xludf.DUMMYFUNCTION("""COMPUTED_VALUE"""),"МирМуxаммад Файзуллаев")</f>
        <v>МирМуxаммад Файзуллаев</v>
      </c>
      <c r="K66" s="41" t="str">
        <f>IFERROR(__xludf.DUMMYFUNCTION("""COMPUTED_VALUE"""),"uy uchun adamga")</f>
        <v>uy uchun adamga</v>
      </c>
      <c r="L66" s="2"/>
      <c r="M66" s="2"/>
      <c r="N66" s="2"/>
    </row>
    <row r="67" ht="18.0" customHeight="1">
      <c r="A67" s="2"/>
      <c r="B67" s="2"/>
      <c r="C67" s="2"/>
      <c r="D67" s="2"/>
      <c r="E67" s="2"/>
      <c r="F67" s="38">
        <f>IFERROR(__xludf.DUMMYFUNCTION("""COMPUTED_VALUE"""),46307.0)</f>
        <v>46307</v>
      </c>
      <c r="G67" s="42">
        <f>IFERROR(__xludf.DUMMYFUNCTION("""COMPUTED_VALUE"""),0.7152777777777778)</f>
        <v>0.7152777778</v>
      </c>
      <c r="H67" s="41" t="str">
        <f>IFERROR(__xludf.DUMMYFUNCTION("""COMPUTED_VALUE"""),"👔 Shaxsiy")</f>
        <v>👔 Shaxsiy</v>
      </c>
      <c r="I67" s="40">
        <f>IFERROR(__xludf.DUMMYFUNCTION("""COMPUTED_VALUE"""),550000.0)</f>
        <v>550000</v>
      </c>
      <c r="J67" s="41" t="str">
        <f>IFERROR(__xludf.DUMMYFUNCTION("""COMPUTED_VALUE"""),"МирМуxаммад Файзуллаев")</f>
        <v>МирМуxаммад Файзуллаев</v>
      </c>
      <c r="K67" s="41" t="str">
        <f>IFERROR(__xludf.DUMMYFUNCTION("""COMPUTED_VALUE"""),"shaxsiy sovga dilmurodaka")</f>
        <v>shaxsiy sovga dilmurodaka</v>
      </c>
      <c r="L67" s="2"/>
      <c r="M67" s="2"/>
      <c r="N67" s="2"/>
    </row>
    <row r="68" ht="18.0" customHeight="1">
      <c r="A68" s="2"/>
      <c r="B68" s="2"/>
      <c r="C68" s="2"/>
      <c r="D68" s="2"/>
      <c r="E68" s="2"/>
      <c r="F68" s="38">
        <f>IFERROR(__xludf.DUMMYFUNCTION("""COMPUTED_VALUE"""),46307.0)</f>
        <v>46307</v>
      </c>
      <c r="G68" s="42">
        <f>IFERROR(__xludf.DUMMYFUNCTION("""COMPUTED_VALUE"""),0.7131944444444445)</f>
        <v>0.7131944444</v>
      </c>
      <c r="H68" s="41" t="str">
        <f>IFERROR(__xludf.DUMMYFUNCTION("""COMPUTED_VALUE"""),"👔 Shaxsiy")</f>
        <v>👔 Shaxsiy</v>
      </c>
      <c r="I68" s="40">
        <f>IFERROR(__xludf.DUMMYFUNCTION("""COMPUTED_VALUE"""),130000.0)</f>
        <v>130000</v>
      </c>
      <c r="J68" s="41" t="str">
        <f>IFERROR(__xludf.DUMMYFUNCTION("""COMPUTED_VALUE"""),"МирМуxаммад Файзуллаев")</f>
        <v>МирМуxаммад Файзуллаев</v>
      </c>
      <c r="K68" s="41" t="str">
        <f>IFERROR(__xludf.DUMMYFUNCTION("""COMPUTED_VALUE"""),"shaxsiy ujinga")</f>
        <v>shaxsiy ujinga</v>
      </c>
      <c r="L68" s="2"/>
      <c r="M68" s="2"/>
      <c r="N68" s="2"/>
    </row>
    <row r="69" ht="18.0" customHeight="1">
      <c r="A69" s="2"/>
      <c r="B69" s="2"/>
      <c r="C69" s="2"/>
      <c r="D69" s="2"/>
      <c r="E69" s="2"/>
      <c r="F69" s="38">
        <f>IFERROR(__xludf.DUMMYFUNCTION("""COMPUTED_VALUE"""),46307.0)</f>
        <v>46307</v>
      </c>
      <c r="G69" s="42">
        <f>IFERROR(__xludf.DUMMYFUNCTION("""COMPUTED_VALUE"""),0.7118055555555556)</f>
        <v>0.7118055556</v>
      </c>
      <c r="H69" s="41" t="str">
        <f>IFERROR(__xludf.DUMMYFUNCTION("""COMPUTED_VALUE"""),"👔 Shaxsiy")</f>
        <v>👔 Shaxsiy</v>
      </c>
      <c r="I69" s="40">
        <f>IFERROR(__xludf.DUMMYFUNCTION("""COMPUTED_VALUE"""),950000.0)</f>
        <v>950000</v>
      </c>
      <c r="J69" s="41" t="str">
        <f>IFERROR(__xludf.DUMMYFUNCTION("""COMPUTED_VALUE"""),"МирМуxаммад Файзуллаев")</f>
        <v>МирМуxаммад Файзуллаев</v>
      </c>
      <c r="K69" s="41" t="str">
        <f>IFERROR(__xludf.DUMMYFUNCTION("""COMPUTED_VALUE"""),"shaxsiy moshinaga spoller")</f>
        <v>shaxsiy moshinaga spoller</v>
      </c>
      <c r="L69" s="2"/>
      <c r="M69" s="2"/>
      <c r="N69" s="2"/>
    </row>
    <row r="70" ht="18.0" customHeight="1">
      <c r="A70" s="2"/>
      <c r="B70" s="2"/>
      <c r="C70" s="2"/>
      <c r="D70" s="2"/>
      <c r="E70" s="2"/>
      <c r="F70" s="38">
        <f>IFERROR(__xludf.DUMMYFUNCTION("""COMPUTED_VALUE"""),46307.0)</f>
        <v>46307</v>
      </c>
      <c r="G70" s="42">
        <f>IFERROR(__xludf.DUMMYFUNCTION("""COMPUTED_VALUE"""),0.7111111111111111)</f>
        <v>0.7111111111</v>
      </c>
      <c r="H70" s="41" t="str">
        <f>IFERROR(__xludf.DUMMYFUNCTION("""COMPUTED_VALUE"""),"🏠 Uy uchun")</f>
        <v>🏠 Uy uchun</v>
      </c>
      <c r="I70" s="40">
        <f>IFERROR(__xludf.DUMMYFUNCTION("""COMPUTED_VALUE"""),1150000.0)</f>
        <v>1150000</v>
      </c>
      <c r="J70" s="41" t="str">
        <f>IFERROR(__xludf.DUMMYFUNCTION("""COMPUTED_VALUE"""),"МирМуxаммад Файзуллаев")</f>
        <v>МирМуxаммад Файзуллаев</v>
      </c>
      <c r="K70" s="41" t="str">
        <f>IFERROR(__xludf.DUMMYFUNCTION("""COMPUTED_VALUE"""),"uy uchun dori va ujin")</f>
        <v>uy uchun dori va ujin</v>
      </c>
      <c r="L70" s="2"/>
      <c r="M70" s="2"/>
      <c r="N70" s="2"/>
    </row>
    <row r="71" ht="18.0" customHeight="1">
      <c r="A71" s="2"/>
      <c r="B71" s="2"/>
      <c r="C71" s="2"/>
      <c r="D71" s="2"/>
      <c r="E71" s="2"/>
      <c r="F71" s="38">
        <f>IFERROR(__xludf.DUMMYFUNCTION("""COMPUTED_VALUE"""),46307.0)</f>
        <v>46307</v>
      </c>
      <c r="G71" s="42">
        <f>IFERROR(__xludf.DUMMYFUNCTION("""COMPUTED_VALUE"""),0.7104166666666667)</f>
        <v>0.7104166667</v>
      </c>
      <c r="H71" s="41" t="str">
        <f>IFERROR(__xludf.DUMMYFUNCTION("""COMPUTED_VALUE"""),"👔 Shaxsiy")</f>
        <v>👔 Shaxsiy</v>
      </c>
      <c r="I71" s="40">
        <f>IFERROR(__xludf.DUMMYFUNCTION("""COMPUTED_VALUE"""),70000.0)</f>
        <v>70000</v>
      </c>
      <c r="J71" s="41" t="str">
        <f>IFERROR(__xludf.DUMMYFUNCTION("""COMPUTED_VALUE"""),"МирМуxаммад Файзуллаев")</f>
        <v>МирМуxаммад Файзуллаев</v>
      </c>
      <c r="K71" s="41" t="str">
        <f>IFERROR(__xludf.DUMMYFUNCTION("""COMPUTED_VALUE"""),"shaxsiy ovqatga")</f>
        <v>shaxsiy ovqatga</v>
      </c>
      <c r="L71" s="2"/>
      <c r="M71" s="2"/>
      <c r="N71" s="2"/>
    </row>
    <row r="72" ht="18.0" customHeight="1">
      <c r="A72" s="2"/>
      <c r="B72" s="2"/>
      <c r="C72" s="2"/>
      <c r="D72" s="2"/>
      <c r="E72" s="2"/>
      <c r="F72" s="38">
        <f>IFERROR(__xludf.DUMMYFUNCTION("""COMPUTED_VALUE"""),46307.0)</f>
        <v>46307</v>
      </c>
      <c r="G72" s="42">
        <f>IFERROR(__xludf.DUMMYFUNCTION("""COMPUTED_VALUE"""),0.7090277777777778)</f>
        <v>0.7090277778</v>
      </c>
      <c r="H72" s="41" t="str">
        <f>IFERROR(__xludf.DUMMYFUNCTION("""COMPUTED_VALUE"""),"👔 Shaxsiy")</f>
        <v>👔 Shaxsiy</v>
      </c>
      <c r="I72" s="40">
        <f>IFERROR(__xludf.DUMMYFUNCTION("""COMPUTED_VALUE"""),280000.0)</f>
        <v>280000</v>
      </c>
      <c r="J72" s="41" t="str">
        <f>IFERROR(__xludf.DUMMYFUNCTION("""COMPUTED_VALUE"""),"МирМуxаммад Файзуллаев")</f>
        <v>МирМуxаммад Файзуллаев</v>
      </c>
      <c r="K72" s="41" t="str">
        <f>IFERROR(__xludf.DUMMYFUNCTION("""COMPUTED_VALUE"""),"shaxsiy ujinga")</f>
        <v>shaxsiy ujinga</v>
      </c>
      <c r="L72" s="2"/>
      <c r="M72" s="2"/>
      <c r="N72" s="2"/>
    </row>
    <row r="73" ht="18.0" customHeight="1">
      <c r="A73" s="2"/>
      <c r="B73" s="2"/>
      <c r="C73" s="2"/>
      <c r="D73" s="2"/>
      <c r="E73" s="2"/>
      <c r="F73" s="38">
        <f>IFERROR(__xludf.DUMMYFUNCTION("""COMPUTED_VALUE"""),46307.0)</f>
        <v>46307</v>
      </c>
      <c r="G73" s="42">
        <f>IFERROR(__xludf.DUMMYFUNCTION("""COMPUTED_VALUE"""),0.7076388888888889)</f>
        <v>0.7076388889</v>
      </c>
      <c r="H73" s="41" t="str">
        <f>IFERROR(__xludf.DUMMYFUNCTION("""COMPUTED_VALUE"""),"👔 Shaxsiy")</f>
        <v>👔 Shaxsiy</v>
      </c>
      <c r="I73" s="40">
        <f>IFERROR(__xludf.DUMMYFUNCTION("""COMPUTED_VALUE"""),450000.0)</f>
        <v>450000</v>
      </c>
      <c r="J73" s="41" t="str">
        <f>IFERROR(__xludf.DUMMYFUNCTION("""COMPUTED_VALUE"""),"МирМуxаммад Файзуллаев")</f>
        <v>МирМуxаммад Файзуллаев</v>
      </c>
      <c r="K73" s="41" t="str">
        <f>IFERROR(__xludf.DUMMYFUNCTION("""COMPUTED_VALUE"""),"shaxsiy kiyimga")</f>
        <v>shaxsiy kiyimga</v>
      </c>
      <c r="L73" s="2"/>
      <c r="M73" s="2"/>
      <c r="N73" s="2"/>
    </row>
    <row r="74" ht="18.0" customHeight="1">
      <c r="A74" s="2"/>
      <c r="B74" s="2"/>
      <c r="C74" s="2"/>
      <c r="D74" s="2"/>
      <c r="E74" s="2"/>
      <c r="F74" s="38">
        <f>IFERROR(__xludf.DUMMYFUNCTION("""COMPUTED_VALUE"""),46307.0)</f>
        <v>46307</v>
      </c>
      <c r="G74" s="42">
        <f>IFERROR(__xludf.DUMMYFUNCTION("""COMPUTED_VALUE"""),0.70625)</f>
        <v>0.70625</v>
      </c>
      <c r="H74" s="41" t="str">
        <f>IFERROR(__xludf.DUMMYFUNCTION("""COMPUTED_VALUE"""),"🏠 Uy uchun")</f>
        <v>🏠 Uy uchun</v>
      </c>
      <c r="I74" s="40">
        <f>IFERROR(__xludf.DUMMYFUNCTION("""COMPUTED_VALUE"""),600000.0)</f>
        <v>600000</v>
      </c>
      <c r="J74" s="41" t="str">
        <f>IFERROR(__xludf.DUMMYFUNCTION("""COMPUTED_VALUE"""),"МирМуxаммад Файзуллаев")</f>
        <v>МирМуxаммад Файзуллаев</v>
      </c>
      <c r="K74" s="41" t="str">
        <f>IFERROR(__xludf.DUMMYFUNCTION("""COMPUTED_VALUE"""),"uy uchun")</f>
        <v>uy uchun</v>
      </c>
      <c r="L74" s="2"/>
      <c r="M74" s="2"/>
      <c r="N74" s="2"/>
    </row>
    <row r="75" ht="18.0" customHeight="1">
      <c r="A75" s="2"/>
      <c r="B75" s="2"/>
      <c r="C75" s="2"/>
      <c r="D75" s="2"/>
      <c r="E75" s="2"/>
      <c r="F75" s="38">
        <f>IFERROR(__xludf.DUMMYFUNCTION("""COMPUTED_VALUE"""),46307.0)</f>
        <v>46307</v>
      </c>
      <c r="G75" s="42">
        <f>IFERROR(__xludf.DUMMYFUNCTION("""COMPUTED_VALUE"""),0.7048611111111112)</f>
        <v>0.7048611111</v>
      </c>
      <c r="H75" s="41" t="str">
        <f>IFERROR(__xludf.DUMMYFUNCTION("""COMPUTED_VALUE"""),"🏠 Uy uchun")</f>
        <v>🏠 Uy uchun</v>
      </c>
      <c r="I75" s="40">
        <f>IFERROR(__xludf.DUMMYFUNCTION("""COMPUTED_VALUE"""),600000.0)</f>
        <v>600000</v>
      </c>
      <c r="J75" s="41" t="str">
        <f>IFERROR(__xludf.DUMMYFUNCTION("""COMPUTED_VALUE"""),"МирМуxаммад Файзуллаев")</f>
        <v>МирМуxаммад Файзуллаев</v>
      </c>
      <c r="K75" s="41" t="str">
        <f>IFERROR(__xludf.DUMMYFUNCTION("""COMPUTED_VALUE"""),"uy uchun adamga")</f>
        <v>uy uchun adamga</v>
      </c>
      <c r="L75" s="2"/>
      <c r="M75" s="2"/>
      <c r="N75" s="2"/>
    </row>
    <row r="76" ht="18.0" customHeight="1">
      <c r="A76" s="2"/>
      <c r="B76" s="2"/>
      <c r="C76" s="2"/>
      <c r="D76" s="2"/>
      <c r="E76" s="2"/>
      <c r="F76" s="38">
        <f>IFERROR(__xludf.DUMMYFUNCTION("""COMPUTED_VALUE"""),46307.0)</f>
        <v>46307</v>
      </c>
      <c r="G76" s="42">
        <f>IFERROR(__xludf.DUMMYFUNCTION("""COMPUTED_VALUE"""),0.6743055555555556)</f>
        <v>0.6743055556</v>
      </c>
      <c r="H76" s="41" t="str">
        <f>IFERROR(__xludf.DUMMYFUNCTION("""COMPUTED_VALUE"""),"👔 Shaxsiy")</f>
        <v>👔 Shaxsiy</v>
      </c>
      <c r="I76" s="40">
        <f>IFERROR(__xludf.DUMMYFUNCTION("""COMPUTED_VALUE"""),200000.0)</f>
        <v>200000</v>
      </c>
      <c r="J76" s="41" t="str">
        <f>IFERROR(__xludf.DUMMYFUNCTION("""COMPUTED_VALUE"""),"МирМуxаммад Файзуллаев")</f>
        <v>МирМуxаммад Файзуллаев</v>
      </c>
      <c r="K76" s="41" t="str">
        <f>IFERROR(__xludf.DUMMYFUNCTION("""COMPUTED_VALUE"""),"shaxsiy exson")</f>
        <v>shaxsiy exson</v>
      </c>
      <c r="L76" s="2"/>
      <c r="M76" s="2"/>
      <c r="N76" s="2"/>
    </row>
    <row r="77" ht="18.0" customHeight="1">
      <c r="A77" s="2"/>
      <c r="B77" s="2"/>
      <c r="C77" s="2"/>
      <c r="D77" s="2"/>
      <c r="E77" s="2"/>
      <c r="F77" s="38">
        <f>IFERROR(__xludf.DUMMYFUNCTION("""COMPUTED_VALUE"""),46307.0)</f>
        <v>46307</v>
      </c>
      <c r="G77" s="42">
        <f>IFERROR(__xludf.DUMMYFUNCTION("""COMPUTED_VALUE"""),0.6708333333333333)</f>
        <v>0.6708333333</v>
      </c>
      <c r="H77" s="41" t="str">
        <f>IFERROR(__xludf.DUMMYFUNCTION("""COMPUTED_VALUE"""),"👔 Shaxsiy")</f>
        <v>👔 Shaxsiy</v>
      </c>
      <c r="I77" s="40">
        <f>IFERROR(__xludf.DUMMYFUNCTION("""COMPUTED_VALUE"""),230000.0)</f>
        <v>230000</v>
      </c>
      <c r="J77" s="41" t="str">
        <f>IFERROR(__xludf.DUMMYFUNCTION("""COMPUTED_VALUE"""),"МирМуxаммад Файзуллаев")</f>
        <v>МирМуxаммад Файзуллаев</v>
      </c>
      <c r="K77" s="41" t="str">
        <f>IFERROR(__xludf.DUMMYFUNCTION("""COMPUTED_VALUE"""),"shaxsiy uy uchun bozor")</f>
        <v>shaxsiy uy uchun bozor</v>
      </c>
      <c r="L77" s="2"/>
      <c r="M77" s="2"/>
      <c r="N77" s="2"/>
    </row>
    <row r="78" ht="18.0" customHeight="1">
      <c r="A78" s="2"/>
      <c r="B78" s="2"/>
      <c r="C78" s="2"/>
      <c r="D78" s="2"/>
      <c r="E78" s="2"/>
      <c r="F78" s="38">
        <f>IFERROR(__xludf.DUMMYFUNCTION("""COMPUTED_VALUE"""),46307.0)</f>
        <v>46307</v>
      </c>
      <c r="G78" s="42">
        <f>IFERROR(__xludf.DUMMYFUNCTION("""COMPUTED_VALUE"""),0.6701388888888888)</f>
        <v>0.6701388889</v>
      </c>
      <c r="H78" s="41" t="str">
        <f>IFERROR(__xludf.DUMMYFUNCTION("""COMPUTED_VALUE"""),"👔 Shaxsiy")</f>
        <v>👔 Shaxsiy</v>
      </c>
      <c r="I78" s="40">
        <f>IFERROR(__xludf.DUMMYFUNCTION("""COMPUTED_VALUE"""),170000.0)</f>
        <v>170000</v>
      </c>
      <c r="J78" s="41" t="str">
        <f>IFERROR(__xludf.DUMMYFUNCTION("""COMPUTED_VALUE"""),"МирМуxаммад Файзуллаев")</f>
        <v>МирМуxаммад Файзуллаев</v>
      </c>
      <c r="K78" s="41" t="str">
        <f>IFERROR(__xludf.DUMMYFUNCTION("""COMPUTED_VALUE"""),"shaxsiy uy uchun bozor")</f>
        <v>shaxsiy uy uchun bozor</v>
      </c>
      <c r="L78" s="2"/>
      <c r="M78" s="2"/>
      <c r="N78" s="2"/>
    </row>
    <row r="79" ht="18.0" customHeight="1">
      <c r="A79" s="2"/>
      <c r="B79" s="2"/>
      <c r="C79" s="2"/>
      <c r="D79" s="2"/>
      <c r="E79" s="2"/>
      <c r="F79" s="38">
        <f>IFERROR(__xludf.DUMMYFUNCTION("""COMPUTED_VALUE"""),46307.0)</f>
        <v>46307</v>
      </c>
      <c r="G79" s="42">
        <f>IFERROR(__xludf.DUMMYFUNCTION("""COMPUTED_VALUE"""),0.6694444444444444)</f>
        <v>0.6694444444</v>
      </c>
      <c r="H79" s="41" t="str">
        <f>IFERROR(__xludf.DUMMYFUNCTION("""COMPUTED_VALUE"""),"👔 Shaxsiy")</f>
        <v>👔 Shaxsiy</v>
      </c>
      <c r="I79" s="40">
        <f>IFERROR(__xludf.DUMMYFUNCTION("""COMPUTED_VALUE"""),150000.0)</f>
        <v>150000</v>
      </c>
      <c r="J79" s="41" t="str">
        <f>IFERROR(__xludf.DUMMYFUNCTION("""COMPUTED_VALUE"""),"МирМуxаммад Файзуллаев")</f>
        <v>МирМуxаммад Файзуллаев</v>
      </c>
      <c r="K79" s="41" t="str">
        <f>IFERROR(__xludf.DUMMYFUNCTION("""COMPUTED_VALUE"""),"shaxsiy ujinga")</f>
        <v>shaxsiy ujinga</v>
      </c>
      <c r="L79" s="2"/>
      <c r="M79" s="2"/>
      <c r="N79" s="2"/>
    </row>
    <row r="80" ht="18.0" customHeight="1">
      <c r="A80" s="2"/>
      <c r="B80" s="2"/>
      <c r="C80" s="2"/>
      <c r="D80" s="2"/>
      <c r="E80" s="2"/>
      <c r="F80" s="38">
        <f>IFERROR(__xludf.DUMMYFUNCTION("""COMPUTED_VALUE"""),46307.0)</f>
        <v>46307</v>
      </c>
      <c r="G80" s="42">
        <f>IFERROR(__xludf.DUMMYFUNCTION("""COMPUTED_VALUE"""),0.6083333333333333)</f>
        <v>0.6083333333</v>
      </c>
      <c r="H80" s="41" t="str">
        <f>IFERROR(__xludf.DUMMYFUNCTION("""COMPUTED_VALUE"""),"👔 Shaxsiy")</f>
        <v>👔 Shaxsiy</v>
      </c>
      <c r="I80" s="40">
        <f>IFERROR(__xludf.DUMMYFUNCTION("""COMPUTED_VALUE"""),120000.0)</f>
        <v>120000</v>
      </c>
      <c r="J80" s="41" t="str">
        <f>IFERROR(__xludf.DUMMYFUNCTION("""COMPUTED_VALUE"""),"МирМуxаммад Файзуллаев")</f>
        <v>МирМуxаммад Файзуллаев</v>
      </c>
      <c r="K80" s="41" t="str">
        <f>IFERROR(__xludf.DUMMYFUNCTION("""COMPUTED_VALUE"""),"shaxsiy xarajatla moyka zeekr")</f>
        <v>shaxsiy xarajatla moyka zeekr</v>
      </c>
      <c r="L80" s="2"/>
      <c r="M80" s="2"/>
      <c r="N80" s="2"/>
    </row>
    <row r="81" ht="18.0" customHeight="1">
      <c r="A81" s="2"/>
      <c r="B81" s="2"/>
      <c r="C81" s="2"/>
      <c r="D81" s="2"/>
      <c r="E81" s="2"/>
      <c r="F81" s="38">
        <f>IFERROR(__xludf.DUMMYFUNCTION("""COMPUTED_VALUE"""),46307.0)</f>
        <v>46307</v>
      </c>
      <c r="G81" s="42">
        <f>IFERROR(__xludf.DUMMYFUNCTION("""COMPUTED_VALUE"""),0.60625)</f>
        <v>0.60625</v>
      </c>
      <c r="H81" s="41" t="str">
        <f>IFERROR(__xludf.DUMMYFUNCTION("""COMPUTED_VALUE"""),"👔 Shaxsiy")</f>
        <v>👔 Shaxsiy</v>
      </c>
      <c r="I81" s="40">
        <f>IFERROR(__xludf.DUMMYFUNCTION("""COMPUTED_VALUE"""),500000.0)</f>
        <v>500000</v>
      </c>
      <c r="J81" s="41" t="str">
        <f>IFERROR(__xludf.DUMMYFUNCTION("""COMPUTED_VALUE"""),"МирМуxаммад Файзуллаев")</f>
        <v>МирМуxаммад Файзуллаев</v>
      </c>
      <c r="K81" s="41" t="str">
        <f>IFERROR(__xludf.DUMMYFUNCTION("""COMPUTED_VALUE"""),"shaxsiy xarajatla uy uchun farangizga")</f>
        <v>shaxsiy xarajatla uy uchun farangizga</v>
      </c>
      <c r="L81" s="2"/>
      <c r="M81" s="2"/>
      <c r="N81" s="2"/>
    </row>
    <row r="82" ht="18.0" customHeight="1">
      <c r="A82" s="2"/>
      <c r="B82" s="2"/>
      <c r="C82" s="2"/>
      <c r="D82" s="2"/>
      <c r="E82" s="2"/>
      <c r="F82" s="38">
        <f>IFERROR(__xludf.DUMMYFUNCTION("""COMPUTED_VALUE"""),46307.0)</f>
        <v>46307</v>
      </c>
      <c r="G82" s="42">
        <f>IFERROR(__xludf.DUMMYFUNCTION("""COMPUTED_VALUE"""),0.6027777777777777)</f>
        <v>0.6027777778</v>
      </c>
      <c r="H82" s="41" t="str">
        <f>IFERROR(__xludf.DUMMYFUNCTION("""COMPUTED_VALUE"""),"👔 Shaxsiy")</f>
        <v>👔 Shaxsiy</v>
      </c>
      <c r="I82" s="40">
        <f>IFERROR(__xludf.DUMMYFUNCTION("""COMPUTED_VALUE"""),105000.0)</f>
        <v>105000</v>
      </c>
      <c r="J82" s="41" t="str">
        <f>IFERROR(__xludf.DUMMYFUNCTION("""COMPUTED_VALUE"""),"МирМуxаммад Файзуллаев")</f>
        <v>МирМуxаммад Файзуллаев</v>
      </c>
      <c r="K82" s="41" t="str">
        <f>IFERROR(__xludf.DUMMYFUNCTION("""COMPUTED_VALUE"""),"shaxsiy xarajatlar ujin")</f>
        <v>shaxsiy xarajatlar ujin</v>
      </c>
      <c r="L82" s="2"/>
      <c r="M82" s="2"/>
      <c r="N82" s="2"/>
    </row>
    <row r="83" ht="18.0" customHeight="1">
      <c r="A83" s="2"/>
      <c r="B83" s="2"/>
      <c r="C83" s="2"/>
      <c r="D83" s="2"/>
      <c r="E83" s="2"/>
      <c r="F83" s="38">
        <f>IFERROR(__xludf.DUMMYFUNCTION("""COMPUTED_VALUE"""),46306.0)</f>
        <v>46306</v>
      </c>
      <c r="G83" s="42">
        <f>IFERROR(__xludf.DUMMYFUNCTION("""COMPUTED_VALUE"""),0.75625)</f>
        <v>0.75625</v>
      </c>
      <c r="H83" s="41" t="str">
        <f>IFERROR(__xludf.DUMMYFUNCTION("""COMPUTED_VALUE"""),"👔 Shaxsiy")</f>
        <v>👔 Shaxsiy</v>
      </c>
      <c r="I83" s="40">
        <f>IFERROR(__xludf.DUMMYFUNCTION("""COMPUTED_VALUE"""),120000.0)</f>
        <v>120000</v>
      </c>
      <c r="J83" s="41" t="str">
        <f>IFERROR(__xludf.DUMMYFUNCTION("""COMPUTED_VALUE"""),"Umid Yusupov")</f>
        <v>Umid Yusupov</v>
      </c>
      <c r="K83" s="41" t="str">
        <f>IFERROR(__xludf.DUMMYFUNCTION("""COMPUTED_VALUE"""),"Мойка Zeekr")</f>
        <v>Мойка Zeekr</v>
      </c>
      <c r="L83" s="2"/>
      <c r="M83" s="2"/>
      <c r="N83" s="2"/>
    </row>
    <row r="84" ht="18.0" customHeight="1">
      <c r="A84" s="2"/>
      <c r="B84" s="2"/>
      <c r="C84" s="2"/>
      <c r="D84" s="2"/>
      <c r="E84" s="2"/>
      <c r="F84" s="38">
        <f>IFERROR(__xludf.DUMMYFUNCTION("""COMPUTED_VALUE"""),46306.0)</f>
        <v>46306</v>
      </c>
      <c r="G84" s="42">
        <f>IFERROR(__xludf.DUMMYFUNCTION("""COMPUTED_VALUE"""),0.7326388888888888)</f>
        <v>0.7326388889</v>
      </c>
      <c r="H84" s="41" t="str">
        <f>IFERROR(__xludf.DUMMYFUNCTION("""COMPUTED_VALUE"""),"👔 Shaxsiy")</f>
        <v>👔 Shaxsiy</v>
      </c>
      <c r="I84" s="40">
        <f>IFERROR(__xludf.DUMMYFUNCTION("""COMPUTED_VALUE"""),25000.0)</f>
        <v>25000</v>
      </c>
      <c r="J84" s="41" t="str">
        <f>IFERROR(__xludf.DUMMYFUNCTION("""COMPUTED_VALUE"""),"Umid Yusupov")</f>
        <v>Umid Yusupov</v>
      </c>
      <c r="K84" s="41" t="str">
        <f>IFERROR(__xludf.DUMMYFUNCTION("""COMPUTED_VALUE"""),"Обед Нон кабоб")</f>
        <v>Обед Нон кабоб</v>
      </c>
      <c r="L84" s="2"/>
      <c r="M84" s="2"/>
      <c r="N84" s="2"/>
    </row>
    <row r="85" ht="18.0" customHeight="1">
      <c r="A85" s="2"/>
      <c r="B85" s="2"/>
      <c r="C85" s="2"/>
      <c r="D85" s="2"/>
      <c r="E85" s="2"/>
      <c r="F85" s="38">
        <f>IFERROR(__xludf.DUMMYFUNCTION("""COMPUTED_VALUE"""),46305.0)</f>
        <v>46305</v>
      </c>
      <c r="G85" s="42">
        <f>IFERROR(__xludf.DUMMYFUNCTION("""COMPUTED_VALUE"""),0.8131944444444444)</f>
        <v>0.8131944444</v>
      </c>
      <c r="H85" s="41" t="str">
        <f>IFERROR(__xludf.DUMMYFUNCTION("""COMPUTED_VALUE"""),"👔 Shaxsiy")</f>
        <v>👔 Shaxsiy</v>
      </c>
      <c r="I85" s="40">
        <f>IFERROR(__xludf.DUMMYFUNCTION("""COMPUTED_VALUE"""),20000.0)</f>
        <v>20000</v>
      </c>
      <c r="J85" s="41" t="str">
        <f>IFERROR(__xludf.DUMMYFUNCTION("""COMPUTED_VALUE"""),"°°•• Gafurov Islom ••°°")</f>
        <v>°°•• Gafurov Islom ••°°</v>
      </c>
      <c r="K85" s="41" t="str">
        <f>IFERROR(__xludf.DUMMYFUNCTION("""COMPUTED_VALUE"""),"Стадион")</f>
        <v>Стадион</v>
      </c>
      <c r="L85" s="2"/>
      <c r="M85" s="2"/>
      <c r="N85" s="2"/>
    </row>
    <row r="86" ht="18.0" customHeight="1">
      <c r="A86" s="2"/>
      <c r="B86" s="2"/>
      <c r="C86" s="2"/>
      <c r="D86" s="2"/>
      <c r="E86" s="2"/>
      <c r="F86" s="38"/>
      <c r="G86" s="42"/>
      <c r="H86" s="41"/>
      <c r="I86" s="40"/>
      <c r="J86" s="41"/>
      <c r="K86" s="41"/>
      <c r="L86" s="2"/>
      <c r="M86" s="2"/>
      <c r="N86" s="2"/>
    </row>
    <row r="87" ht="18.0" customHeight="1">
      <c r="A87" s="2"/>
      <c r="B87" s="2"/>
      <c r="C87" s="2"/>
      <c r="D87" s="2"/>
      <c r="E87" s="2"/>
      <c r="F87" s="38"/>
      <c r="G87" s="42"/>
      <c r="H87" s="41"/>
      <c r="I87" s="40"/>
      <c r="J87" s="41"/>
      <c r="K87" s="41"/>
      <c r="L87" s="2"/>
      <c r="M87" s="2"/>
      <c r="N87" s="2"/>
    </row>
    <row r="88" ht="18.0" customHeight="1">
      <c r="A88" s="2"/>
      <c r="B88" s="2"/>
      <c r="C88" s="2"/>
      <c r="D88" s="2"/>
      <c r="E88" s="2"/>
      <c r="F88" s="38"/>
      <c r="G88" s="42"/>
      <c r="H88" s="41"/>
      <c r="I88" s="40"/>
      <c r="J88" s="41"/>
      <c r="K88" s="41"/>
      <c r="L88" s="2"/>
      <c r="M88" s="2"/>
      <c r="N88" s="2"/>
    </row>
    <row r="89" ht="18.0" customHeight="1">
      <c r="A89" s="2"/>
      <c r="B89" s="2"/>
      <c r="C89" s="2"/>
      <c r="D89" s="2"/>
      <c r="E89" s="2"/>
      <c r="F89" s="38"/>
      <c r="G89" s="42"/>
      <c r="H89" s="41"/>
      <c r="I89" s="40"/>
      <c r="J89" s="41"/>
      <c r="K89" s="41"/>
      <c r="L89" s="2"/>
      <c r="M89" s="2"/>
      <c r="N89" s="2"/>
    </row>
    <row r="90" ht="18.0" customHeight="1">
      <c r="A90" s="2"/>
      <c r="B90" s="2"/>
      <c r="C90" s="2"/>
      <c r="D90" s="2"/>
      <c r="E90" s="2"/>
      <c r="F90" s="38"/>
      <c r="G90" s="42"/>
      <c r="H90" s="41"/>
      <c r="I90" s="40"/>
      <c r="J90" s="41"/>
      <c r="K90" s="41"/>
      <c r="L90" s="2"/>
      <c r="M90" s="2"/>
      <c r="N90" s="2"/>
    </row>
    <row r="91" ht="18.0" customHeight="1">
      <c r="A91" s="2"/>
      <c r="B91" s="2"/>
      <c r="C91" s="2"/>
      <c r="D91" s="2"/>
      <c r="E91" s="2"/>
      <c r="F91" s="38"/>
      <c r="G91" s="42"/>
      <c r="H91" s="41"/>
      <c r="I91" s="40"/>
      <c r="J91" s="41"/>
      <c r="K91" s="41"/>
      <c r="L91" s="2"/>
      <c r="M91" s="2"/>
      <c r="N91" s="2"/>
    </row>
    <row r="92" ht="18.0" customHeight="1">
      <c r="A92" s="2"/>
      <c r="B92" s="2"/>
      <c r="C92" s="2"/>
      <c r="D92" s="2"/>
      <c r="E92" s="2"/>
      <c r="F92" s="38"/>
      <c r="G92" s="42"/>
      <c r="H92" s="41"/>
      <c r="I92" s="40"/>
      <c r="J92" s="41"/>
      <c r="K92" s="41"/>
      <c r="L92" s="2"/>
      <c r="M92" s="2"/>
      <c r="N92" s="2"/>
    </row>
    <row r="93" ht="18.0" customHeight="1">
      <c r="A93" s="2"/>
      <c r="B93" s="2"/>
      <c r="C93" s="2"/>
      <c r="D93" s="2"/>
      <c r="E93" s="2"/>
      <c r="F93" s="38"/>
      <c r="G93" s="42"/>
      <c r="H93" s="41"/>
      <c r="I93" s="40"/>
      <c r="J93" s="41"/>
      <c r="K93" s="41"/>
      <c r="L93" s="2"/>
      <c r="M93" s="2"/>
      <c r="N93" s="2"/>
    </row>
    <row r="94" ht="18.0" customHeight="1">
      <c r="A94" s="2"/>
      <c r="B94" s="2"/>
      <c r="C94" s="2"/>
      <c r="D94" s="2"/>
      <c r="E94" s="2"/>
      <c r="F94" s="38"/>
      <c r="G94" s="42"/>
      <c r="H94" s="41"/>
      <c r="I94" s="40"/>
      <c r="J94" s="41"/>
      <c r="K94" s="41"/>
      <c r="L94" s="2"/>
      <c r="M94" s="2"/>
      <c r="N94" s="2"/>
    </row>
    <row r="95" ht="18.0" customHeight="1">
      <c r="A95" s="2"/>
      <c r="B95" s="2"/>
      <c r="C95" s="2"/>
      <c r="D95" s="2"/>
      <c r="E95" s="2"/>
      <c r="F95" s="38"/>
      <c r="G95" s="42"/>
      <c r="H95" s="41"/>
      <c r="I95" s="40"/>
      <c r="J95" s="41"/>
      <c r="K95" s="41"/>
      <c r="L95" s="2"/>
      <c r="M95" s="2"/>
      <c r="N95" s="2"/>
    </row>
    <row r="96" ht="18.0" customHeight="1">
      <c r="A96" s="2"/>
      <c r="B96" s="2"/>
      <c r="C96" s="2"/>
      <c r="D96" s="2"/>
      <c r="E96" s="2"/>
      <c r="F96" s="38"/>
      <c r="G96" s="42"/>
      <c r="H96" s="41"/>
      <c r="I96" s="40"/>
      <c r="J96" s="41"/>
      <c r="K96" s="41"/>
      <c r="L96" s="2"/>
      <c r="M96" s="2"/>
      <c r="N96" s="2"/>
    </row>
    <row r="97" ht="18.0" customHeight="1">
      <c r="A97" s="2"/>
      <c r="B97" s="2"/>
      <c r="C97" s="2"/>
      <c r="D97" s="2"/>
      <c r="E97" s="2"/>
      <c r="F97" s="38"/>
      <c r="G97" s="42"/>
      <c r="H97" s="41"/>
      <c r="I97" s="40"/>
      <c r="J97" s="41"/>
      <c r="K97" s="41"/>
      <c r="L97" s="2"/>
      <c r="M97" s="2"/>
      <c r="N97" s="2"/>
    </row>
    <row r="98" ht="18.0" customHeight="1">
      <c r="A98" s="2"/>
      <c r="B98" s="2"/>
      <c r="C98" s="2"/>
      <c r="D98" s="2"/>
      <c r="E98" s="2"/>
      <c r="F98" s="38"/>
      <c r="G98" s="42"/>
      <c r="H98" s="41"/>
      <c r="I98" s="40"/>
      <c r="J98" s="41"/>
      <c r="K98" s="41"/>
      <c r="L98" s="2"/>
      <c r="M98" s="2"/>
      <c r="N98" s="2"/>
    </row>
    <row r="99" ht="18.0" customHeight="1">
      <c r="A99" s="2"/>
      <c r="B99" s="2"/>
      <c r="C99" s="2"/>
      <c r="D99" s="2"/>
      <c r="E99" s="2"/>
      <c r="F99" s="38"/>
      <c r="G99" s="42"/>
      <c r="H99" s="41"/>
      <c r="I99" s="40"/>
      <c r="J99" s="41"/>
      <c r="K99" s="41"/>
      <c r="L99" s="2"/>
      <c r="M99" s="2"/>
      <c r="N99" s="2"/>
    </row>
    <row r="100" ht="18.0" customHeight="1">
      <c r="A100" s="2"/>
      <c r="B100" s="2"/>
      <c r="C100" s="2"/>
      <c r="D100" s="2"/>
      <c r="E100" s="2"/>
      <c r="F100" s="38"/>
      <c r="G100" s="42"/>
      <c r="H100" s="41"/>
      <c r="I100" s="40"/>
      <c r="J100" s="41"/>
      <c r="K100" s="41"/>
      <c r="L100" s="2"/>
      <c r="M100" s="2"/>
      <c r="N100" s="2"/>
    </row>
    <row r="101" ht="18.0" customHeight="1">
      <c r="A101" s="2"/>
      <c r="B101" s="2"/>
      <c r="C101" s="2"/>
      <c r="D101" s="2"/>
      <c r="E101" s="2"/>
      <c r="F101" s="38"/>
      <c r="G101" s="42"/>
      <c r="H101" s="41"/>
      <c r="I101" s="40"/>
      <c r="J101" s="41"/>
      <c r="K101" s="41"/>
      <c r="L101" s="2"/>
      <c r="M101" s="2"/>
      <c r="N101" s="2"/>
    </row>
    <row r="102" ht="18.0" customHeight="1">
      <c r="A102" s="2"/>
      <c r="B102" s="2"/>
      <c r="C102" s="2"/>
      <c r="D102" s="2"/>
      <c r="E102" s="2"/>
      <c r="F102" s="38"/>
      <c r="G102" s="42"/>
      <c r="H102" s="41"/>
      <c r="I102" s="40"/>
      <c r="J102" s="41"/>
      <c r="K102" s="41"/>
      <c r="L102" s="2"/>
      <c r="M102" s="2"/>
      <c r="N102" s="2"/>
    </row>
    <row r="103" ht="18.0" customHeight="1">
      <c r="A103" s="2"/>
      <c r="B103" s="2"/>
      <c r="C103" s="2"/>
      <c r="D103" s="2"/>
      <c r="E103" s="2"/>
      <c r="F103" s="38"/>
      <c r="G103" s="42"/>
      <c r="H103" s="41"/>
      <c r="I103" s="40"/>
      <c r="J103" s="41"/>
      <c r="K103" s="41"/>
      <c r="L103" s="2"/>
      <c r="M103" s="2"/>
      <c r="N103" s="2"/>
    </row>
    <row r="104" ht="18.0" customHeight="1">
      <c r="A104" s="2"/>
      <c r="B104" s="2"/>
      <c r="C104" s="2"/>
      <c r="D104" s="2"/>
      <c r="E104" s="2"/>
      <c r="F104" s="38"/>
      <c r="G104" s="42"/>
      <c r="H104" s="41"/>
      <c r="I104" s="40"/>
      <c r="J104" s="41"/>
      <c r="K104" s="41"/>
      <c r="L104" s="2"/>
      <c r="M104" s="2"/>
      <c r="N104" s="2"/>
    </row>
    <row r="105" ht="18.0" customHeight="1">
      <c r="A105" s="2"/>
      <c r="B105" s="2"/>
      <c r="C105" s="2"/>
      <c r="D105" s="2"/>
      <c r="E105" s="2"/>
      <c r="F105" s="38"/>
      <c r="G105" s="42"/>
      <c r="H105" s="41"/>
      <c r="I105" s="40"/>
      <c r="J105" s="41"/>
      <c r="K105" s="41"/>
      <c r="L105" s="2"/>
      <c r="M105" s="2"/>
      <c r="N105" s="2"/>
    </row>
    <row r="106" ht="18.0" customHeight="1">
      <c r="A106" s="2"/>
      <c r="B106" s="2"/>
      <c r="C106" s="2"/>
      <c r="D106" s="2"/>
      <c r="E106" s="2"/>
      <c r="F106" s="38"/>
      <c r="G106" s="42"/>
      <c r="H106" s="41"/>
      <c r="I106" s="40"/>
      <c r="J106" s="41"/>
      <c r="K106" s="41"/>
      <c r="L106" s="2"/>
      <c r="M106" s="2"/>
      <c r="N106" s="2"/>
    </row>
    <row r="107" ht="18.0" customHeight="1">
      <c r="A107" s="2"/>
      <c r="B107" s="2"/>
      <c r="C107" s="2"/>
      <c r="D107" s="2"/>
      <c r="E107" s="2"/>
      <c r="F107" s="38"/>
      <c r="G107" s="42"/>
      <c r="H107" s="41"/>
      <c r="I107" s="40"/>
      <c r="J107" s="41"/>
      <c r="K107" s="41"/>
      <c r="L107" s="2"/>
      <c r="M107" s="2"/>
      <c r="N107" s="2"/>
    </row>
    <row r="108" ht="18.0" customHeight="1">
      <c r="A108" s="2"/>
      <c r="B108" s="2"/>
      <c r="C108" s="2"/>
      <c r="D108" s="2"/>
      <c r="E108" s="2"/>
      <c r="F108" s="38"/>
      <c r="G108" s="42"/>
      <c r="H108" s="41"/>
      <c r="I108" s="40"/>
      <c r="J108" s="41"/>
      <c r="K108" s="41"/>
      <c r="L108" s="2"/>
      <c r="M108" s="2"/>
      <c r="N108" s="2"/>
    </row>
    <row r="109" ht="18.0" customHeight="1">
      <c r="A109" s="2"/>
      <c r="B109" s="2"/>
      <c r="C109" s="2"/>
      <c r="D109" s="2"/>
      <c r="E109" s="2"/>
      <c r="F109" s="38"/>
      <c r="G109" s="42"/>
      <c r="H109" s="41"/>
      <c r="I109" s="40"/>
      <c r="J109" s="41"/>
      <c r="K109" s="41"/>
      <c r="L109" s="2"/>
      <c r="M109" s="2"/>
      <c r="N109" s="2"/>
    </row>
    <row r="110" ht="18.0" customHeight="1">
      <c r="A110" s="2"/>
      <c r="B110" s="2"/>
      <c r="C110" s="2"/>
      <c r="D110" s="2"/>
      <c r="E110" s="2"/>
      <c r="F110" s="38"/>
      <c r="G110" s="42"/>
      <c r="H110" s="41"/>
      <c r="I110" s="40"/>
      <c r="J110" s="41"/>
      <c r="K110" s="41"/>
      <c r="L110" s="2"/>
      <c r="M110" s="2"/>
      <c r="N110" s="2"/>
    </row>
    <row r="111" ht="18.0" customHeight="1">
      <c r="A111" s="2"/>
      <c r="B111" s="2"/>
      <c r="C111" s="2"/>
      <c r="D111" s="2"/>
      <c r="E111" s="2"/>
      <c r="F111" s="38"/>
      <c r="G111" s="42"/>
      <c r="H111" s="41"/>
      <c r="I111" s="40"/>
      <c r="J111" s="41"/>
      <c r="K111" s="41"/>
      <c r="L111" s="2"/>
      <c r="M111" s="2"/>
      <c r="N111" s="2"/>
    </row>
    <row r="112" ht="18.0" customHeight="1">
      <c r="A112" s="2"/>
      <c r="B112" s="2"/>
      <c r="C112" s="2"/>
      <c r="D112" s="2"/>
      <c r="E112" s="2"/>
      <c r="F112" s="38"/>
      <c r="G112" s="42"/>
      <c r="H112" s="41"/>
      <c r="I112" s="40"/>
      <c r="J112" s="41"/>
      <c r="K112" s="41"/>
      <c r="L112" s="2"/>
      <c r="M112" s="2"/>
      <c r="N112" s="2"/>
    </row>
    <row r="113" ht="18.0" customHeight="1">
      <c r="A113" s="2"/>
      <c r="B113" s="2"/>
      <c r="C113" s="2"/>
      <c r="D113" s="2"/>
      <c r="E113" s="2"/>
      <c r="F113" s="38"/>
      <c r="G113" s="42"/>
      <c r="H113" s="41"/>
      <c r="I113" s="40"/>
      <c r="J113" s="41"/>
      <c r="K113" s="41"/>
      <c r="L113" s="2"/>
      <c r="M113" s="2"/>
      <c r="N113" s="2"/>
    </row>
    <row r="114" ht="18.0" customHeight="1">
      <c r="A114" s="2"/>
      <c r="B114" s="2"/>
      <c r="C114" s="2"/>
      <c r="D114" s="2"/>
      <c r="E114" s="2"/>
      <c r="F114" s="38"/>
      <c r="G114" s="42"/>
      <c r="H114" s="41"/>
      <c r="I114" s="40"/>
      <c r="J114" s="41"/>
      <c r="K114" s="41"/>
      <c r="L114" s="2"/>
      <c r="M114" s="2"/>
      <c r="N114" s="2"/>
    </row>
    <row r="115" ht="18.0" customHeight="1">
      <c r="A115" s="2"/>
      <c r="B115" s="2"/>
      <c r="C115" s="2"/>
      <c r="D115" s="2"/>
      <c r="E115" s="2"/>
      <c r="F115" s="38"/>
      <c r="G115" s="42"/>
      <c r="H115" s="41"/>
      <c r="I115" s="40"/>
      <c r="J115" s="41"/>
      <c r="K115" s="41"/>
      <c r="L115" s="2"/>
      <c r="M115" s="2"/>
      <c r="N115" s="2"/>
    </row>
    <row r="116" ht="18.0" customHeight="1">
      <c r="A116" s="2"/>
      <c r="B116" s="2"/>
      <c r="C116" s="2"/>
      <c r="D116" s="2"/>
      <c r="E116" s="2"/>
      <c r="F116" s="38"/>
      <c r="G116" s="42"/>
      <c r="H116" s="41"/>
      <c r="I116" s="40"/>
      <c r="J116" s="41"/>
      <c r="K116" s="41"/>
      <c r="L116" s="2"/>
      <c r="M116" s="2"/>
      <c r="N116" s="2"/>
    </row>
    <row r="117" ht="18.0" customHeight="1">
      <c r="A117" s="2"/>
      <c r="B117" s="2"/>
      <c r="C117" s="2"/>
      <c r="D117" s="2"/>
      <c r="E117" s="2"/>
      <c r="F117" s="38"/>
      <c r="G117" s="42"/>
      <c r="H117" s="41"/>
      <c r="I117" s="40"/>
      <c r="J117" s="41"/>
      <c r="K117" s="41"/>
      <c r="L117" s="2"/>
      <c r="M117" s="2"/>
      <c r="N117" s="2"/>
    </row>
    <row r="118" ht="18.0" customHeight="1">
      <c r="A118" s="2"/>
      <c r="B118" s="2"/>
      <c r="C118" s="2"/>
      <c r="D118" s="2"/>
      <c r="E118" s="2"/>
      <c r="F118" s="38"/>
      <c r="G118" s="42"/>
      <c r="H118" s="41"/>
      <c r="I118" s="40"/>
      <c r="J118" s="41"/>
      <c r="K118" s="41"/>
      <c r="L118" s="2"/>
      <c r="M118" s="2"/>
      <c r="N118" s="2"/>
    </row>
    <row r="119" ht="18.0" customHeight="1">
      <c r="A119" s="2"/>
      <c r="B119" s="2"/>
      <c r="C119" s="2"/>
      <c r="D119" s="2"/>
      <c r="E119" s="2"/>
      <c r="F119" s="38"/>
      <c r="G119" s="42"/>
      <c r="H119" s="41"/>
      <c r="I119" s="40"/>
      <c r="J119" s="41"/>
      <c r="K119" s="41"/>
      <c r="L119" s="2"/>
      <c r="M119" s="2"/>
      <c r="N119" s="2"/>
    </row>
    <row r="120" ht="18.0" customHeight="1">
      <c r="A120" s="2"/>
      <c r="B120" s="2"/>
      <c r="C120" s="2"/>
      <c r="D120" s="2"/>
      <c r="E120" s="2"/>
      <c r="F120" s="38"/>
      <c r="G120" s="42"/>
      <c r="H120" s="41"/>
      <c r="I120" s="40"/>
      <c r="J120" s="41"/>
      <c r="K120" s="41"/>
      <c r="L120" s="2"/>
      <c r="M120" s="2"/>
      <c r="N120" s="2"/>
    </row>
    <row r="121" ht="18.0" customHeight="1">
      <c r="A121" s="2"/>
      <c r="B121" s="2"/>
      <c r="C121" s="2"/>
      <c r="D121" s="2"/>
      <c r="E121" s="2"/>
      <c r="F121" s="38"/>
      <c r="G121" s="42"/>
      <c r="H121" s="41"/>
      <c r="I121" s="40"/>
      <c r="J121" s="41"/>
      <c r="K121" s="41"/>
      <c r="L121" s="2"/>
      <c r="M121" s="2"/>
      <c r="N121" s="2"/>
    </row>
    <row r="122" ht="18.0" customHeight="1">
      <c r="A122" s="2"/>
      <c r="B122" s="2"/>
      <c r="C122" s="2"/>
      <c r="D122" s="2"/>
      <c r="E122" s="2"/>
      <c r="F122" s="38"/>
      <c r="G122" s="42"/>
      <c r="H122" s="41"/>
      <c r="I122" s="40"/>
      <c r="J122" s="41"/>
      <c r="K122" s="41"/>
      <c r="L122" s="2"/>
      <c r="M122" s="2"/>
      <c r="N122" s="2"/>
    </row>
    <row r="123" ht="18.0" customHeight="1">
      <c r="A123" s="2"/>
      <c r="B123" s="2"/>
      <c r="C123" s="2"/>
      <c r="D123" s="2"/>
      <c r="E123" s="2"/>
      <c r="F123" s="38"/>
      <c r="G123" s="42"/>
      <c r="H123" s="41"/>
      <c r="I123" s="40"/>
      <c r="J123" s="41"/>
      <c r="K123" s="41"/>
      <c r="L123" s="2"/>
      <c r="M123" s="2"/>
      <c r="N123" s="2"/>
    </row>
    <row r="124" ht="18.0" customHeight="1">
      <c r="A124" s="2"/>
      <c r="B124" s="2"/>
      <c r="C124" s="2"/>
      <c r="D124" s="2"/>
      <c r="E124" s="2"/>
      <c r="F124" s="38"/>
      <c r="G124" s="42"/>
      <c r="H124" s="41"/>
      <c r="I124" s="40"/>
      <c r="J124" s="41"/>
      <c r="K124" s="41"/>
      <c r="L124" s="2"/>
      <c r="M124" s="2"/>
      <c r="N124" s="2"/>
    </row>
    <row r="125" ht="18.0" customHeight="1">
      <c r="A125" s="2"/>
      <c r="B125" s="2"/>
      <c r="C125" s="2"/>
      <c r="D125" s="2"/>
      <c r="E125" s="2"/>
      <c r="F125" s="38"/>
      <c r="G125" s="42"/>
      <c r="H125" s="41"/>
      <c r="I125" s="40"/>
      <c r="J125" s="41"/>
      <c r="K125" s="41"/>
      <c r="L125" s="2"/>
      <c r="M125" s="2"/>
      <c r="N125" s="2"/>
    </row>
    <row r="126" ht="18.0" customHeight="1">
      <c r="A126" s="2"/>
      <c r="B126" s="2"/>
      <c r="C126" s="2"/>
      <c r="D126" s="2"/>
      <c r="E126" s="2"/>
      <c r="F126" s="38"/>
      <c r="G126" s="42"/>
      <c r="H126" s="41"/>
      <c r="I126" s="40"/>
      <c r="J126" s="41"/>
      <c r="K126" s="41"/>
      <c r="L126" s="2"/>
      <c r="M126" s="2"/>
      <c r="N126" s="2"/>
    </row>
    <row r="127" ht="18.0" customHeight="1">
      <c r="A127" s="2"/>
      <c r="B127" s="2"/>
      <c r="C127" s="2"/>
      <c r="D127" s="2"/>
      <c r="E127" s="2"/>
      <c r="F127" s="38"/>
      <c r="G127" s="42"/>
      <c r="H127" s="41"/>
      <c r="I127" s="40"/>
      <c r="J127" s="41"/>
      <c r="K127" s="41"/>
      <c r="L127" s="2"/>
      <c r="M127" s="2"/>
      <c r="N127" s="2"/>
    </row>
    <row r="128" ht="18.0" customHeight="1">
      <c r="A128" s="2"/>
      <c r="B128" s="2"/>
      <c r="C128" s="2"/>
      <c r="D128" s="2"/>
      <c r="E128" s="2"/>
      <c r="F128" s="38"/>
      <c r="G128" s="42"/>
      <c r="H128" s="41"/>
      <c r="I128" s="40"/>
      <c r="J128" s="41"/>
      <c r="K128" s="41"/>
      <c r="L128" s="2"/>
      <c r="M128" s="2"/>
      <c r="N128" s="2"/>
    </row>
    <row r="129" ht="18.0" customHeight="1">
      <c r="A129" s="2"/>
      <c r="B129" s="2"/>
      <c r="C129" s="2"/>
      <c r="D129" s="2"/>
      <c r="E129" s="2"/>
      <c r="F129" s="38"/>
      <c r="G129" s="42"/>
      <c r="H129" s="41"/>
      <c r="I129" s="40"/>
      <c r="J129" s="41"/>
      <c r="K129" s="41"/>
      <c r="L129" s="2"/>
      <c r="M129" s="2"/>
      <c r="N129" s="2"/>
    </row>
    <row r="130" ht="18.0" customHeight="1">
      <c r="A130" s="2"/>
      <c r="B130" s="2"/>
      <c r="C130" s="2"/>
      <c r="D130" s="2"/>
      <c r="E130" s="2"/>
      <c r="F130" s="38"/>
      <c r="G130" s="42"/>
      <c r="H130" s="41"/>
      <c r="I130" s="40"/>
      <c r="J130" s="41"/>
      <c r="K130" s="41"/>
      <c r="L130" s="2"/>
      <c r="M130" s="2"/>
      <c r="N130" s="2"/>
    </row>
    <row r="131" ht="18.0" customHeight="1">
      <c r="A131" s="2"/>
      <c r="B131" s="2"/>
      <c r="C131" s="2"/>
      <c r="D131" s="2"/>
      <c r="E131" s="2"/>
      <c r="F131" s="38"/>
      <c r="G131" s="42"/>
      <c r="H131" s="41"/>
      <c r="I131" s="40"/>
      <c r="J131" s="41"/>
      <c r="K131" s="41"/>
      <c r="L131" s="2"/>
      <c r="M131" s="2"/>
      <c r="N131" s="2"/>
    </row>
    <row r="132" ht="18.0" customHeight="1">
      <c r="A132" s="2"/>
      <c r="B132" s="2"/>
      <c r="C132" s="2"/>
      <c r="D132" s="2"/>
      <c r="E132" s="2"/>
      <c r="F132" s="38"/>
      <c r="G132" s="42"/>
      <c r="H132" s="41"/>
      <c r="I132" s="40"/>
      <c r="J132" s="41"/>
      <c r="K132" s="41"/>
      <c r="L132" s="2"/>
      <c r="M132" s="2"/>
      <c r="N132" s="2"/>
    </row>
    <row r="133" ht="18.0" customHeight="1">
      <c r="A133" s="2"/>
      <c r="B133" s="2"/>
      <c r="C133" s="2"/>
      <c r="D133" s="2"/>
      <c r="E133" s="2"/>
      <c r="F133" s="38"/>
      <c r="G133" s="42"/>
      <c r="H133" s="41"/>
      <c r="I133" s="40"/>
      <c r="J133" s="41"/>
      <c r="K133" s="41"/>
      <c r="L133" s="2"/>
      <c r="M133" s="2"/>
      <c r="N133" s="2"/>
    </row>
    <row r="134" ht="18.0" customHeight="1">
      <c r="A134" s="2"/>
      <c r="B134" s="2"/>
      <c r="C134" s="2"/>
      <c r="D134" s="2"/>
      <c r="E134" s="2"/>
      <c r="F134" s="38"/>
      <c r="G134" s="42"/>
      <c r="H134" s="41"/>
      <c r="I134" s="40"/>
      <c r="J134" s="41"/>
      <c r="K134" s="41"/>
      <c r="L134" s="2"/>
      <c r="M134" s="2"/>
      <c r="N134" s="2"/>
    </row>
    <row r="135" ht="18.0" customHeight="1">
      <c r="A135" s="2"/>
      <c r="B135" s="2"/>
      <c r="C135" s="2"/>
      <c r="D135" s="2"/>
      <c r="E135" s="2"/>
      <c r="F135" s="38"/>
      <c r="G135" s="42"/>
      <c r="H135" s="41"/>
      <c r="I135" s="40"/>
      <c r="J135" s="41"/>
      <c r="K135" s="41"/>
      <c r="L135" s="2"/>
      <c r="M135" s="2"/>
      <c r="N135" s="2"/>
    </row>
    <row r="136" ht="18.0" customHeight="1">
      <c r="A136" s="2"/>
      <c r="B136" s="2"/>
      <c r="C136" s="2"/>
      <c r="D136" s="2"/>
      <c r="E136" s="2"/>
      <c r="F136" s="38"/>
      <c r="G136" s="42"/>
      <c r="H136" s="41"/>
      <c r="I136" s="40"/>
      <c r="J136" s="41"/>
      <c r="K136" s="41"/>
      <c r="L136" s="2"/>
      <c r="M136" s="2"/>
      <c r="N136" s="2"/>
    </row>
    <row r="137" ht="18.0" customHeight="1">
      <c r="A137" s="2"/>
      <c r="B137" s="2"/>
      <c r="C137" s="2"/>
      <c r="D137" s="2"/>
      <c r="E137" s="2"/>
      <c r="F137" s="38"/>
      <c r="G137" s="42"/>
      <c r="H137" s="41"/>
      <c r="I137" s="40"/>
      <c r="J137" s="41"/>
      <c r="K137" s="41"/>
      <c r="L137" s="2"/>
      <c r="M137" s="2"/>
      <c r="N137" s="2"/>
    </row>
    <row r="138" ht="18.0" customHeight="1">
      <c r="A138" s="2"/>
      <c r="B138" s="2"/>
      <c r="C138" s="2"/>
      <c r="D138" s="2"/>
      <c r="E138" s="2"/>
      <c r="F138" s="38"/>
      <c r="G138" s="42"/>
      <c r="H138" s="41"/>
      <c r="I138" s="40"/>
      <c r="J138" s="41"/>
      <c r="K138" s="41"/>
      <c r="L138" s="2"/>
      <c r="M138" s="2"/>
      <c r="N138" s="2"/>
    </row>
    <row r="139" ht="18.0" customHeight="1">
      <c r="A139" s="2"/>
      <c r="B139" s="2"/>
      <c r="C139" s="2"/>
      <c r="D139" s="2"/>
      <c r="E139" s="2"/>
      <c r="F139" s="38"/>
      <c r="G139" s="42"/>
      <c r="H139" s="41"/>
      <c r="I139" s="40"/>
      <c r="J139" s="41"/>
      <c r="K139" s="41"/>
      <c r="L139" s="2"/>
      <c r="M139" s="2"/>
      <c r="N139" s="2"/>
    </row>
    <row r="140" ht="18.0" customHeight="1">
      <c r="A140" s="2"/>
      <c r="B140" s="2"/>
      <c r="C140" s="2"/>
      <c r="D140" s="2"/>
      <c r="E140" s="2"/>
      <c r="F140" s="38"/>
      <c r="G140" s="42"/>
      <c r="H140" s="41"/>
      <c r="I140" s="40"/>
      <c r="J140" s="41"/>
      <c r="K140" s="41"/>
      <c r="L140" s="2"/>
      <c r="M140" s="2"/>
      <c r="N140" s="2"/>
    </row>
    <row r="141" ht="18.0" customHeight="1">
      <c r="A141" s="2"/>
      <c r="B141" s="2"/>
      <c r="C141" s="2"/>
      <c r="D141" s="2"/>
      <c r="E141" s="2"/>
      <c r="F141" s="38"/>
      <c r="G141" s="42"/>
      <c r="H141" s="41"/>
      <c r="I141" s="40"/>
      <c r="J141" s="41"/>
      <c r="K141" s="41"/>
      <c r="L141" s="2"/>
      <c r="M141" s="2"/>
      <c r="N141" s="2"/>
    </row>
    <row r="142" ht="18.0" customHeight="1">
      <c r="A142" s="2"/>
      <c r="B142" s="2"/>
      <c r="C142" s="2"/>
      <c r="D142" s="2"/>
      <c r="E142" s="2"/>
      <c r="F142" s="38"/>
      <c r="G142" s="42"/>
      <c r="H142" s="41"/>
      <c r="I142" s="40"/>
      <c r="J142" s="41"/>
      <c r="K142" s="41"/>
      <c r="L142" s="2"/>
      <c r="M142" s="2"/>
      <c r="N142" s="2"/>
    </row>
    <row r="143" ht="18.0" customHeight="1">
      <c r="A143" s="2"/>
      <c r="B143" s="2"/>
      <c r="C143" s="2"/>
      <c r="D143" s="2"/>
      <c r="E143" s="2"/>
      <c r="F143" s="38"/>
      <c r="G143" s="42"/>
      <c r="H143" s="41"/>
      <c r="I143" s="40"/>
      <c r="J143" s="41"/>
      <c r="K143" s="41"/>
      <c r="L143" s="2"/>
      <c r="M143" s="2"/>
      <c r="N143" s="2"/>
    </row>
    <row r="144" ht="18.0" customHeight="1">
      <c r="A144" s="2"/>
      <c r="B144" s="2"/>
      <c r="C144" s="2"/>
      <c r="D144" s="2"/>
      <c r="E144" s="2"/>
      <c r="F144" s="38"/>
      <c r="G144" s="42"/>
      <c r="H144" s="41"/>
      <c r="I144" s="40"/>
      <c r="J144" s="41"/>
      <c r="K144" s="41"/>
      <c r="L144" s="2"/>
      <c r="M144" s="2"/>
      <c r="N144" s="2"/>
    </row>
    <row r="145" ht="18.0" customHeight="1">
      <c r="A145" s="2"/>
      <c r="B145" s="2"/>
      <c r="C145" s="2"/>
      <c r="D145" s="2"/>
      <c r="E145" s="2"/>
      <c r="F145" s="38"/>
      <c r="G145" s="42"/>
      <c r="H145" s="41"/>
      <c r="I145" s="40"/>
      <c r="J145" s="41"/>
      <c r="K145" s="41"/>
      <c r="L145" s="2"/>
      <c r="M145" s="2"/>
      <c r="N145" s="2"/>
    </row>
    <row r="146" ht="18.0" customHeight="1">
      <c r="A146" s="2"/>
      <c r="B146" s="2"/>
      <c r="C146" s="2"/>
      <c r="D146" s="2"/>
      <c r="E146" s="2"/>
      <c r="F146" s="38"/>
      <c r="G146" s="42"/>
      <c r="H146" s="41"/>
      <c r="I146" s="40"/>
      <c r="J146" s="41"/>
      <c r="K146" s="41"/>
      <c r="L146" s="2"/>
      <c r="M146" s="2"/>
      <c r="N146" s="2"/>
    </row>
    <row r="147" ht="18.0" customHeight="1">
      <c r="A147" s="2"/>
      <c r="B147" s="2"/>
      <c r="C147" s="2"/>
      <c r="D147" s="2"/>
      <c r="E147" s="2"/>
      <c r="F147" s="38"/>
      <c r="G147" s="42"/>
      <c r="H147" s="41"/>
      <c r="I147" s="40"/>
      <c r="J147" s="41"/>
      <c r="K147" s="41"/>
      <c r="L147" s="2"/>
      <c r="M147" s="2"/>
      <c r="N147" s="2"/>
    </row>
    <row r="148" ht="18.0" customHeight="1">
      <c r="A148" s="2"/>
      <c r="B148" s="2"/>
      <c r="C148" s="2"/>
      <c r="D148" s="2"/>
      <c r="E148" s="2"/>
      <c r="F148" s="38"/>
      <c r="G148" s="42"/>
      <c r="H148" s="41"/>
      <c r="I148" s="40"/>
      <c r="J148" s="41"/>
      <c r="K148" s="41"/>
      <c r="L148" s="2"/>
      <c r="M148" s="2"/>
      <c r="N148" s="2"/>
    </row>
    <row r="149" ht="18.0" customHeight="1">
      <c r="A149" s="2"/>
      <c r="B149" s="2"/>
      <c r="C149" s="2"/>
      <c r="D149" s="2"/>
      <c r="E149" s="2"/>
      <c r="F149" s="38"/>
      <c r="G149" s="42"/>
      <c r="H149" s="41"/>
      <c r="I149" s="40"/>
      <c r="J149" s="41"/>
      <c r="K149" s="41"/>
      <c r="L149" s="2"/>
      <c r="M149" s="2"/>
      <c r="N149" s="2"/>
    </row>
    <row r="150" ht="18.0" customHeight="1">
      <c r="A150" s="2"/>
      <c r="B150" s="2"/>
      <c r="C150" s="2"/>
      <c r="D150" s="2"/>
      <c r="E150" s="2"/>
      <c r="F150" s="38"/>
      <c r="G150" s="42"/>
      <c r="H150" s="41"/>
      <c r="I150" s="40"/>
      <c r="J150" s="41"/>
      <c r="K150" s="41"/>
      <c r="L150" s="2"/>
      <c r="M150" s="2"/>
      <c r="N150" s="2"/>
    </row>
    <row r="151" ht="18.0" customHeight="1">
      <c r="A151" s="2"/>
      <c r="B151" s="2"/>
      <c r="C151" s="2"/>
      <c r="D151" s="2"/>
      <c r="E151" s="2"/>
      <c r="F151" s="38"/>
      <c r="G151" s="42"/>
      <c r="H151" s="41"/>
      <c r="I151" s="40"/>
      <c r="J151" s="41"/>
      <c r="K151" s="41"/>
      <c r="L151" s="2"/>
      <c r="M151" s="2"/>
      <c r="N151" s="2"/>
    </row>
    <row r="152" ht="18.0" customHeight="1">
      <c r="A152" s="2"/>
      <c r="B152" s="2"/>
      <c r="C152" s="2"/>
      <c r="D152" s="2"/>
      <c r="E152" s="2"/>
      <c r="F152" s="38"/>
      <c r="G152" s="42"/>
      <c r="H152" s="41"/>
      <c r="I152" s="40"/>
      <c r="J152" s="41"/>
      <c r="K152" s="41"/>
      <c r="L152" s="2"/>
      <c r="M152" s="2"/>
      <c r="N152" s="2"/>
    </row>
    <row r="153" ht="18.0" customHeight="1">
      <c r="A153" s="2"/>
      <c r="B153" s="2"/>
      <c r="C153" s="2"/>
      <c r="D153" s="2"/>
      <c r="E153" s="2"/>
      <c r="F153" s="38"/>
      <c r="G153" s="42"/>
      <c r="H153" s="41"/>
      <c r="I153" s="40"/>
      <c r="J153" s="41"/>
      <c r="K153" s="41"/>
      <c r="L153" s="2"/>
      <c r="M153" s="2"/>
      <c r="N153" s="2"/>
    </row>
    <row r="154" ht="18.0" customHeight="1">
      <c r="A154" s="2"/>
      <c r="B154" s="2"/>
      <c r="C154" s="2"/>
      <c r="D154" s="2"/>
      <c r="E154" s="2"/>
      <c r="F154" s="38"/>
      <c r="G154" s="42"/>
      <c r="H154" s="41"/>
      <c r="I154" s="40"/>
      <c r="J154" s="41"/>
      <c r="K154" s="41"/>
      <c r="L154" s="2"/>
      <c r="M154" s="2"/>
      <c r="N154" s="2"/>
    </row>
    <row r="155" ht="18.0" customHeight="1">
      <c r="A155" s="2"/>
      <c r="B155" s="2"/>
      <c r="C155" s="2"/>
      <c r="D155" s="2"/>
      <c r="E155" s="2"/>
      <c r="F155" s="38"/>
      <c r="G155" s="42"/>
      <c r="H155" s="41"/>
      <c r="I155" s="40"/>
      <c r="J155" s="41"/>
      <c r="K155" s="41"/>
      <c r="L155" s="2"/>
      <c r="M155" s="2"/>
      <c r="N155" s="2"/>
    </row>
    <row r="156" ht="18.0" customHeight="1">
      <c r="A156" s="2"/>
      <c r="B156" s="2"/>
      <c r="C156" s="2"/>
      <c r="D156" s="2"/>
      <c r="E156" s="2"/>
      <c r="F156" s="38"/>
      <c r="G156" s="42"/>
      <c r="H156" s="41"/>
      <c r="I156" s="40"/>
      <c r="J156" s="41"/>
      <c r="K156" s="41"/>
      <c r="L156" s="2"/>
      <c r="M156" s="2"/>
      <c r="N156" s="2"/>
    </row>
    <row r="157" ht="18.0" customHeight="1">
      <c r="A157" s="2"/>
      <c r="B157" s="2"/>
      <c r="C157" s="2"/>
      <c r="D157" s="2"/>
      <c r="E157" s="2"/>
      <c r="F157" s="38"/>
      <c r="G157" s="42"/>
      <c r="H157" s="41"/>
      <c r="I157" s="40"/>
      <c r="J157" s="41"/>
      <c r="K157" s="41"/>
      <c r="L157" s="2"/>
      <c r="M157" s="2"/>
      <c r="N157" s="2"/>
    </row>
    <row r="158" ht="18.0" customHeight="1">
      <c r="A158" s="2"/>
      <c r="B158" s="2"/>
      <c r="C158" s="2"/>
      <c r="D158" s="2"/>
      <c r="E158" s="2"/>
      <c r="F158" s="38"/>
      <c r="G158" s="42"/>
      <c r="H158" s="41"/>
      <c r="I158" s="40"/>
      <c r="J158" s="41"/>
      <c r="K158" s="41"/>
      <c r="L158" s="2"/>
      <c r="M158" s="2"/>
      <c r="N158" s="2"/>
    </row>
    <row r="159" ht="18.0" customHeight="1">
      <c r="A159" s="2"/>
      <c r="B159" s="2"/>
      <c r="C159" s="2"/>
      <c r="D159" s="2"/>
      <c r="E159" s="2"/>
      <c r="F159" s="38"/>
      <c r="G159" s="42"/>
      <c r="H159" s="41"/>
      <c r="I159" s="40"/>
      <c r="J159" s="41"/>
      <c r="K159" s="41"/>
      <c r="L159" s="2"/>
      <c r="M159" s="2"/>
      <c r="N159" s="2"/>
    </row>
    <row r="160" ht="18.0" customHeight="1">
      <c r="A160" s="2"/>
      <c r="B160" s="2"/>
      <c r="C160" s="2"/>
      <c r="D160" s="2"/>
      <c r="E160" s="2"/>
      <c r="F160" s="38"/>
      <c r="G160" s="42"/>
      <c r="H160" s="41"/>
      <c r="I160" s="40"/>
      <c r="J160" s="41"/>
      <c r="K160" s="41"/>
      <c r="L160" s="2"/>
      <c r="M160" s="2"/>
      <c r="N160" s="2"/>
    </row>
    <row r="161" ht="18.0" customHeight="1">
      <c r="A161" s="2"/>
      <c r="B161" s="2"/>
      <c r="C161" s="2"/>
      <c r="D161" s="2"/>
      <c r="E161" s="2"/>
      <c r="F161" s="38"/>
      <c r="G161" s="42"/>
      <c r="H161" s="41"/>
      <c r="I161" s="40"/>
      <c r="J161" s="41"/>
      <c r="K161" s="41"/>
      <c r="L161" s="2"/>
      <c r="M161" s="2"/>
      <c r="N161" s="2"/>
    </row>
    <row r="162" ht="18.0" customHeight="1">
      <c r="A162" s="2"/>
      <c r="B162" s="2"/>
      <c r="C162" s="2"/>
      <c r="D162" s="2"/>
      <c r="E162" s="2"/>
      <c r="F162" s="38"/>
      <c r="G162" s="42"/>
      <c r="H162" s="41"/>
      <c r="I162" s="40"/>
      <c r="J162" s="41"/>
      <c r="K162" s="41"/>
      <c r="L162" s="2"/>
      <c r="M162" s="2"/>
      <c r="N162" s="2"/>
    </row>
    <row r="163" ht="18.0" customHeight="1">
      <c r="A163" s="2"/>
      <c r="B163" s="2"/>
      <c r="C163" s="2"/>
      <c r="D163" s="2"/>
      <c r="E163" s="2"/>
      <c r="F163" s="38"/>
      <c r="G163" s="42"/>
      <c r="H163" s="41"/>
      <c r="I163" s="40"/>
      <c r="J163" s="41"/>
      <c r="K163" s="41"/>
      <c r="L163" s="2"/>
      <c r="M163" s="2"/>
      <c r="N163" s="2"/>
    </row>
    <row r="164" ht="18.0" customHeight="1">
      <c r="A164" s="2"/>
      <c r="B164" s="2"/>
      <c r="C164" s="2"/>
      <c r="D164" s="2"/>
      <c r="E164" s="2"/>
      <c r="F164" s="38"/>
      <c r="G164" s="42"/>
      <c r="H164" s="41"/>
      <c r="I164" s="40"/>
      <c r="J164" s="41"/>
      <c r="K164" s="41"/>
      <c r="L164" s="2"/>
      <c r="M164" s="2"/>
      <c r="N164" s="2"/>
    </row>
    <row r="165" ht="18.0" customHeight="1">
      <c r="A165" s="2"/>
      <c r="B165" s="2"/>
      <c r="C165" s="2"/>
      <c r="D165" s="2"/>
      <c r="E165" s="2"/>
      <c r="F165" s="38"/>
      <c r="G165" s="42"/>
      <c r="H165" s="41"/>
      <c r="I165" s="40"/>
      <c r="J165" s="41"/>
      <c r="K165" s="41"/>
      <c r="L165" s="2"/>
      <c r="M165" s="2"/>
      <c r="N165" s="2"/>
    </row>
    <row r="166" ht="18.0" customHeight="1">
      <c r="A166" s="2"/>
      <c r="B166" s="2"/>
      <c r="C166" s="2"/>
      <c r="D166" s="2"/>
      <c r="E166" s="2"/>
      <c r="F166" s="38"/>
      <c r="G166" s="42"/>
      <c r="H166" s="41"/>
      <c r="I166" s="40"/>
      <c r="J166" s="41"/>
      <c r="K166" s="41"/>
      <c r="L166" s="2"/>
      <c r="M166" s="2"/>
      <c r="N166" s="2"/>
    </row>
    <row r="167" ht="18.0" customHeight="1">
      <c r="A167" s="2"/>
      <c r="B167" s="2"/>
      <c r="C167" s="2"/>
      <c r="D167" s="2"/>
      <c r="E167" s="2"/>
      <c r="F167" s="38"/>
      <c r="G167" s="42"/>
      <c r="H167" s="41"/>
      <c r="I167" s="40"/>
      <c r="J167" s="41"/>
      <c r="K167" s="41"/>
      <c r="L167" s="2"/>
      <c r="M167" s="2"/>
      <c r="N167" s="2"/>
    </row>
    <row r="168" ht="18.0" customHeight="1">
      <c r="A168" s="2"/>
      <c r="B168" s="2"/>
      <c r="C168" s="2"/>
      <c r="D168" s="2"/>
      <c r="E168" s="2"/>
      <c r="F168" s="38"/>
      <c r="G168" s="42"/>
      <c r="H168" s="41"/>
      <c r="I168" s="40"/>
      <c r="J168" s="41"/>
      <c r="K168" s="41"/>
      <c r="L168" s="2"/>
      <c r="M168" s="2"/>
      <c r="N168" s="2"/>
    </row>
    <row r="169" ht="18.0" customHeight="1">
      <c r="A169" s="2"/>
      <c r="B169" s="2"/>
      <c r="C169" s="2"/>
      <c r="D169" s="2"/>
      <c r="E169" s="2"/>
      <c r="F169" s="38"/>
      <c r="G169" s="42"/>
      <c r="H169" s="41"/>
      <c r="I169" s="40"/>
      <c r="J169" s="41"/>
      <c r="K169" s="41"/>
      <c r="L169" s="2"/>
      <c r="M169" s="2"/>
      <c r="N169" s="2"/>
    </row>
    <row r="170" ht="18.0" customHeight="1">
      <c r="A170" s="2"/>
      <c r="B170" s="2"/>
      <c r="C170" s="2"/>
      <c r="D170" s="2"/>
      <c r="E170" s="2"/>
      <c r="F170" s="38"/>
      <c r="G170" s="42"/>
      <c r="H170" s="41"/>
      <c r="I170" s="40"/>
      <c r="J170" s="41"/>
      <c r="K170" s="41"/>
      <c r="L170" s="2"/>
      <c r="M170" s="2"/>
      <c r="N170" s="2"/>
    </row>
    <row r="171" ht="18.0" customHeight="1">
      <c r="A171" s="2"/>
      <c r="B171" s="2"/>
      <c r="C171" s="2"/>
      <c r="D171" s="2"/>
      <c r="E171" s="2"/>
      <c r="F171" s="38"/>
      <c r="G171" s="42"/>
      <c r="H171" s="41"/>
      <c r="I171" s="40"/>
      <c r="J171" s="41"/>
      <c r="K171" s="41"/>
      <c r="L171" s="2"/>
      <c r="M171" s="2"/>
      <c r="N171" s="2"/>
    </row>
    <row r="172" ht="18.0" customHeight="1">
      <c r="A172" s="2"/>
      <c r="B172" s="2"/>
      <c r="C172" s="2"/>
      <c r="D172" s="2"/>
      <c r="E172" s="2"/>
      <c r="F172" s="38"/>
      <c r="G172" s="42"/>
      <c r="H172" s="41"/>
      <c r="I172" s="40"/>
      <c r="J172" s="41"/>
      <c r="K172" s="41"/>
      <c r="L172" s="2"/>
      <c r="M172" s="2"/>
      <c r="N172" s="2"/>
    </row>
    <row r="173" ht="18.0" customHeight="1">
      <c r="A173" s="2"/>
      <c r="B173" s="2"/>
      <c r="C173" s="2"/>
      <c r="D173" s="2"/>
      <c r="E173" s="2"/>
      <c r="F173" s="38"/>
      <c r="G173" s="42"/>
      <c r="H173" s="41"/>
      <c r="I173" s="40"/>
      <c r="J173" s="41"/>
      <c r="K173" s="41"/>
      <c r="L173" s="2"/>
      <c r="M173" s="2"/>
      <c r="N173" s="2"/>
    </row>
    <row r="174" ht="18.0" customHeight="1">
      <c r="A174" s="2"/>
      <c r="B174" s="2"/>
      <c r="C174" s="2"/>
      <c r="D174" s="2"/>
      <c r="E174" s="2"/>
      <c r="F174" s="38"/>
      <c r="G174" s="42"/>
      <c r="H174" s="41"/>
      <c r="I174" s="40"/>
      <c r="J174" s="41"/>
      <c r="K174" s="41"/>
      <c r="L174" s="2"/>
      <c r="M174" s="2"/>
      <c r="N174" s="2"/>
    </row>
    <row r="175" ht="18.0" customHeight="1">
      <c r="A175" s="2"/>
      <c r="B175" s="2"/>
      <c r="C175" s="2"/>
      <c r="D175" s="2"/>
      <c r="E175" s="2"/>
      <c r="F175" s="38"/>
      <c r="G175" s="42"/>
      <c r="H175" s="41"/>
      <c r="I175" s="40"/>
      <c r="J175" s="41"/>
      <c r="K175" s="41"/>
      <c r="L175" s="2"/>
      <c r="M175" s="2"/>
      <c r="N175" s="2"/>
    </row>
    <row r="176" ht="18.0" customHeight="1">
      <c r="A176" s="2"/>
      <c r="B176" s="2"/>
      <c r="C176" s="2"/>
      <c r="D176" s="2"/>
      <c r="E176" s="2"/>
      <c r="F176" s="38"/>
      <c r="G176" s="42"/>
      <c r="H176" s="41"/>
      <c r="I176" s="40"/>
      <c r="J176" s="41"/>
      <c r="K176" s="41"/>
      <c r="L176" s="2"/>
      <c r="M176" s="2"/>
      <c r="N176" s="2"/>
    </row>
    <row r="177" ht="18.0" customHeight="1">
      <c r="A177" s="2"/>
      <c r="B177" s="2"/>
      <c r="C177" s="2"/>
      <c r="D177" s="2"/>
      <c r="E177" s="2"/>
      <c r="F177" s="38"/>
      <c r="G177" s="42"/>
      <c r="H177" s="41"/>
      <c r="I177" s="40"/>
      <c r="J177" s="41"/>
      <c r="K177" s="41"/>
      <c r="L177" s="2"/>
      <c r="M177" s="2"/>
      <c r="N177" s="2"/>
    </row>
    <row r="178" ht="18.0" customHeight="1">
      <c r="A178" s="2"/>
      <c r="B178" s="2"/>
      <c r="C178" s="2"/>
      <c r="D178" s="2"/>
      <c r="E178" s="2"/>
      <c r="F178" s="38"/>
      <c r="G178" s="42"/>
      <c r="H178" s="41"/>
      <c r="I178" s="40"/>
      <c r="J178" s="41"/>
      <c r="K178" s="41"/>
      <c r="L178" s="2"/>
      <c r="M178" s="2"/>
      <c r="N178" s="2"/>
    </row>
    <row r="179" ht="18.0" customHeight="1">
      <c r="A179" s="2"/>
      <c r="B179" s="2"/>
      <c r="C179" s="2"/>
      <c r="D179" s="2"/>
      <c r="E179" s="2"/>
      <c r="F179" s="38"/>
      <c r="G179" s="42"/>
      <c r="H179" s="41"/>
      <c r="I179" s="40"/>
      <c r="J179" s="41"/>
      <c r="K179" s="41"/>
      <c r="L179" s="2"/>
      <c r="M179" s="2"/>
      <c r="N179" s="2"/>
    </row>
    <row r="180" ht="18.0" customHeight="1">
      <c r="A180" s="2"/>
      <c r="B180" s="2"/>
      <c r="C180" s="2"/>
      <c r="D180" s="2"/>
      <c r="E180" s="2"/>
      <c r="F180" s="38"/>
      <c r="G180" s="42"/>
      <c r="H180" s="41"/>
      <c r="I180" s="40"/>
      <c r="J180" s="41"/>
      <c r="K180" s="41"/>
      <c r="L180" s="2"/>
      <c r="M180" s="2"/>
      <c r="N180" s="2"/>
    </row>
    <row r="181" ht="18.0" customHeight="1">
      <c r="A181" s="2"/>
      <c r="B181" s="2"/>
      <c r="C181" s="2"/>
      <c r="D181" s="2"/>
      <c r="E181" s="2"/>
      <c r="F181" s="38"/>
      <c r="G181" s="42"/>
      <c r="H181" s="41"/>
      <c r="I181" s="40"/>
      <c r="J181" s="41"/>
      <c r="K181" s="41"/>
      <c r="L181" s="2"/>
      <c r="M181" s="2"/>
      <c r="N181" s="2"/>
    </row>
    <row r="182" ht="18.0" customHeight="1">
      <c r="A182" s="2"/>
      <c r="B182" s="2"/>
      <c r="C182" s="2"/>
      <c r="D182" s="2"/>
      <c r="E182" s="2"/>
      <c r="F182" s="38"/>
      <c r="G182" s="42"/>
      <c r="H182" s="41"/>
      <c r="I182" s="40"/>
      <c r="J182" s="41"/>
      <c r="K182" s="41"/>
      <c r="L182" s="2"/>
      <c r="M182" s="2"/>
      <c r="N182" s="2"/>
    </row>
    <row r="183" ht="18.0" customHeight="1">
      <c r="A183" s="2"/>
      <c r="B183" s="2"/>
      <c r="C183" s="2"/>
      <c r="D183" s="2"/>
      <c r="E183" s="2"/>
      <c r="F183" s="38"/>
      <c r="G183" s="42"/>
      <c r="H183" s="41"/>
      <c r="I183" s="40"/>
      <c r="J183" s="41"/>
      <c r="K183" s="41"/>
      <c r="L183" s="2"/>
      <c r="M183" s="2"/>
      <c r="N183" s="2"/>
    </row>
    <row r="184" ht="18.0" customHeight="1">
      <c r="A184" s="2"/>
      <c r="B184" s="2"/>
      <c r="C184" s="2"/>
      <c r="D184" s="2"/>
      <c r="E184" s="2"/>
      <c r="F184" s="38"/>
      <c r="G184" s="42"/>
      <c r="H184" s="41"/>
      <c r="I184" s="40"/>
      <c r="J184" s="41"/>
      <c r="K184" s="41"/>
      <c r="L184" s="2"/>
      <c r="M184" s="2"/>
      <c r="N184" s="2"/>
    </row>
    <row r="185" ht="18.0" customHeight="1">
      <c r="A185" s="2"/>
      <c r="B185" s="2"/>
      <c r="C185" s="2"/>
      <c r="D185" s="2"/>
      <c r="E185" s="2"/>
      <c r="F185" s="38"/>
      <c r="G185" s="42"/>
      <c r="H185" s="41"/>
      <c r="I185" s="40"/>
      <c r="J185" s="41"/>
      <c r="K185" s="41"/>
      <c r="L185" s="2"/>
      <c r="M185" s="2"/>
      <c r="N185" s="2"/>
    </row>
    <row r="186" ht="18.0" customHeight="1">
      <c r="A186" s="2"/>
      <c r="B186" s="2"/>
      <c r="C186" s="2"/>
      <c r="D186" s="2"/>
      <c r="E186" s="2"/>
      <c r="F186" s="38"/>
      <c r="G186" s="42"/>
      <c r="H186" s="41"/>
      <c r="I186" s="40"/>
      <c r="J186" s="41"/>
      <c r="K186" s="41"/>
      <c r="L186" s="2"/>
      <c r="M186" s="2"/>
      <c r="N186" s="2"/>
    </row>
    <row r="187" ht="18.0" customHeight="1">
      <c r="A187" s="2"/>
      <c r="B187" s="2"/>
      <c r="C187" s="2"/>
      <c r="D187" s="2"/>
      <c r="E187" s="2"/>
      <c r="F187" s="38"/>
      <c r="G187" s="42"/>
      <c r="H187" s="41"/>
      <c r="I187" s="40"/>
      <c r="J187" s="41"/>
      <c r="K187" s="41"/>
      <c r="L187" s="2"/>
      <c r="M187" s="2"/>
      <c r="N187" s="2"/>
    </row>
    <row r="188" ht="18.0" customHeight="1">
      <c r="A188" s="2"/>
      <c r="B188" s="2"/>
      <c r="C188" s="2"/>
      <c r="D188" s="2"/>
      <c r="E188" s="2"/>
      <c r="F188" s="38"/>
      <c r="G188" s="42"/>
      <c r="H188" s="41"/>
      <c r="I188" s="40"/>
      <c r="J188" s="41"/>
      <c r="K188" s="41"/>
      <c r="L188" s="2"/>
      <c r="M188" s="2"/>
      <c r="N188" s="2"/>
    </row>
    <row r="189" ht="18.0" customHeight="1">
      <c r="A189" s="2"/>
      <c r="B189" s="2"/>
      <c r="C189" s="2"/>
      <c r="D189" s="2"/>
      <c r="E189" s="2"/>
      <c r="F189" s="38"/>
      <c r="G189" s="42"/>
      <c r="H189" s="41"/>
      <c r="I189" s="40"/>
      <c r="J189" s="41"/>
      <c r="K189" s="41"/>
      <c r="L189" s="2"/>
      <c r="M189" s="2"/>
      <c r="N189" s="2"/>
    </row>
    <row r="190" ht="18.0" customHeight="1">
      <c r="A190" s="2"/>
      <c r="B190" s="2"/>
      <c r="C190" s="2"/>
      <c r="D190" s="2"/>
      <c r="E190" s="2"/>
      <c r="F190" s="38"/>
      <c r="G190" s="42"/>
      <c r="H190" s="41"/>
      <c r="I190" s="40"/>
      <c r="J190" s="41"/>
      <c r="K190" s="41"/>
      <c r="L190" s="2"/>
      <c r="M190" s="2"/>
      <c r="N190" s="2"/>
    </row>
    <row r="191" ht="18.0" customHeight="1">
      <c r="A191" s="2"/>
      <c r="B191" s="2"/>
      <c r="C191" s="2"/>
      <c r="D191" s="2"/>
      <c r="E191" s="2"/>
      <c r="F191" s="38"/>
      <c r="G191" s="42"/>
      <c r="H191" s="41"/>
      <c r="I191" s="40"/>
      <c r="J191" s="41"/>
      <c r="K191" s="41"/>
      <c r="L191" s="2"/>
      <c r="M191" s="2"/>
      <c r="N191" s="2"/>
    </row>
    <row r="192" ht="18.0" customHeight="1">
      <c r="A192" s="2"/>
      <c r="B192" s="2"/>
      <c r="C192" s="2"/>
      <c r="D192" s="2"/>
      <c r="E192" s="2"/>
      <c r="F192" s="38"/>
      <c r="G192" s="42"/>
      <c r="H192" s="41"/>
      <c r="I192" s="40"/>
      <c r="J192" s="41"/>
      <c r="K192" s="41"/>
      <c r="L192" s="2"/>
      <c r="M192" s="2"/>
      <c r="N192" s="2"/>
    </row>
    <row r="193" ht="18.0" customHeight="1">
      <c r="A193" s="2"/>
      <c r="B193" s="2"/>
      <c r="C193" s="2"/>
      <c r="D193" s="2"/>
      <c r="E193" s="2"/>
      <c r="F193" s="38"/>
      <c r="G193" s="42"/>
      <c r="H193" s="41"/>
      <c r="I193" s="40"/>
      <c r="J193" s="41"/>
      <c r="K193" s="41"/>
      <c r="L193" s="2"/>
      <c r="M193" s="2"/>
      <c r="N193" s="2"/>
    </row>
    <row r="194" ht="18.0" customHeight="1">
      <c r="A194" s="2"/>
      <c r="B194" s="2"/>
      <c r="C194" s="2"/>
      <c r="D194" s="2"/>
      <c r="E194" s="2"/>
      <c r="F194" s="38"/>
      <c r="G194" s="42"/>
      <c r="H194" s="41"/>
      <c r="I194" s="40"/>
      <c r="J194" s="41"/>
      <c r="K194" s="41"/>
      <c r="L194" s="2"/>
      <c r="M194" s="2"/>
      <c r="N194" s="2"/>
    </row>
    <row r="195" ht="18.0" customHeight="1">
      <c r="A195" s="2"/>
      <c r="B195" s="2"/>
      <c r="C195" s="2"/>
      <c r="D195" s="2"/>
      <c r="E195" s="2"/>
      <c r="F195" s="38"/>
      <c r="G195" s="42"/>
      <c r="H195" s="41"/>
      <c r="I195" s="40"/>
      <c r="J195" s="41"/>
      <c r="K195" s="41"/>
      <c r="L195" s="2"/>
      <c r="M195" s="2"/>
      <c r="N195" s="2"/>
    </row>
    <row r="196" ht="18.0" customHeight="1">
      <c r="A196" s="2"/>
      <c r="B196" s="2"/>
      <c r="C196" s="2"/>
      <c r="D196" s="2"/>
      <c r="E196" s="2"/>
      <c r="F196" s="38"/>
      <c r="G196" s="42"/>
      <c r="H196" s="41"/>
      <c r="I196" s="40"/>
      <c r="J196" s="41"/>
      <c r="K196" s="41"/>
      <c r="L196" s="2"/>
      <c r="M196" s="2"/>
      <c r="N196" s="2"/>
    </row>
    <row r="197" ht="18.0" customHeight="1">
      <c r="A197" s="2"/>
      <c r="B197" s="2"/>
      <c r="C197" s="2"/>
      <c r="D197" s="2"/>
      <c r="E197" s="2"/>
      <c r="F197" s="38"/>
      <c r="G197" s="42"/>
      <c r="H197" s="41"/>
      <c r="I197" s="40"/>
      <c r="J197" s="41"/>
      <c r="K197" s="41"/>
      <c r="L197" s="2"/>
      <c r="M197" s="2"/>
      <c r="N197" s="2"/>
    </row>
    <row r="198" ht="18.0" customHeight="1">
      <c r="A198" s="2"/>
      <c r="B198" s="2"/>
      <c r="C198" s="2"/>
      <c r="D198" s="2"/>
      <c r="E198" s="2"/>
      <c r="F198" s="38"/>
      <c r="G198" s="42"/>
      <c r="H198" s="41"/>
      <c r="I198" s="40"/>
      <c r="J198" s="41"/>
      <c r="K198" s="41"/>
      <c r="L198" s="2"/>
      <c r="M198" s="2"/>
      <c r="N198" s="2"/>
    </row>
    <row r="199" ht="18.0" customHeight="1">
      <c r="A199" s="2"/>
      <c r="B199" s="2"/>
      <c r="C199" s="2"/>
      <c r="D199" s="2"/>
      <c r="E199" s="2"/>
      <c r="F199" s="38"/>
      <c r="G199" s="42"/>
      <c r="H199" s="41"/>
      <c r="I199" s="40"/>
      <c r="J199" s="41"/>
      <c r="K199" s="41"/>
      <c r="L199" s="2"/>
      <c r="M199" s="2"/>
      <c r="N199" s="2"/>
    </row>
    <row r="200" ht="18.0" customHeight="1">
      <c r="A200" s="2"/>
      <c r="B200" s="2"/>
      <c r="C200" s="2"/>
      <c r="D200" s="2"/>
      <c r="E200" s="2"/>
      <c r="F200" s="38"/>
      <c r="G200" s="42"/>
      <c r="H200" s="41"/>
      <c r="I200" s="40"/>
      <c r="J200" s="41"/>
      <c r="K200" s="41"/>
      <c r="L200" s="2"/>
      <c r="M200" s="2"/>
      <c r="N200" s="2"/>
    </row>
    <row r="201" ht="18.0" customHeight="1">
      <c r="A201" s="2"/>
      <c r="B201" s="2"/>
      <c r="C201" s="2"/>
      <c r="D201" s="2"/>
      <c r="E201" s="2"/>
      <c r="F201" s="38"/>
      <c r="G201" s="42"/>
      <c r="H201" s="41"/>
      <c r="I201" s="40"/>
      <c r="J201" s="41"/>
      <c r="K201" s="41"/>
      <c r="L201" s="2"/>
      <c r="M201" s="2"/>
      <c r="N201" s="2"/>
    </row>
    <row r="202" ht="18.0" customHeight="1">
      <c r="A202" s="2"/>
      <c r="B202" s="2"/>
      <c r="C202" s="2"/>
      <c r="D202" s="2"/>
      <c r="E202" s="2"/>
      <c r="F202" s="38"/>
      <c r="G202" s="42"/>
      <c r="H202" s="41"/>
      <c r="I202" s="40"/>
      <c r="J202" s="41"/>
      <c r="K202" s="41"/>
      <c r="L202" s="2"/>
      <c r="M202" s="2"/>
      <c r="N202" s="2"/>
    </row>
    <row r="203" ht="18.0" customHeight="1">
      <c r="A203" s="2"/>
      <c r="B203" s="2"/>
      <c r="C203" s="2"/>
      <c r="D203" s="2"/>
      <c r="E203" s="2"/>
      <c r="F203" s="38"/>
      <c r="G203" s="42"/>
      <c r="H203" s="41"/>
      <c r="I203" s="40"/>
      <c r="J203" s="41"/>
      <c r="K203" s="41"/>
      <c r="L203" s="2"/>
      <c r="M203" s="2"/>
      <c r="N203" s="2"/>
    </row>
    <row r="204" ht="18.0" customHeight="1">
      <c r="A204" s="2"/>
      <c r="B204" s="2"/>
      <c r="C204" s="2"/>
      <c r="D204" s="2"/>
      <c r="E204" s="2"/>
      <c r="F204" s="38"/>
      <c r="G204" s="42"/>
      <c r="H204" s="41"/>
      <c r="I204" s="40"/>
      <c r="J204" s="41"/>
      <c r="K204" s="41"/>
      <c r="L204" s="2"/>
      <c r="M204" s="2"/>
      <c r="N204" s="2"/>
    </row>
    <row r="205" ht="18.0" customHeight="1">
      <c r="A205" s="2"/>
      <c r="B205" s="2"/>
      <c r="C205" s="2"/>
      <c r="D205" s="2"/>
      <c r="E205" s="2"/>
      <c r="F205" s="38"/>
      <c r="G205" s="42"/>
      <c r="H205" s="41"/>
      <c r="I205" s="40"/>
      <c r="J205" s="41"/>
      <c r="K205" s="41"/>
      <c r="L205" s="2"/>
      <c r="M205" s="2"/>
      <c r="N205" s="2"/>
    </row>
    <row r="206" ht="18.0" customHeight="1">
      <c r="A206" s="2"/>
      <c r="B206" s="2"/>
      <c r="C206" s="2"/>
      <c r="D206" s="2"/>
      <c r="E206" s="2"/>
      <c r="F206" s="38"/>
      <c r="G206" s="42"/>
      <c r="H206" s="41"/>
      <c r="I206" s="40"/>
      <c r="J206" s="41"/>
      <c r="K206" s="41"/>
      <c r="L206" s="2"/>
      <c r="M206" s="2"/>
      <c r="N206" s="2"/>
    </row>
    <row r="207" ht="18.0" customHeight="1">
      <c r="A207" s="2"/>
      <c r="B207" s="2"/>
      <c r="C207" s="2"/>
      <c r="D207" s="2"/>
      <c r="E207" s="2"/>
      <c r="F207" s="38"/>
      <c r="G207" s="42"/>
      <c r="H207" s="41"/>
      <c r="I207" s="40"/>
      <c r="J207" s="41"/>
      <c r="K207" s="41"/>
      <c r="L207" s="2"/>
      <c r="M207" s="2"/>
      <c r="N207" s="2"/>
    </row>
    <row r="208" ht="18.0" customHeight="1">
      <c r="A208" s="2"/>
      <c r="B208" s="2"/>
      <c r="C208" s="2"/>
      <c r="D208" s="2"/>
      <c r="E208" s="2"/>
      <c r="F208" s="38"/>
      <c r="G208" s="42"/>
      <c r="H208" s="41"/>
      <c r="I208" s="40"/>
      <c r="J208" s="41"/>
      <c r="K208" s="41"/>
      <c r="L208" s="2"/>
      <c r="M208" s="2"/>
      <c r="N208" s="2"/>
    </row>
    <row r="209" ht="18.0" customHeight="1">
      <c r="A209" s="2"/>
      <c r="B209" s="2"/>
      <c r="C209" s="2"/>
      <c r="D209" s="2"/>
      <c r="E209" s="2"/>
      <c r="F209" s="38"/>
      <c r="G209" s="42"/>
      <c r="H209" s="41"/>
      <c r="I209" s="40"/>
      <c r="J209" s="41"/>
      <c r="K209" s="41"/>
      <c r="L209" s="2"/>
      <c r="M209" s="2"/>
      <c r="N209" s="2"/>
    </row>
    <row r="210" ht="18.0" customHeight="1">
      <c r="A210" s="2"/>
      <c r="B210" s="2"/>
      <c r="C210" s="2"/>
      <c r="D210" s="2"/>
      <c r="E210" s="2"/>
      <c r="F210" s="38"/>
      <c r="G210" s="42"/>
      <c r="H210" s="41"/>
      <c r="I210" s="40"/>
      <c r="J210" s="41"/>
      <c r="K210" s="41"/>
      <c r="L210" s="2"/>
      <c r="M210" s="2"/>
      <c r="N210" s="2"/>
    </row>
    <row r="211" ht="18.0" customHeight="1">
      <c r="A211" s="2"/>
      <c r="B211" s="2"/>
      <c r="C211" s="2"/>
      <c r="D211" s="2"/>
      <c r="E211" s="2"/>
      <c r="F211" s="38"/>
      <c r="G211" s="42"/>
      <c r="H211" s="41"/>
      <c r="I211" s="40"/>
      <c r="J211" s="41"/>
      <c r="K211" s="41"/>
      <c r="L211" s="2"/>
      <c r="M211" s="2"/>
      <c r="N211" s="2"/>
    </row>
    <row r="212" ht="18.0" customHeight="1">
      <c r="A212" s="2"/>
      <c r="B212" s="2"/>
      <c r="C212" s="2"/>
      <c r="D212" s="2"/>
      <c r="E212" s="2"/>
      <c r="F212" s="38"/>
      <c r="G212" s="42"/>
      <c r="H212" s="41"/>
      <c r="I212" s="40"/>
      <c r="J212" s="41"/>
      <c r="K212" s="41"/>
      <c r="L212" s="2"/>
      <c r="M212" s="2"/>
      <c r="N212" s="2"/>
    </row>
    <row r="213" ht="18.0" customHeight="1">
      <c r="A213" s="2"/>
      <c r="B213" s="2"/>
      <c r="C213" s="2"/>
      <c r="D213" s="2"/>
      <c r="E213" s="2"/>
      <c r="F213" s="38"/>
      <c r="G213" s="42"/>
      <c r="H213" s="41"/>
      <c r="I213" s="40"/>
      <c r="J213" s="41"/>
      <c r="K213" s="41"/>
      <c r="L213" s="2"/>
      <c r="M213" s="2"/>
      <c r="N213" s="2"/>
    </row>
    <row r="214" ht="18.0" customHeight="1">
      <c r="A214" s="2"/>
      <c r="B214" s="2"/>
      <c r="C214" s="2"/>
      <c r="D214" s="2"/>
      <c r="E214" s="2"/>
      <c r="F214" s="38"/>
      <c r="G214" s="42"/>
      <c r="H214" s="41"/>
      <c r="I214" s="40"/>
      <c r="J214" s="41"/>
      <c r="K214" s="41"/>
      <c r="L214" s="2"/>
      <c r="M214" s="2"/>
      <c r="N214" s="2"/>
    </row>
    <row r="215" ht="18.0" customHeight="1">
      <c r="A215" s="2"/>
      <c r="B215" s="2"/>
      <c r="C215" s="2"/>
      <c r="D215" s="2"/>
      <c r="E215" s="2"/>
      <c r="F215" s="38"/>
      <c r="G215" s="42"/>
      <c r="H215" s="41"/>
      <c r="I215" s="40"/>
      <c r="J215" s="41"/>
      <c r="K215" s="41"/>
      <c r="L215" s="2"/>
      <c r="M215" s="2"/>
      <c r="N215" s="2"/>
    </row>
    <row r="216" ht="18.0" customHeight="1">
      <c r="A216" s="2"/>
      <c r="B216" s="2"/>
      <c r="C216" s="2"/>
      <c r="D216" s="2"/>
      <c r="E216" s="2"/>
      <c r="F216" s="38"/>
      <c r="G216" s="42"/>
      <c r="H216" s="41"/>
      <c r="I216" s="40"/>
      <c r="J216" s="41"/>
      <c r="K216" s="41"/>
      <c r="L216" s="2"/>
      <c r="M216" s="2"/>
      <c r="N216" s="2"/>
    </row>
    <row r="217" ht="18.0" customHeight="1">
      <c r="A217" s="2"/>
      <c r="B217" s="2"/>
      <c r="C217" s="2"/>
      <c r="D217" s="2"/>
      <c r="E217" s="2"/>
      <c r="F217" s="38"/>
      <c r="G217" s="42"/>
      <c r="H217" s="41"/>
      <c r="I217" s="40"/>
      <c r="J217" s="41"/>
      <c r="K217" s="41"/>
      <c r="L217" s="2"/>
      <c r="M217" s="2"/>
      <c r="N217" s="2"/>
    </row>
    <row r="218" ht="18.0" customHeight="1">
      <c r="A218" s="2"/>
      <c r="B218" s="2"/>
      <c r="C218" s="2"/>
      <c r="D218" s="2"/>
      <c r="E218" s="2"/>
      <c r="F218" s="38"/>
      <c r="G218" s="42"/>
      <c r="H218" s="41"/>
      <c r="I218" s="40"/>
      <c r="J218" s="41"/>
      <c r="K218" s="41"/>
      <c r="L218" s="2"/>
      <c r="M218" s="2"/>
      <c r="N218" s="2"/>
    </row>
    <row r="219" ht="18.0" customHeight="1">
      <c r="A219" s="2"/>
      <c r="B219" s="2"/>
      <c r="C219" s="2"/>
      <c r="D219" s="2"/>
      <c r="E219" s="2"/>
      <c r="F219" s="38"/>
      <c r="G219" s="42"/>
      <c r="H219" s="41"/>
      <c r="I219" s="40"/>
      <c r="J219" s="41"/>
      <c r="K219" s="41"/>
      <c r="L219" s="2"/>
      <c r="M219" s="2"/>
      <c r="N219" s="2"/>
    </row>
    <row r="220" ht="18.0" customHeight="1">
      <c r="A220" s="2"/>
      <c r="B220" s="2"/>
      <c r="C220" s="2"/>
      <c r="D220" s="2"/>
      <c r="E220" s="2"/>
      <c r="F220" s="38"/>
      <c r="G220" s="42"/>
      <c r="H220" s="41"/>
      <c r="I220" s="40"/>
      <c r="J220" s="41"/>
      <c r="K220" s="41"/>
      <c r="L220" s="2"/>
      <c r="M220" s="2"/>
      <c r="N220" s="2"/>
    </row>
    <row r="221" ht="18.0" customHeight="1">
      <c r="A221" s="2"/>
      <c r="B221" s="2"/>
      <c r="C221" s="2"/>
      <c r="D221" s="2"/>
      <c r="E221" s="2"/>
      <c r="F221" s="38"/>
      <c r="G221" s="42"/>
      <c r="H221" s="41"/>
      <c r="I221" s="40"/>
      <c r="J221" s="41"/>
      <c r="K221" s="41"/>
      <c r="L221" s="2"/>
      <c r="M221" s="2"/>
      <c r="N221" s="2"/>
    </row>
    <row r="222" ht="18.0" customHeight="1">
      <c r="A222" s="2"/>
      <c r="B222" s="2"/>
      <c r="C222" s="2"/>
      <c r="D222" s="2"/>
      <c r="E222" s="2"/>
      <c r="F222" s="38"/>
      <c r="G222" s="42"/>
      <c r="H222" s="41"/>
      <c r="I222" s="40"/>
      <c r="J222" s="41"/>
      <c r="K222" s="41"/>
      <c r="L222" s="2"/>
      <c r="M222" s="2"/>
      <c r="N222" s="2"/>
    </row>
    <row r="223" ht="18.0" customHeight="1">
      <c r="A223" s="2"/>
      <c r="B223" s="2"/>
      <c r="C223" s="2"/>
      <c r="D223" s="2"/>
      <c r="E223" s="2"/>
      <c r="F223" s="38"/>
      <c r="G223" s="42"/>
      <c r="H223" s="41"/>
      <c r="I223" s="40"/>
      <c r="J223" s="41"/>
      <c r="K223" s="41"/>
      <c r="L223" s="2"/>
      <c r="M223" s="2"/>
      <c r="N223" s="2"/>
    </row>
    <row r="224" ht="18.0" customHeight="1">
      <c r="A224" s="2"/>
      <c r="B224" s="2"/>
      <c r="C224" s="2"/>
      <c r="D224" s="2"/>
      <c r="E224" s="2"/>
      <c r="F224" s="38"/>
      <c r="G224" s="42"/>
      <c r="H224" s="41"/>
      <c r="I224" s="40"/>
      <c r="J224" s="41"/>
      <c r="K224" s="41"/>
      <c r="L224" s="2"/>
      <c r="M224" s="2"/>
      <c r="N224" s="2"/>
    </row>
    <row r="225" ht="18.0" customHeight="1">
      <c r="A225" s="2"/>
      <c r="B225" s="2"/>
      <c r="C225" s="2"/>
      <c r="D225" s="2"/>
      <c r="E225" s="2"/>
      <c r="F225" s="38"/>
      <c r="G225" s="42"/>
      <c r="H225" s="41"/>
      <c r="I225" s="40"/>
      <c r="J225" s="41"/>
      <c r="K225" s="41"/>
      <c r="L225" s="2"/>
      <c r="M225" s="2"/>
      <c r="N225" s="2"/>
    </row>
    <row r="226" ht="18.0" customHeight="1">
      <c r="A226" s="2"/>
      <c r="B226" s="2"/>
      <c r="C226" s="2"/>
      <c r="D226" s="2"/>
      <c r="E226" s="2"/>
      <c r="F226" s="38"/>
      <c r="G226" s="42"/>
      <c r="H226" s="41"/>
      <c r="I226" s="40"/>
      <c r="J226" s="41"/>
      <c r="K226" s="41"/>
      <c r="L226" s="2"/>
      <c r="M226" s="2"/>
      <c r="N226" s="2"/>
    </row>
    <row r="227" ht="18.0" customHeight="1">
      <c r="A227" s="2"/>
      <c r="B227" s="2"/>
      <c r="C227" s="2"/>
      <c r="D227" s="2"/>
      <c r="E227" s="2"/>
      <c r="F227" s="38"/>
      <c r="G227" s="42"/>
      <c r="H227" s="41"/>
      <c r="I227" s="40"/>
      <c r="J227" s="41"/>
      <c r="K227" s="41"/>
      <c r="L227" s="2"/>
      <c r="M227" s="2"/>
      <c r="N227" s="2"/>
    </row>
    <row r="228" ht="18.0" customHeight="1">
      <c r="A228" s="2"/>
      <c r="B228" s="2"/>
      <c r="C228" s="2"/>
      <c r="D228" s="2"/>
      <c r="E228" s="2"/>
      <c r="F228" s="38"/>
      <c r="G228" s="42"/>
      <c r="H228" s="41"/>
      <c r="I228" s="40"/>
      <c r="J228" s="41"/>
      <c r="K228" s="41"/>
      <c r="L228" s="2"/>
      <c r="M228" s="2"/>
      <c r="N228" s="2"/>
    </row>
    <row r="229" ht="18.0" customHeight="1">
      <c r="A229" s="2"/>
      <c r="B229" s="2"/>
      <c r="C229" s="2"/>
      <c r="D229" s="2"/>
      <c r="E229" s="2"/>
      <c r="F229" s="38"/>
      <c r="G229" s="42"/>
      <c r="H229" s="41"/>
      <c r="I229" s="40"/>
      <c r="J229" s="41"/>
      <c r="K229" s="41"/>
      <c r="L229" s="2"/>
      <c r="M229" s="2"/>
      <c r="N229" s="2"/>
    </row>
    <row r="230" ht="18.0" customHeight="1">
      <c r="A230" s="2"/>
      <c r="B230" s="2"/>
      <c r="C230" s="2"/>
      <c r="D230" s="2"/>
      <c r="E230" s="2"/>
      <c r="F230" s="38"/>
      <c r="G230" s="42"/>
      <c r="H230" s="41"/>
      <c r="I230" s="40"/>
      <c r="J230" s="41"/>
      <c r="K230" s="41"/>
      <c r="L230" s="2"/>
      <c r="M230" s="2"/>
      <c r="N230" s="2"/>
    </row>
    <row r="231" ht="18.0" customHeight="1">
      <c r="A231" s="2"/>
      <c r="B231" s="2"/>
      <c r="C231" s="2"/>
      <c r="D231" s="2"/>
      <c r="E231" s="2"/>
      <c r="F231" s="38"/>
      <c r="G231" s="42"/>
      <c r="H231" s="41"/>
      <c r="I231" s="40"/>
      <c r="J231" s="41"/>
      <c r="K231" s="41"/>
      <c r="L231" s="2"/>
      <c r="M231" s="2"/>
      <c r="N231" s="2"/>
    </row>
    <row r="232" ht="18.0" customHeight="1">
      <c r="A232" s="2"/>
      <c r="B232" s="2"/>
      <c r="C232" s="2"/>
      <c r="D232" s="2"/>
      <c r="E232" s="2"/>
      <c r="F232" s="38"/>
      <c r="G232" s="42"/>
      <c r="H232" s="41"/>
      <c r="I232" s="40"/>
      <c r="J232" s="41"/>
      <c r="K232" s="41"/>
      <c r="L232" s="2"/>
      <c r="M232" s="2"/>
      <c r="N232" s="2"/>
    </row>
    <row r="233" ht="18.0" customHeight="1">
      <c r="A233" s="2"/>
      <c r="B233" s="2"/>
      <c r="C233" s="2"/>
      <c r="D233" s="2"/>
      <c r="E233" s="2"/>
      <c r="F233" s="38"/>
      <c r="G233" s="42"/>
      <c r="H233" s="41"/>
      <c r="I233" s="40"/>
      <c r="J233" s="41"/>
      <c r="K233" s="41"/>
      <c r="L233" s="2"/>
      <c r="M233" s="2"/>
      <c r="N233" s="2"/>
    </row>
    <row r="234" ht="18.0" customHeight="1">
      <c r="A234" s="2"/>
      <c r="B234" s="2"/>
      <c r="C234" s="2"/>
      <c r="D234" s="2"/>
      <c r="E234" s="2"/>
      <c r="F234" s="38"/>
      <c r="G234" s="42"/>
      <c r="H234" s="41"/>
      <c r="I234" s="40"/>
      <c r="J234" s="41"/>
      <c r="K234" s="41"/>
      <c r="L234" s="2"/>
      <c r="M234" s="2"/>
      <c r="N234" s="2"/>
    </row>
    <row r="235" ht="18.0" customHeight="1">
      <c r="A235" s="2"/>
      <c r="B235" s="2"/>
      <c r="C235" s="2"/>
      <c r="D235" s="2"/>
      <c r="E235" s="2"/>
      <c r="F235" s="38"/>
      <c r="G235" s="42"/>
      <c r="H235" s="41"/>
      <c r="I235" s="40"/>
      <c r="J235" s="41"/>
      <c r="K235" s="41"/>
      <c r="L235" s="2"/>
      <c r="M235" s="2"/>
      <c r="N235" s="2"/>
    </row>
    <row r="236" ht="18.0" customHeight="1">
      <c r="A236" s="2"/>
      <c r="B236" s="2"/>
      <c r="C236" s="2"/>
      <c r="D236" s="2"/>
      <c r="E236" s="2"/>
      <c r="F236" s="38"/>
      <c r="G236" s="42"/>
      <c r="H236" s="41"/>
      <c r="I236" s="40"/>
      <c r="J236" s="41"/>
      <c r="K236" s="41"/>
      <c r="L236" s="2"/>
      <c r="M236" s="2"/>
      <c r="N236" s="2"/>
    </row>
    <row r="237" ht="18.0" customHeight="1">
      <c r="A237" s="2"/>
      <c r="B237" s="2"/>
      <c r="C237" s="2"/>
      <c r="D237" s="2"/>
      <c r="E237" s="2"/>
      <c r="F237" s="38"/>
      <c r="G237" s="42"/>
      <c r="H237" s="41"/>
      <c r="I237" s="40"/>
      <c r="J237" s="41"/>
      <c r="K237" s="41"/>
      <c r="L237" s="2"/>
      <c r="M237" s="2"/>
      <c r="N237" s="2"/>
    </row>
    <row r="238" ht="18.0" customHeight="1">
      <c r="A238" s="2"/>
      <c r="B238" s="2"/>
      <c r="C238" s="2"/>
      <c r="D238" s="2"/>
      <c r="E238" s="2"/>
      <c r="F238" s="38"/>
      <c r="G238" s="42"/>
      <c r="H238" s="41"/>
      <c r="I238" s="40"/>
      <c r="J238" s="41"/>
      <c r="K238" s="41"/>
      <c r="L238" s="2"/>
      <c r="M238" s="2"/>
      <c r="N238" s="2"/>
    </row>
    <row r="239" ht="18.0" customHeight="1">
      <c r="A239" s="2"/>
      <c r="B239" s="2"/>
      <c r="C239" s="2"/>
      <c r="D239" s="2"/>
      <c r="E239" s="2"/>
      <c r="F239" s="38"/>
      <c r="G239" s="42"/>
      <c r="H239" s="41"/>
      <c r="I239" s="40"/>
      <c r="J239" s="41"/>
      <c r="K239" s="41"/>
      <c r="L239" s="2"/>
      <c r="M239" s="2"/>
      <c r="N239" s="2"/>
    </row>
    <row r="240" ht="18.0" customHeight="1">
      <c r="A240" s="2"/>
      <c r="B240" s="2"/>
      <c r="C240" s="2"/>
      <c r="D240" s="2"/>
      <c r="E240" s="2"/>
      <c r="F240" s="38"/>
      <c r="G240" s="42"/>
      <c r="H240" s="41"/>
      <c r="I240" s="40"/>
      <c r="J240" s="41"/>
      <c r="K240" s="41"/>
      <c r="L240" s="2"/>
      <c r="M240" s="2"/>
      <c r="N240" s="2"/>
    </row>
    <row r="241" ht="18.0" customHeight="1">
      <c r="A241" s="2"/>
      <c r="B241" s="2"/>
      <c r="C241" s="2"/>
      <c r="D241" s="2"/>
      <c r="E241" s="2"/>
      <c r="F241" s="38"/>
      <c r="G241" s="42"/>
      <c r="H241" s="41"/>
      <c r="I241" s="40"/>
      <c r="J241" s="41"/>
      <c r="K241" s="41"/>
      <c r="L241" s="2"/>
      <c r="M241" s="2"/>
      <c r="N241" s="2"/>
    </row>
    <row r="242" ht="18.0" customHeight="1">
      <c r="A242" s="2"/>
      <c r="B242" s="2"/>
      <c r="C242" s="2"/>
      <c r="D242" s="2"/>
      <c r="E242" s="2"/>
      <c r="F242" s="38"/>
      <c r="G242" s="42"/>
      <c r="H242" s="41"/>
      <c r="I242" s="40"/>
      <c r="J242" s="41"/>
      <c r="K242" s="41"/>
      <c r="L242" s="2"/>
      <c r="M242" s="2"/>
      <c r="N242" s="2"/>
    </row>
    <row r="243" ht="18.0" customHeight="1">
      <c r="A243" s="2"/>
      <c r="B243" s="2"/>
      <c r="C243" s="2"/>
      <c r="D243" s="2"/>
      <c r="E243" s="2"/>
      <c r="F243" s="38"/>
      <c r="G243" s="42"/>
      <c r="H243" s="41"/>
      <c r="I243" s="40"/>
      <c r="J243" s="41"/>
      <c r="K243" s="41"/>
      <c r="L243" s="2"/>
      <c r="M243" s="2"/>
      <c r="N243" s="2"/>
    </row>
    <row r="244" ht="18.0" customHeight="1">
      <c r="A244" s="2"/>
      <c r="B244" s="2"/>
      <c r="C244" s="2"/>
      <c r="D244" s="2"/>
      <c r="E244" s="2"/>
      <c r="F244" s="38"/>
      <c r="G244" s="42"/>
      <c r="H244" s="41"/>
      <c r="I244" s="40"/>
      <c r="J244" s="41"/>
      <c r="K244" s="41"/>
      <c r="L244" s="2"/>
      <c r="M244" s="2"/>
      <c r="N244" s="2"/>
    </row>
    <row r="245" ht="18.0" customHeight="1">
      <c r="A245" s="2"/>
      <c r="B245" s="2"/>
      <c r="C245" s="2"/>
      <c r="D245" s="2"/>
      <c r="E245" s="2"/>
      <c r="F245" s="38"/>
      <c r="G245" s="42"/>
      <c r="H245" s="41"/>
      <c r="I245" s="40"/>
      <c r="J245" s="41"/>
      <c r="K245" s="41"/>
      <c r="L245" s="2"/>
      <c r="M245" s="2"/>
      <c r="N245" s="2"/>
    </row>
    <row r="246" ht="18.0" customHeight="1">
      <c r="A246" s="2"/>
      <c r="B246" s="2"/>
      <c r="C246" s="2"/>
      <c r="D246" s="2"/>
      <c r="E246" s="2"/>
      <c r="F246" s="38"/>
      <c r="G246" s="42"/>
      <c r="H246" s="41"/>
      <c r="I246" s="40"/>
      <c r="J246" s="41"/>
      <c r="K246" s="41"/>
      <c r="L246" s="2"/>
      <c r="M246" s="2"/>
      <c r="N246" s="2"/>
    </row>
    <row r="247" ht="18.0" customHeight="1">
      <c r="A247" s="2"/>
      <c r="B247" s="2"/>
      <c r="C247" s="2"/>
      <c r="D247" s="2"/>
      <c r="E247" s="2"/>
      <c r="F247" s="38"/>
      <c r="G247" s="42"/>
      <c r="H247" s="41"/>
      <c r="I247" s="40"/>
      <c r="J247" s="41"/>
      <c r="K247" s="41"/>
      <c r="L247" s="2"/>
      <c r="M247" s="2"/>
      <c r="N247" s="2"/>
    </row>
    <row r="248" ht="18.0" customHeight="1">
      <c r="A248" s="2"/>
      <c r="B248" s="2"/>
      <c r="C248" s="2"/>
      <c r="D248" s="2"/>
      <c r="E248" s="2"/>
      <c r="F248" s="38"/>
      <c r="G248" s="42"/>
      <c r="H248" s="41"/>
      <c r="I248" s="40"/>
      <c r="J248" s="41"/>
      <c r="K248" s="41"/>
      <c r="L248" s="2"/>
      <c r="M248" s="2"/>
      <c r="N248" s="2"/>
    </row>
    <row r="249" ht="18.0" customHeight="1">
      <c r="A249" s="2"/>
      <c r="B249" s="2"/>
      <c r="C249" s="2"/>
      <c r="D249" s="2"/>
      <c r="E249" s="2"/>
      <c r="F249" s="38"/>
      <c r="G249" s="42"/>
      <c r="H249" s="41"/>
      <c r="I249" s="40"/>
      <c r="J249" s="41"/>
      <c r="K249" s="41"/>
      <c r="L249" s="2"/>
      <c r="M249" s="2"/>
      <c r="N249" s="2"/>
    </row>
    <row r="250" ht="18.0" customHeight="1">
      <c r="A250" s="2"/>
      <c r="B250" s="2"/>
      <c r="C250" s="2"/>
      <c r="D250" s="2"/>
      <c r="E250" s="2"/>
      <c r="F250" s="38"/>
      <c r="G250" s="42"/>
      <c r="H250" s="41"/>
      <c r="I250" s="40"/>
      <c r="J250" s="41"/>
      <c r="K250" s="41"/>
      <c r="L250" s="2"/>
      <c r="M250" s="2"/>
      <c r="N250" s="2"/>
    </row>
    <row r="251" ht="18.0" customHeight="1">
      <c r="A251" s="2"/>
      <c r="B251" s="2"/>
      <c r="C251" s="2"/>
      <c r="D251" s="2"/>
      <c r="E251" s="2"/>
      <c r="F251" s="38"/>
      <c r="G251" s="42"/>
      <c r="H251" s="41"/>
      <c r="I251" s="40"/>
      <c r="J251" s="41"/>
      <c r="K251" s="41"/>
      <c r="L251" s="2"/>
      <c r="M251" s="2"/>
      <c r="N251" s="2"/>
    </row>
    <row r="252" ht="18.0" customHeight="1">
      <c r="A252" s="2"/>
      <c r="B252" s="2"/>
      <c r="C252" s="2"/>
      <c r="D252" s="2"/>
      <c r="E252" s="2"/>
      <c r="F252" s="38"/>
      <c r="G252" s="42"/>
      <c r="H252" s="41"/>
      <c r="I252" s="40"/>
      <c r="J252" s="41"/>
      <c r="K252" s="41"/>
      <c r="L252" s="2"/>
      <c r="M252" s="2"/>
      <c r="N252" s="2"/>
    </row>
    <row r="253" ht="18.0" customHeight="1">
      <c r="A253" s="2"/>
      <c r="B253" s="2"/>
      <c r="C253" s="2"/>
      <c r="D253" s="2"/>
      <c r="E253" s="2"/>
      <c r="F253" s="38"/>
      <c r="G253" s="42"/>
      <c r="H253" s="41"/>
      <c r="I253" s="40"/>
      <c r="J253" s="41"/>
      <c r="K253" s="41"/>
      <c r="L253" s="2"/>
      <c r="M253" s="2"/>
      <c r="N253" s="2"/>
    </row>
    <row r="254" ht="18.0" customHeight="1">
      <c r="A254" s="2"/>
      <c r="B254" s="2"/>
      <c r="C254" s="2"/>
      <c r="D254" s="2"/>
      <c r="E254" s="2"/>
      <c r="F254" s="38"/>
      <c r="G254" s="42"/>
      <c r="H254" s="41"/>
      <c r="I254" s="40"/>
      <c r="J254" s="41"/>
      <c r="K254" s="41"/>
      <c r="L254" s="2"/>
      <c r="M254" s="2"/>
      <c r="N254" s="2"/>
    </row>
    <row r="255" ht="18.0" customHeight="1">
      <c r="A255" s="2"/>
      <c r="B255" s="2"/>
      <c r="C255" s="2"/>
      <c r="D255" s="2"/>
      <c r="E255" s="2"/>
      <c r="F255" s="38"/>
      <c r="G255" s="42"/>
      <c r="H255" s="41"/>
      <c r="I255" s="40"/>
      <c r="J255" s="41"/>
      <c r="K255" s="41"/>
      <c r="L255" s="2"/>
      <c r="M255" s="2"/>
      <c r="N255" s="2"/>
    </row>
    <row r="256" ht="18.0" customHeight="1">
      <c r="A256" s="2"/>
      <c r="B256" s="2"/>
      <c r="C256" s="2"/>
      <c r="D256" s="2"/>
      <c r="E256" s="2"/>
      <c r="F256" s="38"/>
      <c r="G256" s="42"/>
      <c r="H256" s="41"/>
      <c r="I256" s="40"/>
      <c r="J256" s="41"/>
      <c r="K256" s="41"/>
      <c r="L256" s="2"/>
      <c r="M256" s="2"/>
      <c r="N256" s="2"/>
    </row>
    <row r="257" ht="18.0" customHeight="1">
      <c r="A257" s="2"/>
      <c r="B257" s="2"/>
      <c r="C257" s="2"/>
      <c r="D257" s="2"/>
      <c r="E257" s="2"/>
      <c r="F257" s="38"/>
      <c r="G257" s="42"/>
      <c r="H257" s="41"/>
      <c r="I257" s="40"/>
      <c r="J257" s="41"/>
      <c r="K257" s="41"/>
      <c r="L257" s="2"/>
      <c r="M257" s="2"/>
      <c r="N257" s="2"/>
    </row>
    <row r="258" ht="18.0" customHeight="1">
      <c r="A258" s="2"/>
      <c r="B258" s="2"/>
      <c r="C258" s="2"/>
      <c r="D258" s="2"/>
      <c r="E258" s="2"/>
      <c r="F258" s="38"/>
      <c r="G258" s="42"/>
      <c r="H258" s="41"/>
      <c r="I258" s="40"/>
      <c r="J258" s="41"/>
      <c r="K258" s="41"/>
      <c r="L258" s="2"/>
      <c r="M258" s="2"/>
      <c r="N258" s="2"/>
    </row>
    <row r="259" ht="18.0" customHeight="1">
      <c r="A259" s="2"/>
      <c r="B259" s="2"/>
      <c r="C259" s="2"/>
      <c r="D259" s="2"/>
      <c r="E259" s="2"/>
      <c r="F259" s="38"/>
      <c r="G259" s="42"/>
      <c r="H259" s="41"/>
      <c r="I259" s="40"/>
      <c r="J259" s="41"/>
      <c r="K259" s="41"/>
      <c r="L259" s="2"/>
      <c r="M259" s="2"/>
      <c r="N259" s="2"/>
    </row>
    <row r="260" ht="18.0" customHeight="1">
      <c r="A260" s="2"/>
      <c r="B260" s="2"/>
      <c r="C260" s="2"/>
      <c r="D260" s="2"/>
      <c r="E260" s="2"/>
      <c r="F260" s="38"/>
      <c r="G260" s="42"/>
      <c r="H260" s="41"/>
      <c r="I260" s="40"/>
      <c r="J260" s="41"/>
      <c r="K260" s="41"/>
      <c r="L260" s="2"/>
      <c r="M260" s="2"/>
      <c r="N260" s="2"/>
    </row>
    <row r="261" ht="18.0" customHeight="1">
      <c r="A261" s="2"/>
      <c r="B261" s="2"/>
      <c r="C261" s="2"/>
      <c r="D261" s="2"/>
      <c r="E261" s="2"/>
      <c r="F261" s="38"/>
      <c r="G261" s="42"/>
      <c r="H261" s="41"/>
      <c r="I261" s="40"/>
      <c r="J261" s="41"/>
      <c r="K261" s="41"/>
      <c r="L261" s="2"/>
      <c r="M261" s="2"/>
      <c r="N261" s="2"/>
    </row>
    <row r="262" ht="18.0" customHeight="1">
      <c r="A262" s="2"/>
      <c r="B262" s="2"/>
      <c r="C262" s="2"/>
      <c r="D262" s="2"/>
      <c r="E262" s="2"/>
      <c r="F262" s="38"/>
      <c r="G262" s="42"/>
      <c r="H262" s="41"/>
      <c r="I262" s="40"/>
      <c r="J262" s="41"/>
      <c r="K262" s="41"/>
      <c r="L262" s="2"/>
      <c r="M262" s="2"/>
      <c r="N262" s="2"/>
    </row>
    <row r="263" ht="18.0" customHeight="1">
      <c r="A263" s="2"/>
      <c r="B263" s="2"/>
      <c r="C263" s="2"/>
      <c r="D263" s="2"/>
      <c r="E263" s="2"/>
      <c r="F263" s="38"/>
      <c r="G263" s="42"/>
      <c r="H263" s="41"/>
      <c r="I263" s="40"/>
      <c r="J263" s="41"/>
      <c r="K263" s="41"/>
      <c r="L263" s="2"/>
      <c r="M263" s="2"/>
      <c r="N263" s="2"/>
    </row>
    <row r="264" ht="18.0" customHeight="1">
      <c r="A264" s="2"/>
      <c r="B264" s="2"/>
      <c r="C264" s="2"/>
      <c r="D264" s="2"/>
      <c r="E264" s="2"/>
      <c r="F264" s="38"/>
      <c r="G264" s="42"/>
      <c r="H264" s="41"/>
      <c r="I264" s="40"/>
      <c r="J264" s="41"/>
      <c r="K264" s="41"/>
      <c r="L264" s="2"/>
      <c r="M264" s="2"/>
      <c r="N264" s="2"/>
    </row>
    <row r="265" ht="18.0" customHeight="1">
      <c r="A265" s="2"/>
      <c r="B265" s="2"/>
      <c r="C265" s="2"/>
      <c r="D265" s="2"/>
      <c r="E265" s="2"/>
      <c r="F265" s="38"/>
      <c r="G265" s="42"/>
      <c r="H265" s="41"/>
      <c r="I265" s="40"/>
      <c r="J265" s="41"/>
      <c r="K265" s="41"/>
      <c r="L265" s="2"/>
      <c r="M265" s="2"/>
      <c r="N265" s="2"/>
    </row>
    <row r="266" ht="18.0" customHeight="1">
      <c r="A266" s="2"/>
      <c r="B266" s="2"/>
      <c r="C266" s="2"/>
      <c r="D266" s="2"/>
      <c r="E266" s="2"/>
      <c r="F266" s="38"/>
      <c r="G266" s="42"/>
      <c r="H266" s="41"/>
      <c r="I266" s="40"/>
      <c r="J266" s="41"/>
      <c r="K266" s="41"/>
      <c r="L266" s="2"/>
      <c r="M266" s="2"/>
      <c r="N266" s="2"/>
    </row>
    <row r="267" ht="18.0" customHeight="1">
      <c r="A267" s="2"/>
      <c r="B267" s="2"/>
      <c r="C267" s="2"/>
      <c r="D267" s="2"/>
      <c r="E267" s="2"/>
      <c r="F267" s="38"/>
      <c r="G267" s="42"/>
      <c r="H267" s="41"/>
      <c r="I267" s="40"/>
      <c r="J267" s="41"/>
      <c r="K267" s="41"/>
      <c r="L267" s="2"/>
      <c r="M267" s="2"/>
      <c r="N267" s="2"/>
    </row>
    <row r="268" ht="18.0" customHeight="1">
      <c r="A268" s="2"/>
      <c r="B268" s="2"/>
      <c r="C268" s="2"/>
      <c r="D268" s="2"/>
      <c r="E268" s="2"/>
      <c r="F268" s="38"/>
      <c r="G268" s="42"/>
      <c r="H268" s="41"/>
      <c r="I268" s="40"/>
      <c r="J268" s="41"/>
      <c r="K268" s="41"/>
      <c r="L268" s="2"/>
      <c r="M268" s="2"/>
      <c r="N268" s="2"/>
    </row>
    <row r="269" ht="18.0" customHeight="1">
      <c r="A269" s="2"/>
      <c r="B269" s="2"/>
      <c r="C269" s="2"/>
      <c r="D269" s="2"/>
      <c r="E269" s="2"/>
      <c r="F269" s="38"/>
      <c r="G269" s="42"/>
      <c r="H269" s="41"/>
      <c r="I269" s="40"/>
      <c r="J269" s="41"/>
      <c r="K269" s="41"/>
      <c r="L269" s="2"/>
      <c r="M269" s="2"/>
      <c r="N269" s="2"/>
    </row>
    <row r="270" ht="18.0" customHeight="1">
      <c r="A270" s="2"/>
      <c r="B270" s="2"/>
      <c r="C270" s="2"/>
      <c r="D270" s="2"/>
      <c r="E270" s="2"/>
      <c r="F270" s="38"/>
      <c r="G270" s="42"/>
      <c r="H270" s="41"/>
      <c r="I270" s="40"/>
      <c r="J270" s="41"/>
      <c r="K270" s="41"/>
      <c r="L270" s="2"/>
      <c r="M270" s="2"/>
      <c r="N270" s="2"/>
    </row>
    <row r="271" ht="18.0" customHeight="1">
      <c r="A271" s="2"/>
      <c r="B271" s="2"/>
      <c r="C271" s="2"/>
      <c r="D271" s="2"/>
      <c r="E271" s="2"/>
      <c r="F271" s="38"/>
      <c r="G271" s="42"/>
      <c r="H271" s="41"/>
      <c r="I271" s="40"/>
      <c r="J271" s="41"/>
      <c r="K271" s="41"/>
      <c r="L271" s="2"/>
      <c r="M271" s="2"/>
      <c r="N271" s="2"/>
    </row>
    <row r="272" ht="18.0" customHeight="1">
      <c r="A272" s="2"/>
      <c r="B272" s="2"/>
      <c r="C272" s="2"/>
      <c r="D272" s="2"/>
      <c r="E272" s="2"/>
      <c r="F272" s="38"/>
      <c r="G272" s="42"/>
      <c r="H272" s="41"/>
      <c r="I272" s="40"/>
      <c r="J272" s="41"/>
      <c r="K272" s="41"/>
      <c r="L272" s="2"/>
      <c r="M272" s="2"/>
      <c r="N272" s="2"/>
    </row>
    <row r="273" ht="18.0" customHeight="1">
      <c r="A273" s="2"/>
      <c r="B273" s="2"/>
      <c r="C273" s="2"/>
      <c r="D273" s="2"/>
      <c r="E273" s="2"/>
      <c r="F273" s="38"/>
      <c r="G273" s="42"/>
      <c r="H273" s="41"/>
      <c r="I273" s="40"/>
      <c r="J273" s="41"/>
      <c r="K273" s="41"/>
      <c r="L273" s="2"/>
      <c r="M273" s="2"/>
      <c r="N273" s="2"/>
    </row>
    <row r="274" ht="18.0" customHeight="1">
      <c r="A274" s="2"/>
      <c r="B274" s="2"/>
      <c r="C274" s="2"/>
      <c r="D274" s="2"/>
      <c r="E274" s="2"/>
      <c r="F274" s="38"/>
      <c r="G274" s="42"/>
      <c r="H274" s="41"/>
      <c r="I274" s="40"/>
      <c r="J274" s="41"/>
      <c r="K274" s="41"/>
      <c r="L274" s="2"/>
      <c r="M274" s="2"/>
      <c r="N274" s="2"/>
    </row>
    <row r="275" ht="18.0" customHeight="1">
      <c r="A275" s="2"/>
      <c r="B275" s="2"/>
      <c r="C275" s="2"/>
      <c r="D275" s="2"/>
      <c r="E275" s="2"/>
      <c r="F275" s="38"/>
      <c r="G275" s="42"/>
      <c r="H275" s="41"/>
      <c r="I275" s="40"/>
      <c r="J275" s="41"/>
      <c r="K275" s="41"/>
      <c r="L275" s="2"/>
      <c r="M275" s="2"/>
      <c r="N275" s="2"/>
    </row>
    <row r="276" ht="18.0" customHeight="1">
      <c r="A276" s="2"/>
      <c r="B276" s="2"/>
      <c r="C276" s="2"/>
      <c r="D276" s="2"/>
      <c r="E276" s="2"/>
      <c r="F276" s="38"/>
      <c r="G276" s="42"/>
      <c r="H276" s="41"/>
      <c r="I276" s="40"/>
      <c r="J276" s="41"/>
      <c r="K276" s="41"/>
      <c r="L276" s="2"/>
      <c r="M276" s="2"/>
      <c r="N276" s="2"/>
    </row>
    <row r="277" ht="18.0" customHeight="1">
      <c r="A277" s="2"/>
      <c r="B277" s="2"/>
      <c r="C277" s="2"/>
      <c r="D277" s="2"/>
      <c r="E277" s="2"/>
      <c r="F277" s="38"/>
      <c r="G277" s="42"/>
      <c r="H277" s="41"/>
      <c r="I277" s="40"/>
      <c r="J277" s="41"/>
      <c r="K277" s="41"/>
      <c r="L277" s="2"/>
      <c r="M277" s="2"/>
      <c r="N277" s="2"/>
    </row>
    <row r="278" ht="18.0" customHeight="1">
      <c r="A278" s="2"/>
      <c r="B278" s="2"/>
      <c r="C278" s="2"/>
      <c r="D278" s="2"/>
      <c r="E278" s="2"/>
      <c r="F278" s="38"/>
      <c r="G278" s="42"/>
      <c r="H278" s="41"/>
      <c r="I278" s="40"/>
      <c r="J278" s="41"/>
      <c r="K278" s="41"/>
      <c r="L278" s="2"/>
      <c r="M278" s="2"/>
      <c r="N278" s="2"/>
    </row>
    <row r="279" ht="18.0" customHeight="1">
      <c r="A279" s="2"/>
      <c r="B279" s="2"/>
      <c r="C279" s="2"/>
      <c r="D279" s="2"/>
      <c r="E279" s="2"/>
      <c r="F279" s="38"/>
      <c r="G279" s="42"/>
      <c r="H279" s="41"/>
      <c r="I279" s="40"/>
      <c r="J279" s="41"/>
      <c r="K279" s="41"/>
      <c r="L279" s="2"/>
      <c r="M279" s="2"/>
      <c r="N279" s="2"/>
    </row>
    <row r="280" ht="18.0" customHeight="1">
      <c r="A280" s="2"/>
      <c r="B280" s="2"/>
      <c r="C280" s="2"/>
      <c r="D280" s="2"/>
      <c r="E280" s="2"/>
      <c r="F280" s="38"/>
      <c r="G280" s="42"/>
      <c r="H280" s="41"/>
      <c r="I280" s="40"/>
      <c r="J280" s="41"/>
      <c r="K280" s="41"/>
      <c r="L280" s="2"/>
      <c r="M280" s="2"/>
      <c r="N280" s="2"/>
    </row>
    <row r="281" ht="18.0" customHeight="1">
      <c r="A281" s="2"/>
      <c r="B281" s="2"/>
      <c r="C281" s="2"/>
      <c r="D281" s="2"/>
      <c r="E281" s="2"/>
      <c r="F281" s="38"/>
      <c r="G281" s="42"/>
      <c r="H281" s="41"/>
      <c r="I281" s="40"/>
      <c r="J281" s="41"/>
      <c r="K281" s="41"/>
      <c r="L281" s="2"/>
      <c r="M281" s="2"/>
      <c r="N281" s="2"/>
    </row>
    <row r="282" ht="18.0" customHeight="1">
      <c r="A282" s="2"/>
      <c r="B282" s="2"/>
      <c r="C282" s="2"/>
      <c r="D282" s="2"/>
      <c r="E282" s="2"/>
      <c r="F282" s="38"/>
      <c r="G282" s="42"/>
      <c r="H282" s="41"/>
      <c r="I282" s="40"/>
      <c r="J282" s="41"/>
      <c r="K282" s="41"/>
      <c r="L282" s="2"/>
      <c r="M282" s="2"/>
      <c r="N282" s="2"/>
    </row>
    <row r="283" ht="18.0" customHeight="1">
      <c r="A283" s="2"/>
      <c r="B283" s="2"/>
      <c r="C283" s="2"/>
      <c r="D283" s="2"/>
      <c r="E283" s="2"/>
      <c r="F283" s="38"/>
      <c r="G283" s="42"/>
      <c r="H283" s="41"/>
      <c r="I283" s="40"/>
      <c r="J283" s="41"/>
      <c r="K283" s="41"/>
      <c r="L283" s="2"/>
      <c r="M283" s="2"/>
      <c r="N283" s="2"/>
    </row>
    <row r="284" ht="18.0" customHeight="1">
      <c r="A284" s="2"/>
      <c r="B284" s="2"/>
      <c r="C284" s="2"/>
      <c r="D284" s="2"/>
      <c r="E284" s="2"/>
      <c r="F284" s="38"/>
      <c r="G284" s="42"/>
      <c r="H284" s="41"/>
      <c r="I284" s="40"/>
      <c r="J284" s="41"/>
      <c r="K284" s="41"/>
      <c r="L284" s="2"/>
      <c r="M284" s="2"/>
      <c r="N284" s="2"/>
    </row>
    <row r="285" ht="18.0" customHeight="1">
      <c r="A285" s="2"/>
      <c r="B285" s="2"/>
      <c r="C285" s="2"/>
      <c r="D285" s="2"/>
      <c r="E285" s="2"/>
      <c r="F285" s="38"/>
      <c r="G285" s="42"/>
      <c r="H285" s="41"/>
      <c r="I285" s="40"/>
      <c r="J285" s="41"/>
      <c r="K285" s="41"/>
      <c r="L285" s="2"/>
      <c r="M285" s="2"/>
      <c r="N285" s="2"/>
    </row>
    <row r="286" ht="18.0" customHeight="1">
      <c r="A286" s="2"/>
      <c r="B286" s="2"/>
      <c r="C286" s="2"/>
      <c r="D286" s="2"/>
      <c r="E286" s="2"/>
      <c r="F286" s="38"/>
      <c r="G286" s="42"/>
      <c r="H286" s="41"/>
      <c r="I286" s="40"/>
      <c r="J286" s="41"/>
      <c r="K286" s="41"/>
      <c r="L286" s="2"/>
      <c r="M286" s="2"/>
      <c r="N286" s="2"/>
    </row>
    <row r="287" ht="18.0" customHeight="1">
      <c r="A287" s="2"/>
      <c r="B287" s="2"/>
      <c r="C287" s="2"/>
      <c r="D287" s="2"/>
      <c r="E287" s="2"/>
      <c r="F287" s="38"/>
      <c r="G287" s="42"/>
      <c r="H287" s="41"/>
      <c r="I287" s="40"/>
      <c r="J287" s="41"/>
      <c r="K287" s="41"/>
      <c r="L287" s="2"/>
      <c r="M287" s="2"/>
      <c r="N287" s="2"/>
    </row>
    <row r="288" ht="18.0" customHeight="1">
      <c r="A288" s="2"/>
      <c r="B288" s="2"/>
      <c r="C288" s="2"/>
      <c r="D288" s="2"/>
      <c r="E288" s="2"/>
      <c r="F288" s="38"/>
      <c r="G288" s="42"/>
      <c r="H288" s="41"/>
      <c r="I288" s="40"/>
      <c r="J288" s="41"/>
      <c r="K288" s="41"/>
      <c r="L288" s="2"/>
      <c r="M288" s="2"/>
      <c r="N288" s="2"/>
    </row>
    <row r="289" ht="18.0" customHeight="1">
      <c r="A289" s="2"/>
      <c r="B289" s="2"/>
      <c r="C289" s="2"/>
      <c r="D289" s="2"/>
      <c r="E289" s="2"/>
      <c r="F289" s="38"/>
      <c r="G289" s="42"/>
      <c r="H289" s="41"/>
      <c r="I289" s="40"/>
      <c r="J289" s="41"/>
      <c r="K289" s="41"/>
      <c r="L289" s="2"/>
      <c r="M289" s="2"/>
      <c r="N289" s="2"/>
    </row>
    <row r="290" ht="18.0" customHeight="1">
      <c r="A290" s="2"/>
      <c r="B290" s="2"/>
      <c r="C290" s="2"/>
      <c r="D290" s="2"/>
      <c r="E290" s="2"/>
      <c r="F290" s="38"/>
      <c r="G290" s="42"/>
      <c r="H290" s="41"/>
      <c r="I290" s="40"/>
      <c r="J290" s="41"/>
      <c r="K290" s="41"/>
      <c r="L290" s="2"/>
      <c r="M290" s="2"/>
      <c r="N290" s="2"/>
    </row>
    <row r="291" ht="18.0" customHeight="1">
      <c r="A291" s="2"/>
      <c r="B291" s="2"/>
      <c r="C291" s="2"/>
      <c r="D291" s="2"/>
      <c r="E291" s="2"/>
      <c r="F291" s="38"/>
      <c r="G291" s="42"/>
      <c r="H291" s="41"/>
      <c r="I291" s="40"/>
      <c r="J291" s="41"/>
      <c r="K291" s="41"/>
      <c r="L291" s="2"/>
      <c r="M291" s="2"/>
      <c r="N291" s="2"/>
    </row>
    <row r="292" ht="18.0" customHeight="1">
      <c r="A292" s="2"/>
      <c r="B292" s="2"/>
      <c r="C292" s="2"/>
      <c r="D292" s="2"/>
      <c r="E292" s="2"/>
      <c r="F292" s="38"/>
      <c r="G292" s="42"/>
      <c r="H292" s="41"/>
      <c r="I292" s="40"/>
      <c r="J292" s="41"/>
      <c r="K292" s="41"/>
      <c r="L292" s="2"/>
      <c r="M292" s="2"/>
      <c r="N292" s="2"/>
    </row>
    <row r="293" ht="18.0" customHeight="1">
      <c r="A293" s="2"/>
      <c r="B293" s="2"/>
      <c r="C293" s="2"/>
      <c r="D293" s="2"/>
      <c r="E293" s="2"/>
      <c r="F293" s="38"/>
      <c r="G293" s="42"/>
      <c r="H293" s="41"/>
      <c r="I293" s="40"/>
      <c r="J293" s="41"/>
      <c r="K293" s="41"/>
      <c r="L293" s="2"/>
      <c r="M293" s="2"/>
      <c r="N293" s="2"/>
    </row>
    <row r="294" ht="18.0" customHeight="1">
      <c r="A294" s="2"/>
      <c r="B294" s="2"/>
      <c r="C294" s="2"/>
      <c r="D294" s="2"/>
      <c r="E294" s="2"/>
      <c r="F294" s="38"/>
      <c r="G294" s="42"/>
      <c r="H294" s="41"/>
      <c r="I294" s="40"/>
      <c r="J294" s="41"/>
      <c r="K294" s="41"/>
      <c r="L294" s="2"/>
      <c r="M294" s="2"/>
      <c r="N294" s="2"/>
    </row>
    <row r="295" ht="18.0" customHeight="1">
      <c r="A295" s="2"/>
      <c r="B295" s="2"/>
      <c r="C295" s="2"/>
      <c r="D295" s="2"/>
      <c r="E295" s="2"/>
      <c r="F295" s="38"/>
      <c r="G295" s="42"/>
      <c r="H295" s="41"/>
      <c r="I295" s="40"/>
      <c r="J295" s="41"/>
      <c r="K295" s="41"/>
      <c r="L295" s="2"/>
      <c r="M295" s="2"/>
      <c r="N295" s="2"/>
    </row>
    <row r="296" ht="18.0" customHeight="1">
      <c r="A296" s="2"/>
      <c r="B296" s="2"/>
      <c r="C296" s="2"/>
      <c r="D296" s="2"/>
      <c r="E296" s="2"/>
      <c r="F296" s="38"/>
      <c r="G296" s="42"/>
      <c r="H296" s="41"/>
      <c r="I296" s="40"/>
      <c r="J296" s="41"/>
      <c r="K296" s="41"/>
      <c r="L296" s="2"/>
      <c r="M296" s="2"/>
      <c r="N296" s="2"/>
    </row>
    <row r="297" ht="18.0" customHeight="1">
      <c r="A297" s="2"/>
      <c r="B297" s="2"/>
      <c r="C297" s="2"/>
      <c r="D297" s="2"/>
      <c r="E297" s="2"/>
      <c r="F297" s="38"/>
      <c r="G297" s="42"/>
      <c r="H297" s="41"/>
      <c r="I297" s="40"/>
      <c r="J297" s="41"/>
      <c r="K297" s="41"/>
      <c r="L297" s="2"/>
      <c r="M297" s="2"/>
      <c r="N297" s="2"/>
    </row>
    <row r="298" ht="18.0" customHeight="1">
      <c r="A298" s="2"/>
      <c r="B298" s="2"/>
      <c r="C298" s="2"/>
      <c r="D298" s="2"/>
      <c r="E298" s="2"/>
      <c r="F298" s="38"/>
      <c r="G298" s="42"/>
      <c r="H298" s="41"/>
      <c r="I298" s="40"/>
      <c r="J298" s="41"/>
      <c r="K298" s="41"/>
      <c r="L298" s="2"/>
      <c r="M298" s="2"/>
      <c r="N298" s="2"/>
    </row>
    <row r="299" ht="18.0" customHeight="1">
      <c r="A299" s="2"/>
      <c r="B299" s="2"/>
      <c r="C299" s="2"/>
      <c r="D299" s="2"/>
      <c r="E299" s="2"/>
      <c r="F299" s="38"/>
      <c r="G299" s="42"/>
      <c r="H299" s="41"/>
      <c r="I299" s="40"/>
      <c r="J299" s="41"/>
      <c r="K299" s="41"/>
      <c r="L299" s="2"/>
      <c r="M299" s="2"/>
      <c r="N299" s="2"/>
    </row>
    <row r="300" ht="18.0" customHeight="1">
      <c r="A300" s="2"/>
      <c r="B300" s="2"/>
      <c r="C300" s="2"/>
      <c r="D300" s="2"/>
      <c r="E300" s="2"/>
      <c r="F300" s="38"/>
      <c r="G300" s="42"/>
      <c r="H300" s="41"/>
      <c r="I300" s="40"/>
      <c r="J300" s="41"/>
      <c r="K300" s="41"/>
      <c r="L300" s="2"/>
      <c r="M300" s="2"/>
      <c r="N300" s="2"/>
    </row>
    <row r="301" ht="18.0" customHeight="1">
      <c r="A301" s="2"/>
      <c r="B301" s="2"/>
      <c r="C301" s="2"/>
      <c r="D301" s="2"/>
      <c r="E301" s="2"/>
      <c r="F301" s="38"/>
      <c r="G301" s="42"/>
      <c r="H301" s="41"/>
      <c r="I301" s="40"/>
      <c r="J301" s="41"/>
      <c r="K301" s="41"/>
      <c r="L301" s="2"/>
      <c r="M301" s="2"/>
      <c r="N301" s="2"/>
    </row>
    <row r="302" ht="18.0" customHeight="1">
      <c r="A302" s="2"/>
      <c r="B302" s="2"/>
      <c r="C302" s="2"/>
      <c r="D302" s="2"/>
      <c r="E302" s="2"/>
      <c r="F302" s="38"/>
      <c r="G302" s="42"/>
      <c r="H302" s="41"/>
      <c r="I302" s="40"/>
      <c r="J302" s="41"/>
      <c r="K302" s="41"/>
      <c r="L302" s="2"/>
      <c r="M302" s="2"/>
      <c r="N302" s="2"/>
    </row>
    <row r="303" ht="18.0" customHeight="1">
      <c r="A303" s="2"/>
      <c r="B303" s="2"/>
      <c r="C303" s="2"/>
      <c r="D303" s="2"/>
      <c r="E303" s="2"/>
      <c r="F303" s="38"/>
      <c r="G303" s="42"/>
      <c r="H303" s="41"/>
      <c r="I303" s="40"/>
      <c r="J303" s="41"/>
      <c r="K303" s="41"/>
      <c r="L303" s="2"/>
      <c r="M303" s="2"/>
      <c r="N303" s="2"/>
    </row>
    <row r="304" ht="18.0" customHeight="1">
      <c r="A304" s="2"/>
      <c r="B304" s="2"/>
      <c r="C304" s="2"/>
      <c r="D304" s="2"/>
      <c r="E304" s="2"/>
      <c r="F304" s="38"/>
      <c r="G304" s="42"/>
      <c r="H304" s="41"/>
      <c r="I304" s="40"/>
      <c r="J304" s="41"/>
      <c r="K304" s="41"/>
      <c r="L304" s="2"/>
      <c r="M304" s="2"/>
      <c r="N304" s="2"/>
    </row>
    <row r="305" ht="18.0" customHeight="1">
      <c r="A305" s="2"/>
      <c r="B305" s="2"/>
      <c r="C305" s="2"/>
      <c r="D305" s="2"/>
      <c r="E305" s="2"/>
      <c r="F305" s="38"/>
      <c r="G305" s="42"/>
      <c r="H305" s="41"/>
      <c r="I305" s="40"/>
      <c r="J305" s="41"/>
      <c r="K305" s="41"/>
      <c r="L305" s="2"/>
      <c r="M305" s="2"/>
      <c r="N305" s="2"/>
    </row>
    <row r="306" ht="18.0" customHeight="1">
      <c r="A306" s="2"/>
      <c r="B306" s="2"/>
      <c r="C306" s="2"/>
      <c r="D306" s="2"/>
      <c r="E306" s="2"/>
      <c r="F306" s="38"/>
      <c r="G306" s="42"/>
      <c r="H306" s="41"/>
      <c r="I306" s="40"/>
      <c r="J306" s="41"/>
      <c r="K306" s="41"/>
      <c r="L306" s="2"/>
      <c r="M306" s="2"/>
      <c r="N306" s="2"/>
    </row>
    <row r="307" ht="18.0" customHeight="1">
      <c r="A307" s="2"/>
      <c r="B307" s="2"/>
      <c r="C307" s="2"/>
      <c r="D307" s="2"/>
      <c r="E307" s="2"/>
      <c r="F307" s="38"/>
      <c r="G307" s="42"/>
      <c r="H307" s="41"/>
      <c r="I307" s="40"/>
      <c r="J307" s="41"/>
      <c r="K307" s="41"/>
      <c r="L307" s="2"/>
      <c r="M307" s="2"/>
      <c r="N307" s="2"/>
    </row>
    <row r="308" ht="18.0" customHeight="1">
      <c r="A308" s="2"/>
      <c r="B308" s="2"/>
      <c r="C308" s="2"/>
      <c r="D308" s="2"/>
      <c r="E308" s="2"/>
      <c r="F308" s="38"/>
      <c r="G308" s="42"/>
      <c r="H308" s="41"/>
      <c r="I308" s="40"/>
      <c r="J308" s="41"/>
      <c r="K308" s="41"/>
      <c r="L308" s="2"/>
      <c r="M308" s="2"/>
      <c r="N308" s="2"/>
    </row>
    <row r="309" ht="18.0" customHeight="1">
      <c r="A309" s="2"/>
      <c r="B309" s="2"/>
      <c r="C309" s="2"/>
      <c r="D309" s="2"/>
      <c r="E309" s="2"/>
      <c r="F309" s="38"/>
      <c r="G309" s="42"/>
      <c r="H309" s="41"/>
      <c r="I309" s="40"/>
      <c r="J309" s="41"/>
      <c r="K309" s="41"/>
      <c r="L309" s="2"/>
      <c r="M309" s="2"/>
      <c r="N309" s="2"/>
    </row>
    <row r="310" ht="18.0" customHeight="1">
      <c r="A310" s="2"/>
      <c r="B310" s="2"/>
      <c r="C310" s="2"/>
      <c r="D310" s="2"/>
      <c r="E310" s="2"/>
      <c r="F310" s="38"/>
      <c r="G310" s="42"/>
      <c r="H310" s="41"/>
      <c r="I310" s="40"/>
      <c r="J310" s="41"/>
      <c r="K310" s="41"/>
      <c r="L310" s="2"/>
      <c r="M310" s="2"/>
      <c r="N310" s="2"/>
    </row>
    <row r="311" ht="18.0" customHeight="1">
      <c r="A311" s="2"/>
      <c r="B311" s="2"/>
      <c r="C311" s="2"/>
      <c r="D311" s="2"/>
      <c r="E311" s="2"/>
      <c r="F311" s="38"/>
      <c r="G311" s="42"/>
      <c r="H311" s="41"/>
      <c r="I311" s="40"/>
      <c r="J311" s="41"/>
      <c r="K311" s="41"/>
      <c r="L311" s="2"/>
      <c r="M311" s="2"/>
      <c r="N311" s="2"/>
    </row>
    <row r="312" ht="18.0" customHeight="1">
      <c r="A312" s="2"/>
      <c r="B312" s="2"/>
      <c r="C312" s="2"/>
      <c r="D312" s="2"/>
      <c r="E312" s="2"/>
      <c r="F312" s="38"/>
      <c r="G312" s="42"/>
      <c r="H312" s="41"/>
      <c r="I312" s="40"/>
      <c r="J312" s="41"/>
      <c r="K312" s="41"/>
      <c r="L312" s="2"/>
      <c r="M312" s="2"/>
      <c r="N312" s="2"/>
    </row>
    <row r="313" ht="18.0" customHeight="1">
      <c r="A313" s="2"/>
      <c r="B313" s="2"/>
      <c r="C313" s="2"/>
      <c r="D313" s="2"/>
      <c r="E313" s="2"/>
      <c r="F313" s="38"/>
      <c r="G313" s="42"/>
      <c r="H313" s="41"/>
      <c r="I313" s="40"/>
      <c r="J313" s="41"/>
      <c r="K313" s="41"/>
      <c r="L313" s="2"/>
      <c r="M313" s="2"/>
      <c r="N313" s="2"/>
    </row>
    <row r="314" ht="18.0" customHeight="1">
      <c r="A314" s="2"/>
      <c r="B314" s="2"/>
      <c r="C314" s="2"/>
      <c r="D314" s="2"/>
      <c r="E314" s="2"/>
      <c r="F314" s="38"/>
      <c r="G314" s="42"/>
      <c r="H314" s="41"/>
      <c r="I314" s="40"/>
      <c r="J314" s="41"/>
      <c r="K314" s="41"/>
      <c r="L314" s="2"/>
      <c r="M314" s="2"/>
      <c r="N314" s="2"/>
    </row>
    <row r="315" ht="18.0" customHeight="1">
      <c r="A315" s="2"/>
      <c r="B315" s="2"/>
      <c r="C315" s="2"/>
      <c r="D315" s="2"/>
      <c r="E315" s="2"/>
      <c r="F315" s="38"/>
      <c r="G315" s="42"/>
      <c r="H315" s="41"/>
      <c r="I315" s="40"/>
      <c r="J315" s="41"/>
      <c r="K315" s="41"/>
      <c r="L315" s="2"/>
      <c r="M315" s="2"/>
      <c r="N315" s="2"/>
    </row>
    <row r="316" ht="18.0" customHeight="1">
      <c r="A316" s="2"/>
      <c r="B316" s="2"/>
      <c r="C316" s="2"/>
      <c r="D316" s="2"/>
      <c r="E316" s="2"/>
      <c r="F316" s="38"/>
      <c r="G316" s="42"/>
      <c r="H316" s="41"/>
      <c r="I316" s="40"/>
      <c r="J316" s="41"/>
      <c r="K316" s="41"/>
      <c r="L316" s="2"/>
      <c r="M316" s="2"/>
      <c r="N316" s="2"/>
    </row>
    <row r="317" ht="18.0" customHeight="1">
      <c r="A317" s="2"/>
      <c r="B317" s="2"/>
      <c r="C317" s="2"/>
      <c r="D317" s="2"/>
      <c r="E317" s="2"/>
      <c r="F317" s="38"/>
      <c r="G317" s="42"/>
      <c r="H317" s="41"/>
      <c r="I317" s="40"/>
      <c r="J317" s="41"/>
      <c r="K317" s="41"/>
      <c r="L317" s="2"/>
      <c r="M317" s="2"/>
      <c r="N317" s="2"/>
    </row>
    <row r="318" ht="18.0" customHeight="1">
      <c r="A318" s="2"/>
      <c r="B318" s="2"/>
      <c r="C318" s="2"/>
      <c r="D318" s="2"/>
      <c r="E318" s="2"/>
      <c r="F318" s="38"/>
      <c r="G318" s="42"/>
      <c r="H318" s="41"/>
      <c r="I318" s="40"/>
      <c r="J318" s="41"/>
      <c r="K318" s="41"/>
      <c r="L318" s="2"/>
      <c r="M318" s="2"/>
      <c r="N318" s="2"/>
    </row>
    <row r="319" ht="18.0" customHeight="1">
      <c r="A319" s="2"/>
      <c r="B319" s="2"/>
      <c r="C319" s="2"/>
      <c r="D319" s="2"/>
      <c r="E319" s="2"/>
      <c r="F319" s="38"/>
      <c r="G319" s="42"/>
      <c r="H319" s="41"/>
      <c r="I319" s="40"/>
      <c r="J319" s="41"/>
      <c r="K319" s="41"/>
      <c r="L319" s="2"/>
      <c r="M319" s="2"/>
      <c r="N319" s="2"/>
    </row>
    <row r="320" ht="18.0" customHeight="1">
      <c r="A320" s="2"/>
      <c r="B320" s="2"/>
      <c r="C320" s="2"/>
      <c r="D320" s="2"/>
      <c r="E320" s="2"/>
      <c r="F320" s="38"/>
      <c r="G320" s="42"/>
      <c r="H320" s="41"/>
      <c r="I320" s="40"/>
      <c r="J320" s="41"/>
      <c r="K320" s="41"/>
      <c r="L320" s="2"/>
      <c r="M320" s="2"/>
      <c r="N320" s="2"/>
    </row>
    <row r="321" ht="18.0" customHeight="1">
      <c r="A321" s="2"/>
      <c r="B321" s="2"/>
      <c r="C321" s="2"/>
      <c r="D321" s="2"/>
      <c r="E321" s="2"/>
      <c r="F321" s="38"/>
      <c r="G321" s="42"/>
      <c r="H321" s="41"/>
      <c r="I321" s="40"/>
      <c r="J321" s="41"/>
      <c r="K321" s="41"/>
      <c r="L321" s="2"/>
      <c r="M321" s="2"/>
      <c r="N321" s="2"/>
    </row>
    <row r="322" ht="18.0" customHeight="1">
      <c r="A322" s="2"/>
      <c r="B322" s="2"/>
      <c r="C322" s="2"/>
      <c r="D322" s="2"/>
      <c r="E322" s="2"/>
      <c r="F322" s="38"/>
      <c r="G322" s="42"/>
      <c r="H322" s="41"/>
      <c r="I322" s="40"/>
      <c r="J322" s="41"/>
      <c r="K322" s="41"/>
      <c r="L322" s="2"/>
      <c r="M322" s="2"/>
      <c r="N322" s="2"/>
    </row>
    <row r="323" ht="18.0" customHeight="1">
      <c r="A323" s="2"/>
      <c r="B323" s="2"/>
      <c r="C323" s="2"/>
      <c r="D323" s="2"/>
      <c r="E323" s="2"/>
      <c r="F323" s="38"/>
      <c r="G323" s="42"/>
      <c r="H323" s="41"/>
      <c r="I323" s="40"/>
      <c r="J323" s="41"/>
      <c r="K323" s="41"/>
      <c r="L323" s="2"/>
      <c r="M323" s="2"/>
      <c r="N323" s="2"/>
    </row>
    <row r="324" ht="18.0" customHeight="1">
      <c r="A324" s="2"/>
      <c r="B324" s="2"/>
      <c r="C324" s="2"/>
      <c r="D324" s="2"/>
      <c r="E324" s="2"/>
      <c r="F324" s="38"/>
      <c r="G324" s="42"/>
      <c r="H324" s="41"/>
      <c r="I324" s="40"/>
      <c r="J324" s="41"/>
      <c r="K324" s="41"/>
      <c r="L324" s="2"/>
      <c r="M324" s="2"/>
      <c r="N324" s="2"/>
    </row>
    <row r="325" ht="18.0" customHeight="1">
      <c r="A325" s="2"/>
      <c r="B325" s="2"/>
      <c r="C325" s="2"/>
      <c r="D325" s="2"/>
      <c r="E325" s="2"/>
      <c r="F325" s="38"/>
      <c r="G325" s="42"/>
      <c r="H325" s="41"/>
      <c r="I325" s="40"/>
      <c r="J325" s="41"/>
      <c r="K325" s="41"/>
      <c r="L325" s="2"/>
      <c r="M325" s="2"/>
      <c r="N325" s="2"/>
    </row>
    <row r="326" ht="18.0" customHeight="1">
      <c r="A326" s="2"/>
      <c r="B326" s="2"/>
      <c r="C326" s="2"/>
      <c r="D326" s="2"/>
      <c r="E326" s="2"/>
      <c r="F326" s="38"/>
      <c r="G326" s="42"/>
      <c r="H326" s="41"/>
      <c r="I326" s="40"/>
      <c r="J326" s="41"/>
      <c r="K326" s="41"/>
      <c r="L326" s="2"/>
      <c r="M326" s="2"/>
      <c r="N326" s="2"/>
    </row>
    <row r="327" ht="18.0" customHeight="1">
      <c r="A327" s="2"/>
      <c r="B327" s="2"/>
      <c r="C327" s="2"/>
      <c r="D327" s="2"/>
      <c r="E327" s="2"/>
      <c r="F327" s="38"/>
      <c r="G327" s="42"/>
      <c r="H327" s="41"/>
      <c r="I327" s="40"/>
      <c r="J327" s="41"/>
      <c r="K327" s="41"/>
      <c r="L327" s="2"/>
      <c r="M327" s="2"/>
      <c r="N327" s="2"/>
    </row>
    <row r="328" ht="18.0" customHeight="1">
      <c r="A328" s="2"/>
      <c r="B328" s="2"/>
      <c r="C328" s="2"/>
      <c r="D328" s="2"/>
      <c r="E328" s="2"/>
      <c r="F328" s="38"/>
      <c r="G328" s="42"/>
      <c r="H328" s="41"/>
      <c r="I328" s="40"/>
      <c r="J328" s="41"/>
      <c r="K328" s="41"/>
      <c r="L328" s="2"/>
      <c r="M328" s="2"/>
      <c r="N328" s="2"/>
    </row>
    <row r="329" ht="18.0" customHeight="1">
      <c r="A329" s="2"/>
      <c r="B329" s="2"/>
      <c r="C329" s="2"/>
      <c r="D329" s="2"/>
      <c r="E329" s="2"/>
      <c r="F329" s="38"/>
      <c r="G329" s="42"/>
      <c r="H329" s="41"/>
      <c r="I329" s="40"/>
      <c r="J329" s="41"/>
      <c r="K329" s="41"/>
      <c r="L329" s="2"/>
      <c r="M329" s="2"/>
      <c r="N329" s="2"/>
    </row>
    <row r="330" ht="18.0" customHeight="1">
      <c r="A330" s="2"/>
      <c r="B330" s="2"/>
      <c r="C330" s="2"/>
      <c r="D330" s="2"/>
      <c r="E330" s="2"/>
      <c r="F330" s="38"/>
      <c r="G330" s="42"/>
      <c r="H330" s="41"/>
      <c r="I330" s="40"/>
      <c r="J330" s="41"/>
      <c r="K330" s="41"/>
      <c r="L330" s="2"/>
      <c r="M330" s="2"/>
      <c r="N330" s="2"/>
    </row>
    <row r="331" ht="18.0" customHeight="1">
      <c r="A331" s="2"/>
      <c r="B331" s="2"/>
      <c r="C331" s="2"/>
      <c r="D331" s="2"/>
      <c r="E331" s="2"/>
      <c r="F331" s="38"/>
      <c r="G331" s="42"/>
      <c r="H331" s="41"/>
      <c r="I331" s="40"/>
      <c r="J331" s="41"/>
      <c r="K331" s="41"/>
      <c r="L331" s="2"/>
      <c r="M331" s="2"/>
      <c r="N331" s="2"/>
    </row>
    <row r="332" ht="18.0" customHeight="1">
      <c r="A332" s="2"/>
      <c r="B332" s="2"/>
      <c r="C332" s="2"/>
      <c r="D332" s="2"/>
      <c r="E332" s="2"/>
      <c r="F332" s="38"/>
      <c r="G332" s="42"/>
      <c r="H332" s="41"/>
      <c r="I332" s="40"/>
      <c r="J332" s="41"/>
      <c r="K332" s="41"/>
      <c r="L332" s="2"/>
      <c r="M332" s="2"/>
      <c r="N332" s="2"/>
    </row>
    <row r="333" ht="18.0" customHeight="1">
      <c r="A333" s="2"/>
      <c r="B333" s="2"/>
      <c r="C333" s="2"/>
      <c r="D333" s="2"/>
      <c r="E333" s="2"/>
      <c r="F333" s="38"/>
      <c r="G333" s="42"/>
      <c r="H333" s="41"/>
      <c r="I333" s="40"/>
      <c r="J333" s="41"/>
      <c r="K333" s="41"/>
      <c r="L333" s="2"/>
      <c r="M333" s="2"/>
      <c r="N333" s="2"/>
    </row>
    <row r="334" ht="18.0" customHeight="1">
      <c r="A334" s="2"/>
      <c r="B334" s="2"/>
      <c r="C334" s="2"/>
      <c r="D334" s="2"/>
      <c r="E334" s="2"/>
      <c r="F334" s="38"/>
      <c r="G334" s="42"/>
      <c r="H334" s="41"/>
      <c r="I334" s="40"/>
      <c r="J334" s="41"/>
      <c r="K334" s="41"/>
      <c r="L334" s="2"/>
      <c r="M334" s="2"/>
      <c r="N334" s="2"/>
    </row>
    <row r="335" ht="18.0" customHeight="1">
      <c r="A335" s="2"/>
      <c r="B335" s="2"/>
      <c r="C335" s="2"/>
      <c r="D335" s="2"/>
      <c r="E335" s="2"/>
      <c r="F335" s="38"/>
      <c r="G335" s="42"/>
      <c r="H335" s="41"/>
      <c r="I335" s="40"/>
      <c r="J335" s="41"/>
      <c r="K335" s="41"/>
      <c r="L335" s="2"/>
      <c r="M335" s="2"/>
      <c r="N335" s="2"/>
    </row>
    <row r="336" ht="18.0" customHeight="1">
      <c r="A336" s="2"/>
      <c r="B336" s="2"/>
      <c r="C336" s="2"/>
      <c r="D336" s="2"/>
      <c r="E336" s="2"/>
      <c r="F336" s="38"/>
      <c r="G336" s="42"/>
      <c r="H336" s="41"/>
      <c r="I336" s="40"/>
      <c r="J336" s="41"/>
      <c r="K336" s="41"/>
      <c r="L336" s="2"/>
      <c r="M336" s="2"/>
      <c r="N336" s="2"/>
    </row>
    <row r="337" ht="18.0" customHeight="1">
      <c r="A337" s="2"/>
      <c r="B337" s="2"/>
      <c r="C337" s="2"/>
      <c r="D337" s="2"/>
      <c r="E337" s="2"/>
      <c r="F337" s="38"/>
      <c r="G337" s="42"/>
      <c r="H337" s="41"/>
      <c r="I337" s="40"/>
      <c r="J337" s="41"/>
      <c r="K337" s="41"/>
      <c r="L337" s="2"/>
      <c r="M337" s="2"/>
      <c r="N337" s="2"/>
    </row>
    <row r="338" ht="18.0" customHeight="1">
      <c r="A338" s="2"/>
      <c r="B338" s="2"/>
      <c r="C338" s="2"/>
      <c r="D338" s="2"/>
      <c r="E338" s="2"/>
      <c r="F338" s="38"/>
      <c r="G338" s="42"/>
      <c r="H338" s="41"/>
      <c r="I338" s="40"/>
      <c r="J338" s="41"/>
      <c r="K338" s="41"/>
      <c r="L338" s="2"/>
      <c r="M338" s="2"/>
      <c r="N338" s="2"/>
    </row>
    <row r="339" ht="18.0" customHeight="1">
      <c r="A339" s="2"/>
      <c r="B339" s="2"/>
      <c r="C339" s="2"/>
      <c r="D339" s="2"/>
      <c r="E339" s="2"/>
      <c r="F339" s="38"/>
      <c r="G339" s="42"/>
      <c r="H339" s="41"/>
      <c r="I339" s="40"/>
      <c r="J339" s="41"/>
      <c r="K339" s="41"/>
      <c r="L339" s="2"/>
      <c r="M339" s="2"/>
      <c r="N339" s="2"/>
    </row>
    <row r="340" ht="18.0" customHeight="1">
      <c r="A340" s="2"/>
      <c r="B340" s="2"/>
      <c r="C340" s="2"/>
      <c r="D340" s="2"/>
      <c r="E340" s="2"/>
      <c r="F340" s="38"/>
      <c r="G340" s="42"/>
      <c r="H340" s="41"/>
      <c r="I340" s="40"/>
      <c r="J340" s="41"/>
      <c r="K340" s="41"/>
      <c r="L340" s="2"/>
      <c r="M340" s="2"/>
      <c r="N340" s="2"/>
    </row>
    <row r="341" ht="18.0" customHeight="1">
      <c r="A341" s="2"/>
      <c r="B341" s="2"/>
      <c r="C341" s="2"/>
      <c r="D341" s="2"/>
      <c r="E341" s="2"/>
      <c r="F341" s="38"/>
      <c r="G341" s="42"/>
      <c r="H341" s="41"/>
      <c r="I341" s="40"/>
      <c r="J341" s="41"/>
      <c r="K341" s="41"/>
      <c r="L341" s="2"/>
      <c r="M341" s="2"/>
      <c r="N341" s="2"/>
    </row>
    <row r="342" ht="18.0" customHeight="1">
      <c r="A342" s="2"/>
      <c r="B342" s="2"/>
      <c r="C342" s="2"/>
      <c r="D342" s="2"/>
      <c r="E342" s="2"/>
      <c r="F342" s="38"/>
      <c r="G342" s="42"/>
      <c r="H342" s="41"/>
      <c r="I342" s="40"/>
      <c r="J342" s="41"/>
      <c r="K342" s="41"/>
      <c r="L342" s="2"/>
      <c r="M342" s="2"/>
      <c r="N342" s="2"/>
    </row>
    <row r="343" ht="18.0" customHeight="1">
      <c r="A343" s="2"/>
      <c r="B343" s="2"/>
      <c r="C343" s="2"/>
      <c r="D343" s="2"/>
      <c r="E343" s="2"/>
      <c r="F343" s="38"/>
      <c r="G343" s="42"/>
      <c r="H343" s="41"/>
      <c r="I343" s="40"/>
      <c r="J343" s="41"/>
      <c r="K343" s="41"/>
      <c r="L343" s="2"/>
      <c r="M343" s="2"/>
      <c r="N343" s="2"/>
    </row>
    <row r="344" ht="18.0" customHeight="1">
      <c r="A344" s="2"/>
      <c r="B344" s="2"/>
      <c r="C344" s="2"/>
      <c r="D344" s="2"/>
      <c r="E344" s="2"/>
      <c r="F344" s="38"/>
      <c r="G344" s="42"/>
      <c r="H344" s="41"/>
      <c r="I344" s="40"/>
      <c r="J344" s="41"/>
      <c r="K344" s="41"/>
      <c r="L344" s="2"/>
      <c r="M344" s="2"/>
      <c r="N344" s="2"/>
    </row>
    <row r="345" ht="18.0" customHeight="1">
      <c r="A345" s="2"/>
      <c r="B345" s="2"/>
      <c r="C345" s="2"/>
      <c r="D345" s="2"/>
      <c r="E345" s="2"/>
      <c r="F345" s="38"/>
      <c r="G345" s="42"/>
      <c r="H345" s="41"/>
      <c r="I345" s="40"/>
      <c r="J345" s="41"/>
      <c r="K345" s="41"/>
      <c r="L345" s="2"/>
      <c r="M345" s="2"/>
      <c r="N345" s="2"/>
    </row>
    <row r="346" ht="18.0" customHeight="1">
      <c r="A346" s="2"/>
      <c r="B346" s="2"/>
      <c r="C346" s="2"/>
      <c r="D346" s="2"/>
      <c r="E346" s="2"/>
      <c r="F346" s="38"/>
      <c r="G346" s="42"/>
      <c r="H346" s="41"/>
      <c r="I346" s="40"/>
      <c r="J346" s="41"/>
      <c r="K346" s="41"/>
      <c r="L346" s="2"/>
      <c r="M346" s="2"/>
      <c r="N346" s="2"/>
    </row>
    <row r="347" ht="18.0" customHeight="1">
      <c r="A347" s="2"/>
      <c r="B347" s="2"/>
      <c r="C347" s="2"/>
      <c r="D347" s="2"/>
      <c r="E347" s="2"/>
      <c r="F347" s="38"/>
      <c r="G347" s="42"/>
      <c r="H347" s="41"/>
      <c r="I347" s="40"/>
      <c r="J347" s="41"/>
      <c r="K347" s="41"/>
      <c r="L347" s="2"/>
      <c r="M347" s="2"/>
      <c r="N347" s="2"/>
    </row>
    <row r="348" ht="18.0" customHeight="1">
      <c r="A348" s="2"/>
      <c r="B348" s="2"/>
      <c r="C348" s="2"/>
      <c r="D348" s="2"/>
      <c r="E348" s="2"/>
      <c r="F348" s="38"/>
      <c r="G348" s="42"/>
      <c r="H348" s="41"/>
      <c r="I348" s="40"/>
      <c r="J348" s="41"/>
      <c r="K348" s="41"/>
      <c r="L348" s="2"/>
      <c r="M348" s="2"/>
      <c r="N348" s="2"/>
    </row>
    <row r="349" ht="18.0" customHeight="1">
      <c r="A349" s="2"/>
      <c r="B349" s="2"/>
      <c r="C349" s="2"/>
      <c r="D349" s="2"/>
      <c r="E349" s="2"/>
      <c r="F349" s="38"/>
      <c r="G349" s="42"/>
      <c r="H349" s="41"/>
      <c r="I349" s="40"/>
      <c r="J349" s="41"/>
      <c r="K349" s="41"/>
      <c r="L349" s="2"/>
      <c r="M349" s="2"/>
      <c r="N349" s="2"/>
    </row>
    <row r="350" ht="18.0" customHeight="1">
      <c r="A350" s="2"/>
      <c r="B350" s="2"/>
      <c r="C350" s="2"/>
      <c r="D350" s="2"/>
      <c r="E350" s="2"/>
      <c r="F350" s="38"/>
      <c r="G350" s="42"/>
      <c r="H350" s="41"/>
      <c r="I350" s="40"/>
      <c r="J350" s="41"/>
      <c r="K350" s="41"/>
      <c r="L350" s="2"/>
      <c r="M350" s="2"/>
      <c r="N350" s="2"/>
    </row>
    <row r="351" ht="18.0" customHeight="1">
      <c r="A351" s="2"/>
      <c r="B351" s="2"/>
      <c r="C351" s="2"/>
      <c r="D351" s="2"/>
      <c r="E351" s="2"/>
      <c r="F351" s="38"/>
      <c r="G351" s="42"/>
      <c r="H351" s="41"/>
      <c r="I351" s="40"/>
      <c r="J351" s="41"/>
      <c r="K351" s="41"/>
      <c r="L351" s="2"/>
      <c r="M351" s="2"/>
      <c r="N351" s="2"/>
    </row>
    <row r="352" ht="18.0" customHeight="1">
      <c r="A352" s="2"/>
      <c r="B352" s="2"/>
      <c r="C352" s="2"/>
      <c r="D352" s="2"/>
      <c r="E352" s="2"/>
      <c r="F352" s="38"/>
      <c r="G352" s="42"/>
      <c r="H352" s="41"/>
      <c r="I352" s="40"/>
      <c r="J352" s="41"/>
      <c r="K352" s="41"/>
      <c r="L352" s="2"/>
      <c r="M352" s="2"/>
      <c r="N352" s="2"/>
    </row>
    <row r="353" ht="18.0" customHeight="1">
      <c r="A353" s="2"/>
      <c r="B353" s="2"/>
      <c r="C353" s="2"/>
      <c r="D353" s="2"/>
      <c r="E353" s="2"/>
      <c r="F353" s="38"/>
      <c r="G353" s="42"/>
      <c r="H353" s="41"/>
      <c r="I353" s="40"/>
      <c r="J353" s="41"/>
      <c r="K353" s="41"/>
      <c r="L353" s="2"/>
      <c r="M353" s="2"/>
      <c r="N353" s="2"/>
    </row>
    <row r="354" ht="18.0" customHeight="1">
      <c r="A354" s="2"/>
      <c r="B354" s="2"/>
      <c r="C354" s="2"/>
      <c r="D354" s="2"/>
      <c r="E354" s="2"/>
      <c r="F354" s="38"/>
      <c r="G354" s="42"/>
      <c r="H354" s="41"/>
      <c r="I354" s="40"/>
      <c r="J354" s="41"/>
      <c r="K354" s="41"/>
      <c r="L354" s="2"/>
      <c r="M354" s="2"/>
      <c r="N354" s="2"/>
    </row>
    <row r="355" ht="18.0" customHeight="1">
      <c r="A355" s="2"/>
      <c r="B355" s="2"/>
      <c r="C355" s="2"/>
      <c r="D355" s="2"/>
      <c r="E355" s="2"/>
      <c r="F355" s="38"/>
      <c r="G355" s="42"/>
      <c r="H355" s="41"/>
      <c r="I355" s="40"/>
      <c r="J355" s="41"/>
      <c r="K355" s="41"/>
      <c r="L355" s="2"/>
      <c r="M355" s="2"/>
      <c r="N355" s="2"/>
    </row>
    <row r="356" ht="18.0" customHeight="1">
      <c r="A356" s="2"/>
      <c r="B356" s="2"/>
      <c r="C356" s="2"/>
      <c r="D356" s="2"/>
      <c r="E356" s="2"/>
      <c r="F356" s="38"/>
      <c r="G356" s="42"/>
      <c r="H356" s="41"/>
      <c r="I356" s="40"/>
      <c r="J356" s="41"/>
      <c r="K356" s="41"/>
      <c r="L356" s="2"/>
      <c r="M356" s="2"/>
      <c r="N356" s="2"/>
    </row>
    <row r="357" ht="18.0" customHeight="1">
      <c r="A357" s="2"/>
      <c r="B357" s="2"/>
      <c r="C357" s="2"/>
      <c r="D357" s="2"/>
      <c r="E357" s="2"/>
      <c r="F357" s="38"/>
      <c r="G357" s="42"/>
      <c r="H357" s="41"/>
      <c r="I357" s="40"/>
      <c r="J357" s="41"/>
      <c r="K357" s="41"/>
      <c r="L357" s="2"/>
      <c r="M357" s="2"/>
      <c r="N357" s="2"/>
    </row>
    <row r="358" ht="18.0" customHeight="1">
      <c r="A358" s="2"/>
      <c r="B358" s="2"/>
      <c r="C358" s="2"/>
      <c r="D358" s="2"/>
      <c r="E358" s="2"/>
      <c r="F358" s="38"/>
      <c r="G358" s="42"/>
      <c r="H358" s="41"/>
      <c r="I358" s="40"/>
      <c r="J358" s="41"/>
      <c r="K358" s="41"/>
      <c r="L358" s="2"/>
      <c r="M358" s="2"/>
      <c r="N358" s="2"/>
    </row>
    <row r="359" ht="18.0" customHeight="1">
      <c r="A359" s="2"/>
      <c r="B359" s="2"/>
      <c r="C359" s="2"/>
      <c r="D359" s="2"/>
      <c r="E359" s="2"/>
      <c r="F359" s="38"/>
      <c r="G359" s="42"/>
      <c r="H359" s="41"/>
      <c r="I359" s="40"/>
      <c r="J359" s="41"/>
      <c r="K359" s="41"/>
      <c r="L359" s="2"/>
      <c r="M359" s="2"/>
      <c r="N359" s="2"/>
    </row>
    <row r="360" ht="18.0" customHeight="1">
      <c r="A360" s="2"/>
      <c r="B360" s="2"/>
      <c r="C360" s="2"/>
      <c r="D360" s="2"/>
      <c r="E360" s="2"/>
      <c r="F360" s="38"/>
      <c r="G360" s="42"/>
      <c r="H360" s="41"/>
      <c r="I360" s="40"/>
      <c r="J360" s="41"/>
      <c r="K360" s="41"/>
      <c r="L360" s="2"/>
      <c r="M360" s="2"/>
      <c r="N360" s="2"/>
    </row>
    <row r="361" ht="18.0" customHeight="1">
      <c r="A361" s="2"/>
      <c r="B361" s="2"/>
      <c r="C361" s="2"/>
      <c r="D361" s="2"/>
      <c r="E361" s="2"/>
      <c r="F361" s="38"/>
      <c r="G361" s="42"/>
      <c r="H361" s="41"/>
      <c r="I361" s="40"/>
      <c r="J361" s="41"/>
      <c r="K361" s="41"/>
      <c r="L361" s="2"/>
      <c r="M361" s="2"/>
      <c r="N361" s="2"/>
    </row>
    <row r="362" ht="18.0" customHeight="1">
      <c r="A362" s="2"/>
      <c r="B362" s="2"/>
      <c r="C362" s="2"/>
      <c r="D362" s="2"/>
      <c r="E362" s="2"/>
      <c r="F362" s="38"/>
      <c r="G362" s="42"/>
      <c r="H362" s="41"/>
      <c r="I362" s="40"/>
      <c r="J362" s="41"/>
      <c r="K362" s="41"/>
      <c r="L362" s="2"/>
      <c r="M362" s="2"/>
      <c r="N362" s="2"/>
    </row>
    <row r="363" ht="18.0" customHeight="1">
      <c r="A363" s="2"/>
      <c r="B363" s="2"/>
      <c r="C363" s="2"/>
      <c r="D363" s="2"/>
      <c r="E363" s="2"/>
      <c r="F363" s="38"/>
      <c r="G363" s="42"/>
      <c r="H363" s="41"/>
      <c r="I363" s="40"/>
      <c r="J363" s="41"/>
      <c r="K363" s="41"/>
      <c r="L363" s="2"/>
      <c r="M363" s="2"/>
      <c r="N363" s="2"/>
    </row>
    <row r="364" ht="18.0" customHeight="1">
      <c r="A364" s="2"/>
      <c r="B364" s="2"/>
      <c r="C364" s="2"/>
      <c r="D364" s="2"/>
      <c r="E364" s="2"/>
      <c r="F364" s="38"/>
      <c r="G364" s="42"/>
      <c r="H364" s="41"/>
      <c r="I364" s="40"/>
      <c r="J364" s="41"/>
      <c r="K364" s="41"/>
      <c r="L364" s="2"/>
      <c r="M364" s="2"/>
      <c r="N364" s="2"/>
    </row>
    <row r="365" ht="18.0" customHeight="1">
      <c r="A365" s="2"/>
      <c r="B365" s="2"/>
      <c r="C365" s="2"/>
      <c r="D365" s="2"/>
      <c r="E365" s="2"/>
      <c r="F365" s="38"/>
      <c r="G365" s="42"/>
      <c r="H365" s="41"/>
      <c r="I365" s="40"/>
      <c r="J365" s="41"/>
      <c r="K365" s="41"/>
      <c r="L365" s="2"/>
      <c r="M365" s="2"/>
      <c r="N365" s="2"/>
    </row>
    <row r="366" ht="18.0" customHeight="1">
      <c r="A366" s="2"/>
      <c r="B366" s="2"/>
      <c r="C366" s="2"/>
      <c r="D366" s="2"/>
      <c r="E366" s="2"/>
      <c r="F366" s="38"/>
      <c r="G366" s="42"/>
      <c r="H366" s="41"/>
      <c r="I366" s="40"/>
      <c r="J366" s="41"/>
      <c r="K366" s="41"/>
      <c r="L366" s="2"/>
      <c r="M366" s="2"/>
      <c r="N366" s="2"/>
    </row>
    <row r="367" ht="18.0" customHeight="1">
      <c r="A367" s="2"/>
      <c r="B367" s="2"/>
      <c r="C367" s="2"/>
      <c r="D367" s="2"/>
      <c r="E367" s="2"/>
      <c r="F367" s="38"/>
      <c r="G367" s="42"/>
      <c r="H367" s="41"/>
      <c r="I367" s="40"/>
      <c r="J367" s="41"/>
      <c r="K367" s="41"/>
      <c r="L367" s="2"/>
      <c r="M367" s="2"/>
      <c r="N367" s="2"/>
    </row>
    <row r="368" ht="18.0" customHeight="1">
      <c r="A368" s="2"/>
      <c r="B368" s="2"/>
      <c r="C368" s="2"/>
      <c r="D368" s="2"/>
      <c r="E368" s="2"/>
      <c r="F368" s="38"/>
      <c r="G368" s="42"/>
      <c r="H368" s="41"/>
      <c r="I368" s="40"/>
      <c r="J368" s="41"/>
      <c r="K368" s="41"/>
      <c r="L368" s="2"/>
      <c r="M368" s="2"/>
      <c r="N368" s="2"/>
    </row>
    <row r="369" ht="18.0" customHeight="1">
      <c r="A369" s="2"/>
      <c r="B369" s="2"/>
      <c r="C369" s="2"/>
      <c r="D369" s="2"/>
      <c r="E369" s="2"/>
      <c r="F369" s="38"/>
      <c r="G369" s="42"/>
      <c r="H369" s="41"/>
      <c r="I369" s="40"/>
      <c r="J369" s="41"/>
      <c r="K369" s="41"/>
      <c r="L369" s="2"/>
      <c r="M369" s="2"/>
      <c r="N369" s="2"/>
    </row>
    <row r="370" ht="18.0" customHeight="1">
      <c r="A370" s="2"/>
      <c r="B370" s="2"/>
      <c r="C370" s="2"/>
      <c r="D370" s="2"/>
      <c r="E370" s="2"/>
      <c r="F370" s="38"/>
      <c r="G370" s="42"/>
      <c r="H370" s="41"/>
      <c r="I370" s="40"/>
      <c r="J370" s="41"/>
      <c r="K370" s="41"/>
      <c r="L370" s="2"/>
      <c r="M370" s="2"/>
      <c r="N370" s="2"/>
    </row>
    <row r="371" ht="18.0" customHeight="1">
      <c r="A371" s="2"/>
      <c r="B371" s="2"/>
      <c r="C371" s="2"/>
      <c r="D371" s="2"/>
      <c r="E371" s="2"/>
      <c r="F371" s="38"/>
      <c r="G371" s="42"/>
      <c r="H371" s="41"/>
      <c r="I371" s="40"/>
      <c r="J371" s="41"/>
      <c r="K371" s="41"/>
      <c r="L371" s="2"/>
      <c r="M371" s="2"/>
      <c r="N371" s="2"/>
    </row>
    <row r="372" ht="18.0" customHeight="1">
      <c r="A372" s="2"/>
      <c r="B372" s="2"/>
      <c r="C372" s="2"/>
      <c r="D372" s="2"/>
      <c r="E372" s="2"/>
      <c r="F372" s="38"/>
      <c r="G372" s="42"/>
      <c r="H372" s="41"/>
      <c r="I372" s="40"/>
      <c r="J372" s="41"/>
      <c r="K372" s="41"/>
      <c r="L372" s="2"/>
      <c r="M372" s="2"/>
      <c r="N372" s="2"/>
    </row>
    <row r="373" ht="18.0" customHeight="1">
      <c r="A373" s="2"/>
      <c r="B373" s="2"/>
      <c r="C373" s="2"/>
      <c r="D373" s="2"/>
      <c r="E373" s="2"/>
      <c r="F373" s="38"/>
      <c r="G373" s="42"/>
      <c r="H373" s="41"/>
      <c r="I373" s="40"/>
      <c r="J373" s="41"/>
      <c r="K373" s="41"/>
      <c r="L373" s="2"/>
      <c r="M373" s="2"/>
      <c r="N373" s="2"/>
    </row>
    <row r="374" ht="18.0" customHeight="1">
      <c r="A374" s="2"/>
      <c r="B374" s="2"/>
      <c r="C374" s="2"/>
      <c r="D374" s="2"/>
      <c r="E374" s="2"/>
      <c r="F374" s="38"/>
      <c r="G374" s="42"/>
      <c r="H374" s="41"/>
      <c r="I374" s="40"/>
      <c r="J374" s="41"/>
      <c r="K374" s="41"/>
      <c r="L374" s="2"/>
      <c r="M374" s="2"/>
      <c r="N374" s="2"/>
    </row>
    <row r="375" ht="18.0" customHeight="1">
      <c r="A375" s="2"/>
      <c r="B375" s="2"/>
      <c r="C375" s="2"/>
      <c r="D375" s="2"/>
      <c r="E375" s="2"/>
      <c r="F375" s="38"/>
      <c r="G375" s="42"/>
      <c r="H375" s="41"/>
      <c r="I375" s="40"/>
      <c r="J375" s="41"/>
      <c r="K375" s="41"/>
      <c r="L375" s="2"/>
      <c r="M375" s="2"/>
      <c r="N375" s="2"/>
    </row>
    <row r="376" ht="18.0" customHeight="1">
      <c r="A376" s="2"/>
      <c r="B376" s="2"/>
      <c r="C376" s="2"/>
      <c r="D376" s="2"/>
      <c r="E376" s="2"/>
      <c r="F376" s="38"/>
      <c r="G376" s="42"/>
      <c r="H376" s="41"/>
      <c r="I376" s="40"/>
      <c r="J376" s="41"/>
      <c r="K376" s="41"/>
      <c r="L376" s="2"/>
      <c r="M376" s="2"/>
      <c r="N376" s="2"/>
    </row>
    <row r="377" ht="18.0" customHeight="1">
      <c r="A377" s="2"/>
      <c r="B377" s="2"/>
      <c r="C377" s="2"/>
      <c r="D377" s="2"/>
      <c r="E377" s="2"/>
      <c r="F377" s="38"/>
      <c r="G377" s="42"/>
      <c r="H377" s="41"/>
      <c r="I377" s="40"/>
      <c r="J377" s="41"/>
      <c r="K377" s="41"/>
      <c r="L377" s="2"/>
      <c r="M377" s="2"/>
      <c r="N377" s="2"/>
    </row>
    <row r="378" ht="18.0" customHeight="1">
      <c r="A378" s="2"/>
      <c r="B378" s="2"/>
      <c r="C378" s="2"/>
      <c r="D378" s="2"/>
      <c r="E378" s="2"/>
      <c r="F378" s="38"/>
      <c r="G378" s="42"/>
      <c r="H378" s="41"/>
      <c r="I378" s="40"/>
      <c r="J378" s="41"/>
      <c r="K378" s="41"/>
      <c r="L378" s="2"/>
      <c r="M378" s="2"/>
      <c r="N378" s="2"/>
    </row>
    <row r="379" ht="18.0" customHeight="1">
      <c r="A379" s="2"/>
      <c r="B379" s="2"/>
      <c r="C379" s="2"/>
      <c r="D379" s="2"/>
      <c r="E379" s="2"/>
      <c r="F379" s="38"/>
      <c r="G379" s="42"/>
      <c r="H379" s="41"/>
      <c r="I379" s="40"/>
      <c r="J379" s="41"/>
      <c r="K379" s="41"/>
      <c r="L379" s="2"/>
      <c r="M379" s="2"/>
      <c r="N379" s="2"/>
    </row>
    <row r="380" ht="18.0" customHeight="1">
      <c r="A380" s="2"/>
      <c r="B380" s="2"/>
      <c r="C380" s="2"/>
      <c r="D380" s="2"/>
      <c r="E380" s="2"/>
      <c r="F380" s="38"/>
      <c r="G380" s="42"/>
      <c r="H380" s="41"/>
      <c r="I380" s="40"/>
      <c r="J380" s="41"/>
      <c r="K380" s="41"/>
      <c r="L380" s="2"/>
      <c r="M380" s="2"/>
      <c r="N380" s="2"/>
    </row>
    <row r="381" ht="18.0" customHeight="1">
      <c r="A381" s="2"/>
      <c r="B381" s="2"/>
      <c r="C381" s="2"/>
      <c r="D381" s="2"/>
      <c r="E381" s="2"/>
      <c r="F381" s="38"/>
      <c r="G381" s="42"/>
      <c r="H381" s="41"/>
      <c r="I381" s="40"/>
      <c r="J381" s="41"/>
      <c r="K381" s="41"/>
      <c r="L381" s="2"/>
      <c r="M381" s="2"/>
      <c r="N381" s="2"/>
    </row>
    <row r="382" ht="18.0" customHeight="1">
      <c r="A382" s="2"/>
      <c r="B382" s="2"/>
      <c r="C382" s="2"/>
      <c r="D382" s="2"/>
      <c r="E382" s="2"/>
      <c r="F382" s="38"/>
      <c r="G382" s="42"/>
      <c r="H382" s="41"/>
      <c r="I382" s="40"/>
      <c r="J382" s="41"/>
      <c r="K382" s="41"/>
      <c r="L382" s="2"/>
      <c r="M382" s="2"/>
      <c r="N382" s="2"/>
    </row>
    <row r="383" ht="18.0" customHeight="1">
      <c r="A383" s="2"/>
      <c r="B383" s="2"/>
      <c r="C383" s="2"/>
      <c r="D383" s="2"/>
      <c r="E383" s="2"/>
      <c r="F383" s="38"/>
      <c r="G383" s="42"/>
      <c r="H383" s="41"/>
      <c r="I383" s="40"/>
      <c r="J383" s="41"/>
      <c r="K383" s="41"/>
      <c r="L383" s="2"/>
      <c r="M383" s="2"/>
      <c r="N383" s="2"/>
    </row>
    <row r="384" ht="18.0" customHeight="1">
      <c r="A384" s="2"/>
      <c r="B384" s="2"/>
      <c r="C384" s="2"/>
      <c r="D384" s="2"/>
      <c r="E384" s="2"/>
      <c r="F384" s="38"/>
      <c r="G384" s="42"/>
      <c r="H384" s="41"/>
      <c r="I384" s="40"/>
      <c r="J384" s="41"/>
      <c r="K384" s="41"/>
      <c r="L384" s="2"/>
      <c r="M384" s="2"/>
      <c r="N384" s="2"/>
    </row>
    <row r="385" ht="18.0" customHeight="1">
      <c r="A385" s="2"/>
      <c r="B385" s="2"/>
      <c r="C385" s="2"/>
      <c r="D385" s="2"/>
      <c r="E385" s="2"/>
      <c r="F385" s="38"/>
      <c r="G385" s="42"/>
      <c r="H385" s="41"/>
      <c r="I385" s="40"/>
      <c r="J385" s="41"/>
      <c r="K385" s="41"/>
      <c r="L385" s="2"/>
      <c r="M385" s="2"/>
      <c r="N385" s="2"/>
    </row>
    <row r="386" ht="18.0" customHeight="1">
      <c r="A386" s="2"/>
      <c r="B386" s="2"/>
      <c r="C386" s="2"/>
      <c r="D386" s="2"/>
      <c r="E386" s="2"/>
      <c r="F386" s="38"/>
      <c r="G386" s="42"/>
      <c r="H386" s="41"/>
      <c r="I386" s="40"/>
      <c r="J386" s="41"/>
      <c r="K386" s="41"/>
      <c r="L386" s="2"/>
      <c r="M386" s="2"/>
      <c r="N386" s="2"/>
    </row>
    <row r="387" ht="18.0" customHeight="1">
      <c r="A387" s="2"/>
      <c r="B387" s="2"/>
      <c r="C387" s="2"/>
      <c r="D387" s="2"/>
      <c r="E387" s="2"/>
      <c r="F387" s="38"/>
      <c r="G387" s="42"/>
      <c r="H387" s="41"/>
      <c r="I387" s="40"/>
      <c r="J387" s="41"/>
      <c r="K387" s="41"/>
      <c r="L387" s="2"/>
      <c r="M387" s="2"/>
      <c r="N387" s="2"/>
    </row>
    <row r="388" ht="18.0" customHeight="1">
      <c r="A388" s="2"/>
      <c r="B388" s="2"/>
      <c r="C388" s="2"/>
      <c r="D388" s="2"/>
      <c r="E388" s="2"/>
      <c r="F388" s="38"/>
      <c r="G388" s="42"/>
      <c r="H388" s="41"/>
      <c r="I388" s="40"/>
      <c r="J388" s="41"/>
      <c r="K388" s="41"/>
      <c r="L388" s="2"/>
      <c r="M388" s="2"/>
      <c r="N388" s="2"/>
    </row>
    <row r="389" ht="18.0" customHeight="1">
      <c r="A389" s="2"/>
      <c r="B389" s="2"/>
      <c r="C389" s="2"/>
      <c r="D389" s="2"/>
      <c r="E389" s="2"/>
      <c r="F389" s="38"/>
      <c r="G389" s="42"/>
      <c r="H389" s="41"/>
      <c r="I389" s="40"/>
      <c r="J389" s="41"/>
      <c r="K389" s="41"/>
      <c r="L389" s="2"/>
      <c r="M389" s="2"/>
      <c r="N389" s="2"/>
    </row>
    <row r="390" ht="18.0" customHeight="1">
      <c r="A390" s="2"/>
      <c r="B390" s="2"/>
      <c r="C390" s="2"/>
      <c r="D390" s="2"/>
      <c r="E390" s="2"/>
      <c r="F390" s="38"/>
      <c r="G390" s="42"/>
      <c r="H390" s="41"/>
      <c r="I390" s="40"/>
      <c r="J390" s="41"/>
      <c r="K390" s="41"/>
      <c r="L390" s="2"/>
      <c r="M390" s="2"/>
      <c r="N390" s="2"/>
    </row>
    <row r="391" ht="18.0" customHeight="1">
      <c r="A391" s="2"/>
      <c r="B391" s="2"/>
      <c r="C391" s="2"/>
      <c r="D391" s="2"/>
      <c r="E391" s="2"/>
      <c r="F391" s="38"/>
      <c r="G391" s="42"/>
      <c r="H391" s="41"/>
      <c r="I391" s="40"/>
      <c r="J391" s="41"/>
      <c r="K391" s="41"/>
      <c r="L391" s="2"/>
      <c r="M391" s="2"/>
      <c r="N391" s="2"/>
    </row>
    <row r="392" ht="18.0" customHeight="1">
      <c r="A392" s="2"/>
      <c r="B392" s="2"/>
      <c r="C392" s="2"/>
      <c r="D392" s="2"/>
      <c r="E392" s="2"/>
      <c r="F392" s="38"/>
      <c r="G392" s="42"/>
      <c r="H392" s="41"/>
      <c r="I392" s="40"/>
      <c r="J392" s="41"/>
      <c r="K392" s="41"/>
      <c r="L392" s="2"/>
      <c r="M392" s="2"/>
      <c r="N392" s="2"/>
    </row>
    <row r="393" ht="18.0" customHeight="1">
      <c r="A393" s="2"/>
      <c r="B393" s="2"/>
      <c r="C393" s="2"/>
      <c r="D393" s="2"/>
      <c r="E393" s="2"/>
      <c r="F393" s="38"/>
      <c r="G393" s="42"/>
      <c r="H393" s="41"/>
      <c r="I393" s="40"/>
      <c r="J393" s="41"/>
      <c r="K393" s="41"/>
      <c r="L393" s="2"/>
      <c r="M393" s="2"/>
      <c r="N393" s="2"/>
    </row>
    <row r="394" ht="18.0" customHeight="1">
      <c r="A394" s="2"/>
      <c r="B394" s="2"/>
      <c r="C394" s="2"/>
      <c r="D394" s="2"/>
      <c r="E394" s="2"/>
      <c r="F394" s="38"/>
      <c r="G394" s="42"/>
      <c r="H394" s="41"/>
      <c r="I394" s="40"/>
      <c r="J394" s="41"/>
      <c r="K394" s="41"/>
      <c r="L394" s="2"/>
      <c r="M394" s="2"/>
      <c r="N394" s="2"/>
    </row>
    <row r="395" ht="18.0" customHeight="1">
      <c r="A395" s="2"/>
      <c r="B395" s="2"/>
      <c r="C395" s="2"/>
      <c r="D395" s="2"/>
      <c r="E395" s="2"/>
      <c r="F395" s="38"/>
      <c r="G395" s="42"/>
      <c r="H395" s="41"/>
      <c r="I395" s="40"/>
      <c r="J395" s="41"/>
      <c r="K395" s="41"/>
      <c r="L395" s="2"/>
      <c r="M395" s="2"/>
      <c r="N395" s="2"/>
    </row>
    <row r="396" ht="18.0" customHeight="1">
      <c r="A396" s="2"/>
      <c r="B396" s="2"/>
      <c r="C396" s="2"/>
      <c r="D396" s="2"/>
      <c r="E396" s="2"/>
      <c r="F396" s="38"/>
      <c r="G396" s="42"/>
      <c r="H396" s="41"/>
      <c r="I396" s="40"/>
      <c r="J396" s="41"/>
      <c r="K396" s="41"/>
      <c r="L396" s="2"/>
      <c r="M396" s="2"/>
      <c r="N396" s="2"/>
    </row>
    <row r="397" ht="18.0" customHeight="1">
      <c r="A397" s="2"/>
      <c r="B397" s="2"/>
      <c r="C397" s="2"/>
      <c r="D397" s="2"/>
      <c r="E397" s="2"/>
      <c r="F397" s="38"/>
      <c r="G397" s="42"/>
      <c r="H397" s="41"/>
      <c r="I397" s="40"/>
      <c r="J397" s="41"/>
      <c r="K397" s="41"/>
      <c r="L397" s="2"/>
      <c r="M397" s="2"/>
      <c r="N397" s="2"/>
    </row>
    <row r="398" ht="18.0" customHeight="1">
      <c r="A398" s="2"/>
      <c r="B398" s="2"/>
      <c r="C398" s="2"/>
      <c r="D398" s="2"/>
      <c r="E398" s="2"/>
      <c r="F398" s="38"/>
      <c r="G398" s="42"/>
      <c r="H398" s="41"/>
      <c r="I398" s="40"/>
      <c r="J398" s="41"/>
      <c r="K398" s="41"/>
      <c r="L398" s="2"/>
      <c r="M398" s="2"/>
      <c r="N398" s="2"/>
    </row>
    <row r="399" ht="18.0" customHeight="1">
      <c r="A399" s="2"/>
      <c r="B399" s="2"/>
      <c r="C399" s="2"/>
      <c r="D399" s="2"/>
      <c r="E399" s="2"/>
      <c r="F399" s="38"/>
      <c r="G399" s="42"/>
      <c r="H399" s="41"/>
      <c r="I399" s="40"/>
      <c r="J399" s="41"/>
      <c r="K399" s="41"/>
      <c r="L399" s="2"/>
      <c r="M399" s="2"/>
      <c r="N399" s="2"/>
    </row>
    <row r="400" ht="18.0" customHeight="1">
      <c r="A400" s="2"/>
      <c r="B400" s="2"/>
      <c r="C400" s="2"/>
      <c r="D400" s="2"/>
      <c r="E400" s="2"/>
      <c r="F400" s="38"/>
      <c r="G400" s="42"/>
      <c r="H400" s="41"/>
      <c r="I400" s="40"/>
      <c r="J400" s="41"/>
      <c r="K400" s="41"/>
      <c r="L400" s="2"/>
      <c r="M400" s="2"/>
      <c r="N400" s="2"/>
    </row>
    <row r="401">
      <c r="A401" s="2"/>
      <c r="B401" s="2"/>
      <c r="C401" s="2"/>
      <c r="D401" s="2"/>
      <c r="E401" s="2"/>
      <c r="F401" s="104"/>
      <c r="G401" s="106"/>
      <c r="H401" s="2"/>
      <c r="I401" s="105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104"/>
      <c r="G402" s="106"/>
      <c r="H402" s="2"/>
      <c r="I402" s="105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104"/>
      <c r="G403" s="106"/>
      <c r="H403" s="2"/>
      <c r="I403" s="105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104"/>
      <c r="G404" s="106"/>
      <c r="H404" s="2"/>
      <c r="I404" s="105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104"/>
      <c r="G405" s="106"/>
      <c r="H405" s="2"/>
      <c r="I405" s="105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104"/>
      <c r="G406" s="106"/>
      <c r="H406" s="2"/>
      <c r="I406" s="105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104"/>
      <c r="G407" s="106"/>
      <c r="H407" s="2"/>
      <c r="I407" s="105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104"/>
      <c r="G408" s="106"/>
      <c r="H408" s="2"/>
      <c r="I408" s="105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104"/>
      <c r="G409" s="106"/>
      <c r="H409" s="2"/>
      <c r="I409" s="105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104"/>
      <c r="G410" s="106"/>
      <c r="H410" s="2"/>
      <c r="I410" s="105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104"/>
      <c r="G411" s="106"/>
      <c r="H411" s="2"/>
      <c r="I411" s="105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104"/>
      <c r="G412" s="106"/>
      <c r="H412" s="2"/>
      <c r="I412" s="105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104"/>
      <c r="G413" s="106"/>
      <c r="H413" s="2"/>
      <c r="I413" s="105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104"/>
      <c r="G414" s="106"/>
      <c r="H414" s="2"/>
      <c r="I414" s="105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104"/>
      <c r="G415" s="106"/>
      <c r="H415" s="2"/>
      <c r="I415" s="105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104"/>
      <c r="G416" s="106"/>
      <c r="H416" s="2"/>
      <c r="I416" s="105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104"/>
      <c r="G417" s="106"/>
      <c r="H417" s="2"/>
      <c r="I417" s="105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104"/>
      <c r="G418" s="106"/>
      <c r="H418" s="2"/>
      <c r="I418" s="105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104"/>
      <c r="G419" s="106"/>
      <c r="H419" s="2"/>
      <c r="I419" s="105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104"/>
      <c r="G420" s="106"/>
      <c r="H420" s="2"/>
      <c r="I420" s="105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104"/>
      <c r="G421" s="106"/>
      <c r="H421" s="2"/>
      <c r="I421" s="105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104"/>
      <c r="G422" s="106"/>
      <c r="H422" s="2"/>
      <c r="I422" s="105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104"/>
      <c r="G423" s="106"/>
      <c r="H423" s="2"/>
      <c r="I423" s="105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104"/>
      <c r="G424" s="106"/>
      <c r="H424" s="2"/>
      <c r="I424" s="105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104"/>
      <c r="G425" s="106"/>
      <c r="H425" s="2"/>
      <c r="I425" s="105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104"/>
      <c r="G426" s="106"/>
      <c r="H426" s="2"/>
      <c r="I426" s="105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104"/>
      <c r="G427" s="106"/>
      <c r="H427" s="2"/>
      <c r="I427" s="105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104"/>
      <c r="G428" s="106"/>
      <c r="H428" s="2"/>
      <c r="I428" s="105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104"/>
      <c r="G429" s="106"/>
      <c r="H429" s="2"/>
      <c r="I429" s="105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104"/>
      <c r="G430" s="106"/>
      <c r="H430" s="2"/>
      <c r="I430" s="105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104"/>
      <c r="G431" s="106"/>
      <c r="H431" s="2"/>
      <c r="I431" s="105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104"/>
      <c r="G432" s="106"/>
      <c r="H432" s="2"/>
      <c r="I432" s="105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104"/>
      <c r="G433" s="106"/>
      <c r="H433" s="2"/>
      <c r="I433" s="105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104"/>
      <c r="G434" s="106"/>
      <c r="H434" s="2"/>
      <c r="I434" s="105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104"/>
      <c r="G435" s="106"/>
      <c r="H435" s="2"/>
      <c r="I435" s="105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104"/>
      <c r="G436" s="106"/>
      <c r="H436" s="2"/>
      <c r="I436" s="105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104"/>
      <c r="G437" s="106"/>
      <c r="H437" s="2"/>
      <c r="I437" s="105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104"/>
      <c r="G438" s="106"/>
      <c r="H438" s="2"/>
      <c r="I438" s="105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104"/>
      <c r="G439" s="106"/>
      <c r="H439" s="2"/>
      <c r="I439" s="105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104"/>
      <c r="G440" s="106"/>
      <c r="H440" s="2"/>
      <c r="I440" s="105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104"/>
      <c r="G441" s="106"/>
      <c r="H441" s="2"/>
      <c r="I441" s="105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104"/>
      <c r="G442" s="106"/>
      <c r="H442" s="2"/>
      <c r="I442" s="105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104"/>
      <c r="G443" s="106"/>
      <c r="H443" s="2"/>
      <c r="I443" s="105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104"/>
      <c r="G444" s="106"/>
      <c r="H444" s="2"/>
      <c r="I444" s="105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104"/>
      <c r="G445" s="106"/>
      <c r="H445" s="2"/>
      <c r="I445" s="105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104"/>
      <c r="G446" s="106"/>
      <c r="H446" s="2"/>
      <c r="I446" s="105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104"/>
      <c r="G447" s="106"/>
      <c r="H447" s="2"/>
      <c r="I447" s="105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104"/>
      <c r="G448" s="106"/>
      <c r="H448" s="2"/>
      <c r="I448" s="105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104"/>
      <c r="G449" s="106"/>
      <c r="H449" s="2"/>
      <c r="I449" s="105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104"/>
      <c r="G450" s="106"/>
      <c r="H450" s="2"/>
      <c r="I450" s="105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104"/>
      <c r="G451" s="106"/>
      <c r="H451" s="2"/>
      <c r="I451" s="105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104"/>
      <c r="G452" s="106"/>
      <c r="H452" s="2"/>
      <c r="I452" s="105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104"/>
      <c r="G453" s="106"/>
      <c r="H453" s="2"/>
      <c r="I453" s="105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104"/>
      <c r="G454" s="106"/>
      <c r="H454" s="2"/>
      <c r="I454" s="105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104"/>
      <c r="G455" s="106"/>
      <c r="H455" s="2"/>
      <c r="I455" s="105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104"/>
      <c r="G456" s="106"/>
      <c r="H456" s="2"/>
      <c r="I456" s="105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104"/>
      <c r="G457" s="106"/>
      <c r="H457" s="2"/>
      <c r="I457" s="105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104"/>
      <c r="G458" s="106"/>
      <c r="H458" s="2"/>
      <c r="I458" s="105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104"/>
      <c r="G459" s="106"/>
      <c r="H459" s="2"/>
      <c r="I459" s="105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104"/>
      <c r="G460" s="106"/>
      <c r="H460" s="2"/>
      <c r="I460" s="105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104"/>
      <c r="G461" s="106"/>
      <c r="H461" s="2"/>
      <c r="I461" s="105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104"/>
      <c r="G462" s="106"/>
      <c r="H462" s="2"/>
      <c r="I462" s="105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104"/>
      <c r="G463" s="106"/>
      <c r="H463" s="2"/>
      <c r="I463" s="105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104"/>
      <c r="G464" s="106"/>
      <c r="H464" s="2"/>
      <c r="I464" s="105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104"/>
      <c r="G465" s="106"/>
      <c r="H465" s="2"/>
      <c r="I465" s="105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104"/>
      <c r="G466" s="106"/>
      <c r="H466" s="2"/>
      <c r="I466" s="105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104"/>
      <c r="G467" s="106"/>
      <c r="H467" s="2"/>
      <c r="I467" s="105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104"/>
      <c r="G468" s="106"/>
      <c r="H468" s="2"/>
      <c r="I468" s="105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104"/>
      <c r="G469" s="106"/>
      <c r="H469" s="2"/>
      <c r="I469" s="105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104"/>
      <c r="G470" s="106"/>
      <c r="H470" s="2"/>
      <c r="I470" s="105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104"/>
      <c r="G471" s="106"/>
      <c r="H471" s="2"/>
      <c r="I471" s="105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104"/>
      <c r="G472" s="106"/>
      <c r="H472" s="2"/>
      <c r="I472" s="105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104"/>
      <c r="G473" s="106"/>
      <c r="H473" s="2"/>
      <c r="I473" s="105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104"/>
      <c r="G474" s="106"/>
      <c r="H474" s="2"/>
      <c r="I474" s="105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104"/>
      <c r="G475" s="106"/>
      <c r="H475" s="2"/>
      <c r="I475" s="105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104"/>
      <c r="G476" s="106"/>
      <c r="H476" s="2"/>
      <c r="I476" s="105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104"/>
      <c r="G477" s="106"/>
      <c r="H477" s="2"/>
      <c r="I477" s="105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104"/>
      <c r="G478" s="106"/>
      <c r="H478" s="2"/>
      <c r="I478" s="105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104"/>
      <c r="G479" s="106"/>
      <c r="H479" s="2"/>
      <c r="I479" s="105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104"/>
      <c r="G480" s="106"/>
      <c r="H480" s="2"/>
      <c r="I480" s="105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104"/>
      <c r="G481" s="106"/>
      <c r="H481" s="2"/>
      <c r="I481" s="105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104"/>
      <c r="G482" s="106"/>
      <c r="H482" s="2"/>
      <c r="I482" s="105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104"/>
      <c r="G483" s="106"/>
      <c r="H483" s="2"/>
      <c r="I483" s="105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104"/>
      <c r="G484" s="106"/>
      <c r="H484" s="2"/>
      <c r="I484" s="105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104"/>
      <c r="G485" s="106"/>
      <c r="H485" s="2"/>
      <c r="I485" s="105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104"/>
      <c r="G486" s="106"/>
      <c r="H486" s="2"/>
      <c r="I486" s="105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104"/>
      <c r="G487" s="106"/>
      <c r="H487" s="2"/>
      <c r="I487" s="105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104"/>
      <c r="G488" s="106"/>
      <c r="H488" s="2"/>
      <c r="I488" s="105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104"/>
      <c r="G489" s="106"/>
      <c r="H489" s="2"/>
      <c r="I489" s="105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104"/>
      <c r="G490" s="106"/>
      <c r="H490" s="2"/>
      <c r="I490" s="105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104"/>
      <c r="G491" s="106"/>
      <c r="H491" s="2"/>
      <c r="I491" s="105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104"/>
      <c r="G492" s="106"/>
      <c r="H492" s="2"/>
      <c r="I492" s="105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104"/>
      <c r="G493" s="106"/>
      <c r="H493" s="2"/>
      <c r="I493" s="105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104"/>
      <c r="G494" s="106"/>
      <c r="H494" s="2"/>
      <c r="I494" s="105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104"/>
      <c r="G495" s="106"/>
      <c r="H495" s="2"/>
      <c r="I495" s="105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104"/>
      <c r="G496" s="106"/>
      <c r="H496" s="2"/>
      <c r="I496" s="105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104"/>
      <c r="G497" s="106"/>
      <c r="H497" s="2"/>
      <c r="I497" s="105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104"/>
      <c r="G498" s="106"/>
      <c r="H498" s="2"/>
      <c r="I498" s="105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104"/>
      <c r="G499" s="106"/>
      <c r="H499" s="2"/>
      <c r="I499" s="105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104"/>
      <c r="G500" s="106"/>
      <c r="H500" s="2"/>
      <c r="I500" s="105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104"/>
      <c r="G501" s="106"/>
      <c r="H501" s="2"/>
      <c r="I501" s="105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104"/>
      <c r="G502" s="106"/>
      <c r="H502" s="2"/>
      <c r="I502" s="105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104"/>
      <c r="G503" s="106"/>
      <c r="H503" s="2"/>
      <c r="I503" s="105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104"/>
      <c r="G504" s="106"/>
      <c r="H504" s="2"/>
      <c r="I504" s="105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104"/>
      <c r="G505" s="106"/>
      <c r="H505" s="2"/>
      <c r="I505" s="105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104"/>
      <c r="G506" s="106"/>
      <c r="H506" s="2"/>
      <c r="I506" s="105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104"/>
      <c r="G507" s="106"/>
      <c r="H507" s="2"/>
      <c r="I507" s="105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104"/>
      <c r="G508" s="106"/>
      <c r="H508" s="2"/>
      <c r="I508" s="105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104"/>
      <c r="G509" s="106"/>
      <c r="H509" s="2"/>
      <c r="I509" s="105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104"/>
      <c r="G510" s="106"/>
      <c r="H510" s="2"/>
      <c r="I510" s="105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104"/>
      <c r="G511" s="106"/>
      <c r="H511" s="2"/>
      <c r="I511" s="105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104"/>
      <c r="G512" s="106"/>
      <c r="H512" s="2"/>
      <c r="I512" s="105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104"/>
      <c r="G513" s="106"/>
      <c r="H513" s="2"/>
      <c r="I513" s="105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104"/>
      <c r="G514" s="106"/>
      <c r="H514" s="2"/>
      <c r="I514" s="105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104"/>
      <c r="G515" s="106"/>
      <c r="H515" s="2"/>
      <c r="I515" s="105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104"/>
      <c r="G516" s="106"/>
      <c r="H516" s="2"/>
      <c r="I516" s="105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104"/>
      <c r="G517" s="106"/>
      <c r="H517" s="2"/>
      <c r="I517" s="105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104"/>
      <c r="G518" s="106"/>
      <c r="H518" s="2"/>
      <c r="I518" s="105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104"/>
      <c r="G519" s="106"/>
      <c r="H519" s="2"/>
      <c r="I519" s="105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104"/>
      <c r="G520" s="106"/>
      <c r="H520" s="2"/>
      <c r="I520" s="105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104"/>
      <c r="G521" s="106"/>
      <c r="H521" s="2"/>
      <c r="I521" s="105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104"/>
      <c r="G522" s="106"/>
      <c r="H522" s="2"/>
      <c r="I522" s="105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104"/>
      <c r="G523" s="106"/>
      <c r="H523" s="2"/>
      <c r="I523" s="105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104"/>
      <c r="G524" s="106"/>
      <c r="H524" s="2"/>
      <c r="I524" s="105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104"/>
      <c r="G525" s="106"/>
      <c r="H525" s="2"/>
      <c r="I525" s="105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104"/>
      <c r="G526" s="106"/>
      <c r="H526" s="2"/>
      <c r="I526" s="105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104"/>
      <c r="G527" s="106"/>
      <c r="H527" s="2"/>
      <c r="I527" s="105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104"/>
      <c r="G528" s="106"/>
      <c r="H528" s="2"/>
      <c r="I528" s="105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104"/>
      <c r="G529" s="106"/>
      <c r="H529" s="2"/>
      <c r="I529" s="105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104"/>
      <c r="G530" s="106"/>
      <c r="H530" s="2"/>
      <c r="I530" s="105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104"/>
      <c r="G531" s="106"/>
      <c r="H531" s="2"/>
      <c r="I531" s="105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104"/>
      <c r="G532" s="106"/>
      <c r="H532" s="2"/>
      <c r="I532" s="105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104"/>
      <c r="G533" s="106"/>
      <c r="H533" s="2"/>
      <c r="I533" s="105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104"/>
      <c r="G534" s="106"/>
      <c r="H534" s="2"/>
      <c r="I534" s="105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104"/>
      <c r="G535" s="106"/>
      <c r="H535" s="2"/>
      <c r="I535" s="105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104"/>
      <c r="G536" s="106"/>
      <c r="H536" s="2"/>
      <c r="I536" s="105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104"/>
      <c r="G537" s="106"/>
      <c r="H537" s="2"/>
      <c r="I537" s="105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104"/>
      <c r="G538" s="106"/>
      <c r="H538" s="2"/>
      <c r="I538" s="105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104"/>
      <c r="G539" s="106"/>
      <c r="H539" s="2"/>
      <c r="I539" s="105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104"/>
      <c r="G540" s="106"/>
      <c r="H540" s="2"/>
      <c r="I540" s="105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104"/>
      <c r="G541" s="106"/>
      <c r="H541" s="2"/>
      <c r="I541" s="105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104"/>
      <c r="G542" s="106"/>
      <c r="H542" s="2"/>
      <c r="I542" s="105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104"/>
      <c r="G543" s="106"/>
      <c r="H543" s="2"/>
      <c r="I543" s="105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104"/>
      <c r="G544" s="106"/>
      <c r="H544" s="2"/>
      <c r="I544" s="105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104"/>
      <c r="G545" s="106"/>
      <c r="H545" s="2"/>
      <c r="I545" s="105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104"/>
      <c r="G546" s="106"/>
      <c r="H546" s="2"/>
      <c r="I546" s="105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104"/>
      <c r="G547" s="106"/>
      <c r="H547" s="2"/>
      <c r="I547" s="105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104"/>
      <c r="G548" s="106"/>
      <c r="H548" s="2"/>
      <c r="I548" s="105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104"/>
      <c r="G549" s="106"/>
      <c r="H549" s="2"/>
      <c r="I549" s="105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104"/>
      <c r="G550" s="106"/>
      <c r="H550" s="2"/>
      <c r="I550" s="105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104"/>
      <c r="G551" s="106"/>
      <c r="H551" s="2"/>
      <c r="I551" s="105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104"/>
      <c r="G552" s="106"/>
      <c r="H552" s="2"/>
      <c r="I552" s="105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104"/>
      <c r="G553" s="106"/>
      <c r="H553" s="2"/>
      <c r="I553" s="105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104"/>
      <c r="G554" s="106"/>
      <c r="H554" s="2"/>
      <c r="I554" s="105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104"/>
      <c r="G555" s="106"/>
      <c r="H555" s="2"/>
      <c r="I555" s="105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104"/>
      <c r="G556" s="106"/>
      <c r="H556" s="2"/>
      <c r="I556" s="105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104"/>
      <c r="G557" s="106"/>
      <c r="H557" s="2"/>
      <c r="I557" s="105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104"/>
      <c r="G558" s="106"/>
      <c r="H558" s="2"/>
      <c r="I558" s="105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104"/>
      <c r="G559" s="106"/>
      <c r="H559" s="2"/>
      <c r="I559" s="105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104"/>
      <c r="G560" s="106"/>
      <c r="H560" s="2"/>
      <c r="I560" s="105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104"/>
      <c r="G561" s="106"/>
      <c r="H561" s="2"/>
      <c r="I561" s="105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104"/>
      <c r="G562" s="106"/>
      <c r="H562" s="2"/>
      <c r="I562" s="105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104"/>
      <c r="G563" s="106"/>
      <c r="H563" s="2"/>
      <c r="I563" s="105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104"/>
      <c r="G564" s="106"/>
      <c r="H564" s="2"/>
      <c r="I564" s="105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104"/>
      <c r="G565" s="106"/>
      <c r="H565" s="2"/>
      <c r="I565" s="105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104"/>
      <c r="G566" s="106"/>
      <c r="H566" s="2"/>
      <c r="I566" s="105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104"/>
      <c r="G567" s="106"/>
      <c r="H567" s="2"/>
      <c r="I567" s="105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104"/>
      <c r="G568" s="106"/>
      <c r="H568" s="2"/>
      <c r="I568" s="105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104"/>
      <c r="G569" s="106"/>
      <c r="H569" s="2"/>
      <c r="I569" s="105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104"/>
      <c r="G570" s="106"/>
      <c r="H570" s="2"/>
      <c r="I570" s="105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104"/>
      <c r="G571" s="106"/>
      <c r="H571" s="2"/>
      <c r="I571" s="105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104"/>
      <c r="G572" s="106"/>
      <c r="H572" s="2"/>
      <c r="I572" s="105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104"/>
      <c r="G573" s="106"/>
      <c r="H573" s="2"/>
      <c r="I573" s="105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104"/>
      <c r="G574" s="106"/>
      <c r="H574" s="2"/>
      <c r="I574" s="105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104"/>
      <c r="G575" s="106"/>
      <c r="H575" s="2"/>
      <c r="I575" s="105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104"/>
      <c r="G576" s="106"/>
      <c r="H576" s="2"/>
      <c r="I576" s="105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104"/>
      <c r="G577" s="106"/>
      <c r="H577" s="2"/>
      <c r="I577" s="105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104"/>
      <c r="G578" s="106"/>
      <c r="H578" s="2"/>
      <c r="I578" s="105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104"/>
      <c r="G579" s="106"/>
      <c r="H579" s="2"/>
      <c r="I579" s="105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104"/>
      <c r="G580" s="106"/>
      <c r="H580" s="2"/>
      <c r="I580" s="105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104"/>
      <c r="G581" s="106"/>
      <c r="H581" s="2"/>
      <c r="I581" s="105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104"/>
      <c r="G582" s="106"/>
      <c r="H582" s="2"/>
      <c r="I582" s="105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104"/>
      <c r="G583" s="106"/>
      <c r="H583" s="2"/>
      <c r="I583" s="105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104"/>
      <c r="G584" s="106"/>
      <c r="H584" s="2"/>
      <c r="I584" s="105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104"/>
      <c r="G585" s="106"/>
      <c r="H585" s="2"/>
      <c r="I585" s="105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104"/>
      <c r="G586" s="106"/>
      <c r="H586" s="2"/>
      <c r="I586" s="105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104"/>
      <c r="G587" s="106"/>
      <c r="H587" s="2"/>
      <c r="I587" s="105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104"/>
      <c r="G588" s="106"/>
      <c r="H588" s="2"/>
      <c r="I588" s="105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104"/>
      <c r="G589" s="106"/>
      <c r="H589" s="2"/>
      <c r="I589" s="105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104"/>
      <c r="G590" s="106"/>
      <c r="H590" s="2"/>
      <c r="I590" s="105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104"/>
      <c r="G591" s="106"/>
      <c r="H591" s="2"/>
      <c r="I591" s="105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104"/>
      <c r="G592" s="106"/>
      <c r="H592" s="2"/>
      <c r="I592" s="105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104"/>
      <c r="G593" s="106"/>
      <c r="H593" s="2"/>
      <c r="I593" s="105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104"/>
      <c r="G594" s="106"/>
      <c r="H594" s="2"/>
      <c r="I594" s="105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104"/>
      <c r="G595" s="106"/>
      <c r="H595" s="2"/>
      <c r="I595" s="105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104"/>
      <c r="G596" s="106"/>
      <c r="H596" s="2"/>
      <c r="I596" s="105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104"/>
      <c r="G597" s="106"/>
      <c r="H597" s="2"/>
      <c r="I597" s="105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104"/>
      <c r="G598" s="106"/>
      <c r="H598" s="2"/>
      <c r="I598" s="105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104"/>
      <c r="G599" s="106"/>
      <c r="H599" s="2"/>
      <c r="I599" s="105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104"/>
      <c r="G600" s="106"/>
      <c r="H600" s="2"/>
      <c r="I600" s="105"/>
      <c r="J600" s="2"/>
      <c r="K600" s="2"/>
      <c r="L600" s="2"/>
      <c r="M600" s="2"/>
      <c r="N600" s="2"/>
    </row>
  </sheetData>
  <mergeCells count="9">
    <mergeCell ref="E6:F6"/>
    <mergeCell ref="G6:H6"/>
    <mergeCell ref="A1:K1"/>
    <mergeCell ref="A5:B5"/>
    <mergeCell ref="C5:D5"/>
    <mergeCell ref="E5:F5"/>
    <mergeCell ref="G5:H5"/>
    <mergeCell ref="A6:B6"/>
    <mergeCell ref="C6:D6"/>
  </mergeCells>
  <dataValidations>
    <dataValidation type="custom" allowBlank="1" showDropDown="1" showInputMessage="1" showErrorMessage="1" prompt="Ikki marta bosing — kalendar ochiladi" sqref="B3 D3">
      <formula1>OR(NOT(ISERROR(DATEVALUE(B3))), AND(ISNUMBER(B3), LEFT(CELL("format", B3))="D"))</formula1>
    </dataValidation>
  </dataValidations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81" t="s">
        <v>784</v>
      </c>
      <c r="B1" s="208" t="s">
        <v>440</v>
      </c>
      <c r="C1" s="81" t="s">
        <v>43</v>
      </c>
      <c r="D1" s="81" t="s">
        <v>132</v>
      </c>
      <c r="E1" s="81" t="s">
        <v>785</v>
      </c>
      <c r="F1" s="81" t="s">
        <v>442</v>
      </c>
      <c r="G1" s="81" t="s">
        <v>786</v>
      </c>
      <c r="H1" s="81" t="s">
        <v>134</v>
      </c>
      <c r="I1" s="208" t="s">
        <v>787</v>
      </c>
      <c r="J1" s="81" t="s">
        <v>788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8" t="s">
        <v>789</v>
      </c>
      <c r="B2" s="264">
        <v>46316.0</v>
      </c>
      <c r="C2" s="88">
        <v>383.0</v>
      </c>
      <c r="D2" s="88" t="s">
        <v>198</v>
      </c>
      <c r="E2" s="88" t="s">
        <v>790</v>
      </c>
      <c r="F2" s="88" t="s">
        <v>200</v>
      </c>
      <c r="G2" s="88" t="s">
        <v>791</v>
      </c>
      <c r="H2" s="88" t="s">
        <v>792</v>
      </c>
      <c r="I2" s="210">
        <v>46316.0</v>
      </c>
      <c r="J2" s="88" t="s">
        <v>576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8" t="s">
        <v>793</v>
      </c>
      <c r="B3" s="264">
        <v>46318.0</v>
      </c>
      <c r="C3" s="88">
        <v>403.0</v>
      </c>
      <c r="D3" s="88" t="s">
        <v>202</v>
      </c>
      <c r="E3" s="88" t="s">
        <v>794</v>
      </c>
      <c r="F3" s="88" t="s">
        <v>200</v>
      </c>
      <c r="G3" s="88" t="s">
        <v>791</v>
      </c>
      <c r="H3" s="88" t="s">
        <v>792</v>
      </c>
      <c r="I3" s="210">
        <v>46318.0</v>
      </c>
      <c r="J3" s="88" t="s">
        <v>576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8" t="s">
        <v>795</v>
      </c>
      <c r="B4" s="264">
        <v>46318.0</v>
      </c>
      <c r="C4" s="88">
        <v>395.0</v>
      </c>
      <c r="D4" s="88" t="s">
        <v>201</v>
      </c>
      <c r="E4" s="88" t="s">
        <v>796</v>
      </c>
      <c r="F4" s="88" t="s">
        <v>200</v>
      </c>
      <c r="G4" s="88" t="s">
        <v>791</v>
      </c>
      <c r="H4" s="88" t="s">
        <v>792</v>
      </c>
      <c r="I4" s="210">
        <v>46318.0</v>
      </c>
      <c r="J4" s="88" t="s">
        <v>576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8" t="s">
        <v>798</v>
      </c>
      <c r="B5" s="264">
        <v>46319.0</v>
      </c>
      <c r="C5" s="88">
        <v>404.0</v>
      </c>
      <c r="D5" s="88" t="s">
        <v>203</v>
      </c>
      <c r="E5" s="88" t="s">
        <v>799</v>
      </c>
      <c r="F5" s="88" t="s">
        <v>200</v>
      </c>
      <c r="G5" s="88" t="s">
        <v>791</v>
      </c>
      <c r="H5" s="88" t="s">
        <v>792</v>
      </c>
      <c r="I5" s="210">
        <v>46319.0</v>
      </c>
      <c r="J5" s="88" t="s">
        <v>576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8" t="s">
        <v>800</v>
      </c>
      <c r="B6" s="264">
        <v>46319.0</v>
      </c>
      <c r="C6" s="88">
        <v>397.0</v>
      </c>
      <c r="D6" s="88" t="s">
        <v>204</v>
      </c>
      <c r="E6" s="88" t="s">
        <v>801</v>
      </c>
      <c r="F6" s="88" t="s">
        <v>200</v>
      </c>
      <c r="G6" s="88" t="s">
        <v>791</v>
      </c>
      <c r="H6" s="88" t="s">
        <v>792</v>
      </c>
      <c r="I6" s="210">
        <v>46319.0</v>
      </c>
      <c r="J6" s="88" t="s">
        <v>576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11"/>
      <c r="C7" s="2"/>
      <c r="D7" s="2"/>
      <c r="E7" s="2"/>
      <c r="F7" s="2"/>
      <c r="G7" s="2"/>
      <c r="H7" s="2"/>
      <c r="I7" s="2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11"/>
      <c r="C8" s="2"/>
      <c r="D8" s="2"/>
      <c r="E8" s="2"/>
      <c r="F8" s="2"/>
      <c r="G8" s="2"/>
      <c r="H8" s="2"/>
      <c r="I8" s="2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1"/>
      <c r="C9" s="2"/>
      <c r="D9" s="2"/>
      <c r="E9" s="2"/>
      <c r="F9" s="2"/>
      <c r="G9" s="2"/>
      <c r="H9" s="2"/>
      <c r="I9" s="2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11"/>
      <c r="C10" s="2"/>
      <c r="D10" s="2"/>
      <c r="E10" s="2"/>
      <c r="F10" s="2"/>
      <c r="G10" s="2"/>
      <c r="H10" s="2"/>
      <c r="I10" s="2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11"/>
      <c r="C11" s="2"/>
      <c r="D11" s="2"/>
      <c r="E11" s="2"/>
      <c r="F11" s="2"/>
      <c r="G11" s="2"/>
      <c r="H11" s="2"/>
      <c r="I11" s="2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11"/>
      <c r="C12" s="2"/>
      <c r="D12" s="2"/>
      <c r="E12" s="2"/>
      <c r="F12" s="2"/>
      <c r="G12" s="2"/>
      <c r="H12" s="2"/>
      <c r="I12" s="2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11"/>
      <c r="C13" s="2"/>
      <c r="D13" s="2"/>
      <c r="E13" s="2"/>
      <c r="F13" s="2"/>
      <c r="G13" s="2"/>
      <c r="H13" s="2"/>
      <c r="I13" s="2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11"/>
      <c r="C14" s="2"/>
      <c r="D14" s="2"/>
      <c r="E14" s="2"/>
      <c r="F14" s="2"/>
      <c r="G14" s="2"/>
      <c r="H14" s="2"/>
      <c r="I14" s="2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11"/>
      <c r="C15" s="2"/>
      <c r="D15" s="2"/>
      <c r="E15" s="2"/>
      <c r="F15" s="2"/>
      <c r="G15" s="2"/>
      <c r="H15" s="2"/>
      <c r="I15" s="2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11"/>
      <c r="C16" s="2"/>
      <c r="D16" s="2"/>
      <c r="E16" s="2"/>
      <c r="F16" s="2"/>
      <c r="G16" s="2"/>
      <c r="H16" s="2"/>
      <c r="I16" s="2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11"/>
      <c r="C17" s="2"/>
      <c r="D17" s="2"/>
      <c r="E17" s="2"/>
      <c r="F17" s="2"/>
      <c r="G17" s="2"/>
      <c r="H17" s="2"/>
      <c r="I17" s="2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11"/>
      <c r="C18" s="2"/>
      <c r="D18" s="2"/>
      <c r="E18" s="2"/>
      <c r="F18" s="2"/>
      <c r="G18" s="2"/>
      <c r="H18" s="2"/>
      <c r="I18" s="2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11"/>
      <c r="C19" s="2"/>
      <c r="D19" s="2"/>
      <c r="E19" s="2"/>
      <c r="F19" s="2"/>
      <c r="G19" s="2"/>
      <c r="H19" s="2"/>
      <c r="I19" s="2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11"/>
      <c r="C20" s="2"/>
      <c r="D20" s="2"/>
      <c r="E20" s="2"/>
      <c r="F20" s="2"/>
      <c r="G20" s="2"/>
      <c r="H20" s="2"/>
      <c r="I20" s="2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11"/>
      <c r="C21" s="2"/>
      <c r="D21" s="2"/>
      <c r="E21" s="2"/>
      <c r="F21" s="2"/>
      <c r="G21" s="2"/>
      <c r="H21" s="2"/>
      <c r="I21" s="2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11"/>
      <c r="C22" s="2"/>
      <c r="D22" s="2"/>
      <c r="E22" s="2"/>
      <c r="F22" s="2"/>
      <c r="G22" s="2"/>
      <c r="H22" s="2"/>
      <c r="I22" s="2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11"/>
      <c r="C23" s="2"/>
      <c r="D23" s="2"/>
      <c r="E23" s="2"/>
      <c r="F23" s="2"/>
      <c r="G23" s="2"/>
      <c r="H23" s="2"/>
      <c r="I23" s="2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11"/>
      <c r="C24" s="2"/>
      <c r="D24" s="2"/>
      <c r="E24" s="2"/>
      <c r="F24" s="2"/>
      <c r="G24" s="2"/>
      <c r="H24" s="2"/>
      <c r="I24" s="2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11"/>
      <c r="C25" s="2"/>
      <c r="D25" s="2"/>
      <c r="E25" s="2"/>
      <c r="F25" s="2"/>
      <c r="G25" s="2"/>
      <c r="H25" s="2"/>
      <c r="I25" s="2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11"/>
      <c r="C26" s="2"/>
      <c r="D26" s="2"/>
      <c r="E26" s="2"/>
      <c r="F26" s="2"/>
      <c r="G26" s="2"/>
      <c r="H26" s="2"/>
      <c r="I26" s="2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11"/>
      <c r="C27" s="2"/>
      <c r="D27" s="2"/>
      <c r="E27" s="2"/>
      <c r="F27" s="2"/>
      <c r="G27" s="2"/>
      <c r="H27" s="2"/>
      <c r="I27" s="2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11"/>
      <c r="C28" s="2"/>
      <c r="D28" s="2"/>
      <c r="E28" s="2"/>
      <c r="F28" s="2"/>
      <c r="G28" s="2"/>
      <c r="H28" s="2"/>
      <c r="I28" s="2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11"/>
      <c r="C29" s="2"/>
      <c r="D29" s="2"/>
      <c r="E29" s="2"/>
      <c r="F29" s="2"/>
      <c r="G29" s="2"/>
      <c r="H29" s="2"/>
      <c r="I29" s="2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11"/>
      <c r="C30" s="2"/>
      <c r="D30" s="2"/>
      <c r="E30" s="2"/>
      <c r="F30" s="2"/>
      <c r="G30" s="2"/>
      <c r="H30" s="2"/>
      <c r="I30" s="2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11"/>
      <c r="C31" s="2"/>
      <c r="D31" s="2"/>
      <c r="E31" s="2"/>
      <c r="F31" s="2"/>
      <c r="G31" s="2"/>
      <c r="H31" s="2"/>
      <c r="I31" s="2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11"/>
      <c r="C32" s="2"/>
      <c r="D32" s="2"/>
      <c r="E32" s="2"/>
      <c r="F32" s="2"/>
      <c r="G32" s="2"/>
      <c r="H32" s="2"/>
      <c r="I32" s="21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11"/>
      <c r="C33" s="2"/>
      <c r="D33" s="2"/>
      <c r="E33" s="2"/>
      <c r="F33" s="2"/>
      <c r="G33" s="2"/>
      <c r="H33" s="2"/>
      <c r="I33" s="21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11"/>
      <c r="C34" s="2"/>
      <c r="D34" s="2"/>
      <c r="E34" s="2"/>
      <c r="F34" s="2"/>
      <c r="G34" s="2"/>
      <c r="H34" s="2"/>
      <c r="I34" s="21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11"/>
      <c r="C35" s="2"/>
      <c r="D35" s="2"/>
      <c r="E35" s="2"/>
      <c r="F35" s="2"/>
      <c r="G35" s="2"/>
      <c r="H35" s="2"/>
      <c r="I35" s="21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11"/>
      <c r="C36" s="2"/>
      <c r="D36" s="2"/>
      <c r="E36" s="2"/>
      <c r="F36" s="2"/>
      <c r="G36" s="2"/>
      <c r="H36" s="2"/>
      <c r="I36" s="21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11"/>
      <c r="C37" s="2"/>
      <c r="D37" s="2"/>
      <c r="E37" s="2"/>
      <c r="F37" s="2"/>
      <c r="G37" s="2"/>
      <c r="H37" s="2"/>
      <c r="I37" s="21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11"/>
      <c r="C38" s="2"/>
      <c r="D38" s="2"/>
      <c r="E38" s="2"/>
      <c r="F38" s="2"/>
      <c r="G38" s="2"/>
      <c r="H38" s="2"/>
      <c r="I38" s="21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11"/>
      <c r="C39" s="2"/>
      <c r="D39" s="2"/>
      <c r="E39" s="2"/>
      <c r="F39" s="2"/>
      <c r="G39" s="2"/>
      <c r="H39" s="2"/>
      <c r="I39" s="21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11"/>
      <c r="C40" s="2"/>
      <c r="D40" s="2"/>
      <c r="E40" s="2"/>
      <c r="F40" s="2"/>
      <c r="G40" s="2"/>
      <c r="H40" s="2"/>
      <c r="I40" s="21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11"/>
      <c r="C41" s="2"/>
      <c r="D41" s="2"/>
      <c r="E41" s="2"/>
      <c r="F41" s="2"/>
      <c r="G41" s="2"/>
      <c r="H41" s="2"/>
      <c r="I41" s="21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11"/>
      <c r="C42" s="2"/>
      <c r="D42" s="2"/>
      <c r="E42" s="2"/>
      <c r="F42" s="2"/>
      <c r="G42" s="2"/>
      <c r="H42" s="2"/>
      <c r="I42" s="21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11"/>
      <c r="C43" s="2"/>
      <c r="D43" s="2"/>
      <c r="E43" s="2"/>
      <c r="F43" s="2"/>
      <c r="G43" s="2"/>
      <c r="H43" s="2"/>
      <c r="I43" s="21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11"/>
      <c r="C44" s="2"/>
      <c r="D44" s="2"/>
      <c r="E44" s="2"/>
      <c r="F44" s="2"/>
      <c r="G44" s="2"/>
      <c r="H44" s="2"/>
      <c r="I44" s="21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11"/>
      <c r="C45" s="2"/>
      <c r="D45" s="2"/>
      <c r="E45" s="2"/>
      <c r="F45" s="2"/>
      <c r="G45" s="2"/>
      <c r="H45" s="2"/>
      <c r="I45" s="21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11"/>
      <c r="C46" s="2"/>
      <c r="D46" s="2"/>
      <c r="E46" s="2"/>
      <c r="F46" s="2"/>
      <c r="G46" s="2"/>
      <c r="H46" s="2"/>
      <c r="I46" s="21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11"/>
      <c r="C47" s="2"/>
      <c r="D47" s="2"/>
      <c r="E47" s="2"/>
      <c r="F47" s="2"/>
      <c r="G47" s="2"/>
      <c r="H47" s="2"/>
      <c r="I47" s="21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11"/>
      <c r="C48" s="2"/>
      <c r="D48" s="2"/>
      <c r="E48" s="2"/>
      <c r="F48" s="2"/>
      <c r="G48" s="2"/>
      <c r="H48" s="2"/>
      <c r="I48" s="21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11"/>
      <c r="C49" s="2"/>
      <c r="D49" s="2"/>
      <c r="E49" s="2"/>
      <c r="F49" s="2"/>
      <c r="G49" s="2"/>
      <c r="H49" s="2"/>
      <c r="I49" s="21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11"/>
      <c r="C50" s="2"/>
      <c r="D50" s="2"/>
      <c r="E50" s="2"/>
      <c r="F50" s="2"/>
      <c r="G50" s="2"/>
      <c r="H50" s="2"/>
      <c r="I50" s="21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11"/>
      <c r="C51" s="2"/>
      <c r="D51" s="2"/>
      <c r="E51" s="2"/>
      <c r="F51" s="2"/>
      <c r="G51" s="2"/>
      <c r="H51" s="2"/>
      <c r="I51" s="21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11"/>
      <c r="C52" s="2"/>
      <c r="D52" s="2"/>
      <c r="E52" s="2"/>
      <c r="F52" s="2"/>
      <c r="G52" s="2"/>
      <c r="H52" s="2"/>
      <c r="I52" s="21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11"/>
      <c r="C53" s="2"/>
      <c r="D53" s="2"/>
      <c r="E53" s="2"/>
      <c r="F53" s="2"/>
      <c r="G53" s="2"/>
      <c r="H53" s="2"/>
      <c r="I53" s="21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11"/>
      <c r="C54" s="2"/>
      <c r="D54" s="2"/>
      <c r="E54" s="2"/>
      <c r="F54" s="2"/>
      <c r="G54" s="2"/>
      <c r="H54" s="2"/>
      <c r="I54" s="21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11"/>
      <c r="C55" s="2"/>
      <c r="D55" s="2"/>
      <c r="E55" s="2"/>
      <c r="F55" s="2"/>
      <c r="G55" s="2"/>
      <c r="H55" s="2"/>
      <c r="I55" s="21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11"/>
      <c r="C56" s="2"/>
      <c r="D56" s="2"/>
      <c r="E56" s="2"/>
      <c r="F56" s="2"/>
      <c r="G56" s="2"/>
      <c r="H56" s="2"/>
      <c r="I56" s="21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11"/>
      <c r="C57" s="2"/>
      <c r="D57" s="2"/>
      <c r="E57" s="2"/>
      <c r="F57" s="2"/>
      <c r="G57" s="2"/>
      <c r="H57" s="2"/>
      <c r="I57" s="21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11"/>
      <c r="C58" s="2"/>
      <c r="D58" s="2"/>
      <c r="E58" s="2"/>
      <c r="F58" s="2"/>
      <c r="G58" s="2"/>
      <c r="H58" s="2"/>
      <c r="I58" s="21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11"/>
      <c r="C59" s="2"/>
      <c r="D59" s="2"/>
      <c r="E59" s="2"/>
      <c r="F59" s="2"/>
      <c r="G59" s="2"/>
      <c r="H59" s="2"/>
      <c r="I59" s="21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11"/>
      <c r="C60" s="2"/>
      <c r="D60" s="2"/>
      <c r="E60" s="2"/>
      <c r="F60" s="2"/>
      <c r="G60" s="2"/>
      <c r="H60" s="2"/>
      <c r="I60" s="21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11"/>
      <c r="C61" s="2"/>
      <c r="D61" s="2"/>
      <c r="E61" s="2"/>
      <c r="F61" s="2"/>
      <c r="G61" s="2"/>
      <c r="H61" s="2"/>
      <c r="I61" s="21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11"/>
      <c r="C62" s="2"/>
      <c r="D62" s="2"/>
      <c r="E62" s="2"/>
      <c r="F62" s="2"/>
      <c r="G62" s="2"/>
      <c r="H62" s="2"/>
      <c r="I62" s="21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11"/>
      <c r="C63" s="2"/>
      <c r="D63" s="2"/>
      <c r="E63" s="2"/>
      <c r="F63" s="2"/>
      <c r="G63" s="2"/>
      <c r="H63" s="2"/>
      <c r="I63" s="21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11"/>
      <c r="C64" s="2"/>
      <c r="D64" s="2"/>
      <c r="E64" s="2"/>
      <c r="F64" s="2"/>
      <c r="G64" s="2"/>
      <c r="H64" s="2"/>
      <c r="I64" s="21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11"/>
      <c r="C65" s="2"/>
      <c r="D65" s="2"/>
      <c r="E65" s="2"/>
      <c r="F65" s="2"/>
      <c r="G65" s="2"/>
      <c r="H65" s="2"/>
      <c r="I65" s="21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11"/>
      <c r="C66" s="2"/>
      <c r="D66" s="2"/>
      <c r="E66" s="2"/>
      <c r="F66" s="2"/>
      <c r="G66" s="2"/>
      <c r="H66" s="2"/>
      <c r="I66" s="21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11"/>
      <c r="C67" s="2"/>
      <c r="D67" s="2"/>
      <c r="E67" s="2"/>
      <c r="F67" s="2"/>
      <c r="G67" s="2"/>
      <c r="H67" s="2"/>
      <c r="I67" s="21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11"/>
      <c r="C68" s="2"/>
      <c r="D68" s="2"/>
      <c r="E68" s="2"/>
      <c r="F68" s="2"/>
      <c r="G68" s="2"/>
      <c r="H68" s="2"/>
      <c r="I68" s="2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11"/>
      <c r="C69" s="2"/>
      <c r="D69" s="2"/>
      <c r="E69" s="2"/>
      <c r="F69" s="2"/>
      <c r="G69" s="2"/>
      <c r="H69" s="2"/>
      <c r="I69" s="21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11"/>
      <c r="C70" s="2"/>
      <c r="D70" s="2"/>
      <c r="E70" s="2"/>
      <c r="F70" s="2"/>
      <c r="G70" s="2"/>
      <c r="H70" s="2"/>
      <c r="I70" s="2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11"/>
      <c r="C71" s="2"/>
      <c r="D71" s="2"/>
      <c r="E71" s="2"/>
      <c r="F71" s="2"/>
      <c r="G71" s="2"/>
      <c r="H71" s="2"/>
      <c r="I71" s="2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11"/>
      <c r="C72" s="2"/>
      <c r="D72" s="2"/>
      <c r="E72" s="2"/>
      <c r="F72" s="2"/>
      <c r="G72" s="2"/>
      <c r="H72" s="2"/>
      <c r="I72" s="21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11"/>
      <c r="C73" s="2"/>
      <c r="D73" s="2"/>
      <c r="E73" s="2"/>
      <c r="F73" s="2"/>
      <c r="G73" s="2"/>
      <c r="H73" s="2"/>
      <c r="I73" s="21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11"/>
      <c r="C74" s="2"/>
      <c r="D74" s="2"/>
      <c r="E74" s="2"/>
      <c r="F74" s="2"/>
      <c r="G74" s="2"/>
      <c r="H74" s="2"/>
      <c r="I74" s="21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11"/>
      <c r="C75" s="2"/>
      <c r="D75" s="2"/>
      <c r="E75" s="2"/>
      <c r="F75" s="2"/>
      <c r="G75" s="2"/>
      <c r="H75" s="2"/>
      <c r="I75" s="21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11"/>
      <c r="C76" s="2"/>
      <c r="D76" s="2"/>
      <c r="E76" s="2"/>
      <c r="F76" s="2"/>
      <c r="G76" s="2"/>
      <c r="H76" s="2"/>
      <c r="I76" s="21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11"/>
      <c r="C77" s="2"/>
      <c r="D77" s="2"/>
      <c r="E77" s="2"/>
      <c r="F77" s="2"/>
      <c r="G77" s="2"/>
      <c r="H77" s="2"/>
      <c r="I77" s="21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11"/>
      <c r="C78" s="2"/>
      <c r="D78" s="2"/>
      <c r="E78" s="2"/>
      <c r="F78" s="2"/>
      <c r="G78" s="2"/>
      <c r="H78" s="2"/>
      <c r="I78" s="21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11"/>
      <c r="C79" s="2"/>
      <c r="D79" s="2"/>
      <c r="E79" s="2"/>
      <c r="F79" s="2"/>
      <c r="G79" s="2"/>
      <c r="H79" s="2"/>
      <c r="I79" s="21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11"/>
      <c r="C80" s="2"/>
      <c r="D80" s="2"/>
      <c r="E80" s="2"/>
      <c r="F80" s="2"/>
      <c r="G80" s="2"/>
      <c r="H80" s="2"/>
      <c r="I80" s="21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11"/>
      <c r="C81" s="2"/>
      <c r="D81" s="2"/>
      <c r="E81" s="2"/>
      <c r="F81" s="2"/>
      <c r="G81" s="2"/>
      <c r="H81" s="2"/>
      <c r="I81" s="21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11"/>
      <c r="C82" s="2"/>
      <c r="D82" s="2"/>
      <c r="E82" s="2"/>
      <c r="F82" s="2"/>
      <c r="G82" s="2"/>
      <c r="H82" s="2"/>
      <c r="I82" s="21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11"/>
      <c r="C83" s="2"/>
      <c r="D83" s="2"/>
      <c r="E83" s="2"/>
      <c r="F83" s="2"/>
      <c r="G83" s="2"/>
      <c r="H83" s="2"/>
      <c r="I83" s="21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11"/>
      <c r="C84" s="2"/>
      <c r="D84" s="2"/>
      <c r="E84" s="2"/>
      <c r="F84" s="2"/>
      <c r="G84" s="2"/>
      <c r="H84" s="2"/>
      <c r="I84" s="21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11"/>
      <c r="C85" s="2"/>
      <c r="D85" s="2"/>
      <c r="E85" s="2"/>
      <c r="F85" s="2"/>
      <c r="G85" s="2"/>
      <c r="H85" s="2"/>
      <c r="I85" s="21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11"/>
      <c r="C86" s="2"/>
      <c r="D86" s="2"/>
      <c r="E86" s="2"/>
      <c r="F86" s="2"/>
      <c r="G86" s="2"/>
      <c r="H86" s="2"/>
      <c r="I86" s="21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11"/>
      <c r="C87" s="2"/>
      <c r="D87" s="2"/>
      <c r="E87" s="2"/>
      <c r="F87" s="2"/>
      <c r="G87" s="2"/>
      <c r="H87" s="2"/>
      <c r="I87" s="21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11"/>
      <c r="C88" s="2"/>
      <c r="D88" s="2"/>
      <c r="E88" s="2"/>
      <c r="F88" s="2"/>
      <c r="G88" s="2"/>
      <c r="H88" s="2"/>
      <c r="I88" s="21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11"/>
      <c r="C89" s="2"/>
      <c r="D89" s="2"/>
      <c r="E89" s="2"/>
      <c r="F89" s="2"/>
      <c r="G89" s="2"/>
      <c r="H89" s="2"/>
      <c r="I89" s="21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11"/>
      <c r="C90" s="2"/>
      <c r="D90" s="2"/>
      <c r="E90" s="2"/>
      <c r="F90" s="2"/>
      <c r="G90" s="2"/>
      <c r="H90" s="2"/>
      <c r="I90" s="21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11"/>
      <c r="C91" s="2"/>
      <c r="D91" s="2"/>
      <c r="E91" s="2"/>
      <c r="F91" s="2"/>
      <c r="G91" s="2"/>
      <c r="H91" s="2"/>
      <c r="I91" s="21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11"/>
      <c r="C92" s="2"/>
      <c r="D92" s="2"/>
      <c r="E92" s="2"/>
      <c r="F92" s="2"/>
      <c r="G92" s="2"/>
      <c r="H92" s="2"/>
      <c r="I92" s="21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11"/>
      <c r="C93" s="2"/>
      <c r="D93" s="2"/>
      <c r="E93" s="2"/>
      <c r="F93" s="2"/>
      <c r="G93" s="2"/>
      <c r="H93" s="2"/>
      <c r="I93" s="21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11"/>
      <c r="C94" s="2"/>
      <c r="D94" s="2"/>
      <c r="E94" s="2"/>
      <c r="F94" s="2"/>
      <c r="G94" s="2"/>
      <c r="H94" s="2"/>
      <c r="I94" s="21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11"/>
      <c r="C95" s="2"/>
      <c r="D95" s="2"/>
      <c r="E95" s="2"/>
      <c r="F95" s="2"/>
      <c r="G95" s="2"/>
      <c r="H95" s="2"/>
      <c r="I95" s="21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11"/>
      <c r="C96" s="2"/>
      <c r="D96" s="2"/>
      <c r="E96" s="2"/>
      <c r="F96" s="2"/>
      <c r="G96" s="2"/>
      <c r="H96" s="2"/>
      <c r="I96" s="21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11"/>
      <c r="C97" s="2"/>
      <c r="D97" s="2"/>
      <c r="E97" s="2"/>
      <c r="F97" s="2"/>
      <c r="G97" s="2"/>
      <c r="H97" s="2"/>
      <c r="I97" s="21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11"/>
      <c r="C98" s="2"/>
      <c r="D98" s="2"/>
      <c r="E98" s="2"/>
      <c r="F98" s="2"/>
      <c r="G98" s="2"/>
      <c r="H98" s="2"/>
      <c r="I98" s="21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11"/>
      <c r="C99" s="2"/>
      <c r="D99" s="2"/>
      <c r="E99" s="2"/>
      <c r="F99" s="2"/>
      <c r="G99" s="2"/>
      <c r="H99" s="2"/>
      <c r="I99" s="21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11"/>
      <c r="C100" s="2"/>
      <c r="D100" s="2"/>
      <c r="E100" s="2"/>
      <c r="F100" s="2"/>
      <c r="G100" s="2"/>
      <c r="H100" s="2"/>
      <c r="I100" s="21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11"/>
      <c r="C101" s="2"/>
      <c r="D101" s="2"/>
      <c r="E101" s="2"/>
      <c r="F101" s="2"/>
      <c r="G101" s="2"/>
      <c r="H101" s="2"/>
      <c r="I101" s="21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11"/>
      <c r="C102" s="2"/>
      <c r="D102" s="2"/>
      <c r="E102" s="2"/>
      <c r="F102" s="2"/>
      <c r="G102" s="2"/>
      <c r="H102" s="2"/>
      <c r="I102" s="21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11"/>
      <c r="C103" s="2"/>
      <c r="D103" s="2"/>
      <c r="E103" s="2"/>
      <c r="F103" s="2"/>
      <c r="G103" s="2"/>
      <c r="H103" s="2"/>
      <c r="I103" s="21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11"/>
      <c r="C104" s="2"/>
      <c r="D104" s="2"/>
      <c r="E104" s="2"/>
      <c r="F104" s="2"/>
      <c r="G104" s="2"/>
      <c r="H104" s="2"/>
      <c r="I104" s="21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11"/>
      <c r="C105" s="2"/>
      <c r="D105" s="2"/>
      <c r="E105" s="2"/>
      <c r="F105" s="2"/>
      <c r="G105" s="2"/>
      <c r="H105" s="2"/>
      <c r="I105" s="21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11"/>
      <c r="C106" s="2"/>
      <c r="D106" s="2"/>
      <c r="E106" s="2"/>
      <c r="F106" s="2"/>
      <c r="G106" s="2"/>
      <c r="H106" s="2"/>
      <c r="I106" s="21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11"/>
      <c r="C107" s="2"/>
      <c r="D107" s="2"/>
      <c r="E107" s="2"/>
      <c r="F107" s="2"/>
      <c r="G107" s="2"/>
      <c r="H107" s="2"/>
      <c r="I107" s="21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11"/>
      <c r="C108" s="2"/>
      <c r="D108" s="2"/>
      <c r="E108" s="2"/>
      <c r="F108" s="2"/>
      <c r="G108" s="2"/>
      <c r="H108" s="2"/>
      <c r="I108" s="21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11"/>
      <c r="C109" s="2"/>
      <c r="D109" s="2"/>
      <c r="E109" s="2"/>
      <c r="F109" s="2"/>
      <c r="G109" s="2"/>
      <c r="H109" s="2"/>
      <c r="I109" s="21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11"/>
      <c r="C110" s="2"/>
      <c r="D110" s="2"/>
      <c r="E110" s="2"/>
      <c r="F110" s="2"/>
      <c r="G110" s="2"/>
      <c r="H110" s="2"/>
      <c r="I110" s="21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11"/>
      <c r="C111" s="2"/>
      <c r="D111" s="2"/>
      <c r="E111" s="2"/>
      <c r="F111" s="2"/>
      <c r="G111" s="2"/>
      <c r="H111" s="2"/>
      <c r="I111" s="21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11"/>
      <c r="C112" s="2"/>
      <c r="D112" s="2"/>
      <c r="E112" s="2"/>
      <c r="F112" s="2"/>
      <c r="G112" s="2"/>
      <c r="H112" s="2"/>
      <c r="I112" s="21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11"/>
      <c r="C113" s="2"/>
      <c r="D113" s="2"/>
      <c r="E113" s="2"/>
      <c r="F113" s="2"/>
      <c r="G113" s="2"/>
      <c r="H113" s="2"/>
      <c r="I113" s="21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11"/>
      <c r="C114" s="2"/>
      <c r="D114" s="2"/>
      <c r="E114" s="2"/>
      <c r="F114" s="2"/>
      <c r="G114" s="2"/>
      <c r="H114" s="2"/>
      <c r="I114" s="21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11"/>
      <c r="C115" s="2"/>
      <c r="D115" s="2"/>
      <c r="E115" s="2"/>
      <c r="F115" s="2"/>
      <c r="G115" s="2"/>
      <c r="H115" s="2"/>
      <c r="I115" s="21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11"/>
      <c r="C116" s="2"/>
      <c r="D116" s="2"/>
      <c r="E116" s="2"/>
      <c r="F116" s="2"/>
      <c r="G116" s="2"/>
      <c r="H116" s="2"/>
      <c r="I116" s="21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11"/>
      <c r="C117" s="2"/>
      <c r="D117" s="2"/>
      <c r="E117" s="2"/>
      <c r="F117" s="2"/>
      <c r="G117" s="2"/>
      <c r="H117" s="2"/>
      <c r="I117" s="21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11"/>
      <c r="C118" s="2"/>
      <c r="D118" s="2"/>
      <c r="E118" s="2"/>
      <c r="F118" s="2"/>
      <c r="G118" s="2"/>
      <c r="H118" s="2"/>
      <c r="I118" s="21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11"/>
      <c r="C119" s="2"/>
      <c r="D119" s="2"/>
      <c r="E119" s="2"/>
      <c r="F119" s="2"/>
      <c r="G119" s="2"/>
      <c r="H119" s="2"/>
      <c r="I119" s="21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11"/>
      <c r="C120" s="2"/>
      <c r="D120" s="2"/>
      <c r="E120" s="2"/>
      <c r="F120" s="2"/>
      <c r="G120" s="2"/>
      <c r="H120" s="2"/>
      <c r="I120" s="21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11"/>
      <c r="C121" s="2"/>
      <c r="D121" s="2"/>
      <c r="E121" s="2"/>
      <c r="F121" s="2"/>
      <c r="G121" s="2"/>
      <c r="H121" s="2"/>
      <c r="I121" s="21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11"/>
      <c r="C122" s="2"/>
      <c r="D122" s="2"/>
      <c r="E122" s="2"/>
      <c r="F122" s="2"/>
      <c r="G122" s="2"/>
      <c r="H122" s="2"/>
      <c r="I122" s="21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11"/>
      <c r="C123" s="2"/>
      <c r="D123" s="2"/>
      <c r="E123" s="2"/>
      <c r="F123" s="2"/>
      <c r="G123" s="2"/>
      <c r="H123" s="2"/>
      <c r="I123" s="21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11"/>
      <c r="C124" s="2"/>
      <c r="D124" s="2"/>
      <c r="E124" s="2"/>
      <c r="F124" s="2"/>
      <c r="G124" s="2"/>
      <c r="H124" s="2"/>
      <c r="I124" s="21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11"/>
      <c r="C125" s="2"/>
      <c r="D125" s="2"/>
      <c r="E125" s="2"/>
      <c r="F125" s="2"/>
      <c r="G125" s="2"/>
      <c r="H125" s="2"/>
      <c r="I125" s="21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11"/>
      <c r="C126" s="2"/>
      <c r="D126" s="2"/>
      <c r="E126" s="2"/>
      <c r="F126" s="2"/>
      <c r="G126" s="2"/>
      <c r="H126" s="2"/>
      <c r="I126" s="21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11"/>
      <c r="C127" s="2"/>
      <c r="D127" s="2"/>
      <c r="E127" s="2"/>
      <c r="F127" s="2"/>
      <c r="G127" s="2"/>
      <c r="H127" s="2"/>
      <c r="I127" s="21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11"/>
      <c r="C128" s="2"/>
      <c r="D128" s="2"/>
      <c r="E128" s="2"/>
      <c r="F128" s="2"/>
      <c r="G128" s="2"/>
      <c r="H128" s="2"/>
      <c r="I128" s="21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11"/>
      <c r="C129" s="2"/>
      <c r="D129" s="2"/>
      <c r="E129" s="2"/>
      <c r="F129" s="2"/>
      <c r="G129" s="2"/>
      <c r="H129" s="2"/>
      <c r="I129" s="21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11"/>
      <c r="C130" s="2"/>
      <c r="D130" s="2"/>
      <c r="E130" s="2"/>
      <c r="F130" s="2"/>
      <c r="G130" s="2"/>
      <c r="H130" s="2"/>
      <c r="I130" s="21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11"/>
      <c r="C131" s="2"/>
      <c r="D131" s="2"/>
      <c r="E131" s="2"/>
      <c r="F131" s="2"/>
      <c r="G131" s="2"/>
      <c r="H131" s="2"/>
      <c r="I131" s="21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11"/>
      <c r="C132" s="2"/>
      <c r="D132" s="2"/>
      <c r="E132" s="2"/>
      <c r="F132" s="2"/>
      <c r="G132" s="2"/>
      <c r="H132" s="2"/>
      <c r="I132" s="21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11"/>
      <c r="C133" s="2"/>
      <c r="D133" s="2"/>
      <c r="E133" s="2"/>
      <c r="F133" s="2"/>
      <c r="G133" s="2"/>
      <c r="H133" s="2"/>
      <c r="I133" s="21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11"/>
      <c r="C134" s="2"/>
      <c r="D134" s="2"/>
      <c r="E134" s="2"/>
      <c r="F134" s="2"/>
      <c r="G134" s="2"/>
      <c r="H134" s="2"/>
      <c r="I134" s="21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11"/>
      <c r="C135" s="2"/>
      <c r="D135" s="2"/>
      <c r="E135" s="2"/>
      <c r="F135" s="2"/>
      <c r="G135" s="2"/>
      <c r="H135" s="2"/>
      <c r="I135" s="21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11"/>
      <c r="C136" s="2"/>
      <c r="D136" s="2"/>
      <c r="E136" s="2"/>
      <c r="F136" s="2"/>
      <c r="G136" s="2"/>
      <c r="H136" s="2"/>
      <c r="I136" s="21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11"/>
      <c r="C137" s="2"/>
      <c r="D137" s="2"/>
      <c r="E137" s="2"/>
      <c r="F137" s="2"/>
      <c r="G137" s="2"/>
      <c r="H137" s="2"/>
      <c r="I137" s="21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11"/>
      <c r="C138" s="2"/>
      <c r="D138" s="2"/>
      <c r="E138" s="2"/>
      <c r="F138" s="2"/>
      <c r="G138" s="2"/>
      <c r="H138" s="2"/>
      <c r="I138" s="21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11"/>
      <c r="C139" s="2"/>
      <c r="D139" s="2"/>
      <c r="E139" s="2"/>
      <c r="F139" s="2"/>
      <c r="G139" s="2"/>
      <c r="H139" s="2"/>
      <c r="I139" s="21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11"/>
      <c r="C140" s="2"/>
      <c r="D140" s="2"/>
      <c r="E140" s="2"/>
      <c r="F140" s="2"/>
      <c r="G140" s="2"/>
      <c r="H140" s="2"/>
      <c r="I140" s="21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11"/>
      <c r="C141" s="2"/>
      <c r="D141" s="2"/>
      <c r="E141" s="2"/>
      <c r="F141" s="2"/>
      <c r="G141" s="2"/>
      <c r="H141" s="2"/>
      <c r="I141" s="21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11"/>
      <c r="C142" s="2"/>
      <c r="D142" s="2"/>
      <c r="E142" s="2"/>
      <c r="F142" s="2"/>
      <c r="G142" s="2"/>
      <c r="H142" s="2"/>
      <c r="I142" s="21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11"/>
      <c r="C143" s="2"/>
      <c r="D143" s="2"/>
      <c r="E143" s="2"/>
      <c r="F143" s="2"/>
      <c r="G143" s="2"/>
      <c r="H143" s="2"/>
      <c r="I143" s="21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11"/>
      <c r="C144" s="2"/>
      <c r="D144" s="2"/>
      <c r="E144" s="2"/>
      <c r="F144" s="2"/>
      <c r="G144" s="2"/>
      <c r="H144" s="2"/>
      <c r="I144" s="21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11"/>
      <c r="C145" s="2"/>
      <c r="D145" s="2"/>
      <c r="E145" s="2"/>
      <c r="F145" s="2"/>
      <c r="G145" s="2"/>
      <c r="H145" s="2"/>
      <c r="I145" s="21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11"/>
      <c r="C146" s="2"/>
      <c r="D146" s="2"/>
      <c r="E146" s="2"/>
      <c r="F146" s="2"/>
      <c r="G146" s="2"/>
      <c r="H146" s="2"/>
      <c r="I146" s="21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11"/>
      <c r="C147" s="2"/>
      <c r="D147" s="2"/>
      <c r="E147" s="2"/>
      <c r="F147" s="2"/>
      <c r="G147" s="2"/>
      <c r="H147" s="2"/>
      <c r="I147" s="21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11"/>
      <c r="C148" s="2"/>
      <c r="D148" s="2"/>
      <c r="E148" s="2"/>
      <c r="F148" s="2"/>
      <c r="G148" s="2"/>
      <c r="H148" s="2"/>
      <c r="I148" s="21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11"/>
      <c r="C149" s="2"/>
      <c r="D149" s="2"/>
      <c r="E149" s="2"/>
      <c r="F149" s="2"/>
      <c r="G149" s="2"/>
      <c r="H149" s="2"/>
      <c r="I149" s="21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11"/>
      <c r="C150" s="2"/>
      <c r="D150" s="2"/>
      <c r="E150" s="2"/>
      <c r="F150" s="2"/>
      <c r="G150" s="2"/>
      <c r="H150" s="2"/>
      <c r="I150" s="21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11"/>
      <c r="C151" s="2"/>
      <c r="D151" s="2"/>
      <c r="E151" s="2"/>
      <c r="F151" s="2"/>
      <c r="G151" s="2"/>
      <c r="H151" s="2"/>
      <c r="I151" s="21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11"/>
      <c r="C152" s="2"/>
      <c r="D152" s="2"/>
      <c r="E152" s="2"/>
      <c r="F152" s="2"/>
      <c r="G152" s="2"/>
      <c r="H152" s="2"/>
      <c r="I152" s="21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11"/>
      <c r="C153" s="2"/>
      <c r="D153" s="2"/>
      <c r="E153" s="2"/>
      <c r="F153" s="2"/>
      <c r="G153" s="2"/>
      <c r="H153" s="2"/>
      <c r="I153" s="21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11"/>
      <c r="C154" s="2"/>
      <c r="D154" s="2"/>
      <c r="E154" s="2"/>
      <c r="F154" s="2"/>
      <c r="G154" s="2"/>
      <c r="H154" s="2"/>
      <c r="I154" s="21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11"/>
      <c r="C155" s="2"/>
      <c r="D155" s="2"/>
      <c r="E155" s="2"/>
      <c r="F155" s="2"/>
      <c r="G155" s="2"/>
      <c r="H155" s="2"/>
      <c r="I155" s="21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11"/>
      <c r="C156" s="2"/>
      <c r="D156" s="2"/>
      <c r="E156" s="2"/>
      <c r="F156" s="2"/>
      <c r="G156" s="2"/>
      <c r="H156" s="2"/>
      <c r="I156" s="21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11"/>
      <c r="C157" s="2"/>
      <c r="D157" s="2"/>
      <c r="E157" s="2"/>
      <c r="F157" s="2"/>
      <c r="G157" s="2"/>
      <c r="H157" s="2"/>
      <c r="I157" s="21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11"/>
      <c r="C158" s="2"/>
      <c r="D158" s="2"/>
      <c r="E158" s="2"/>
      <c r="F158" s="2"/>
      <c r="G158" s="2"/>
      <c r="H158" s="2"/>
      <c r="I158" s="21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11"/>
      <c r="C159" s="2"/>
      <c r="D159" s="2"/>
      <c r="E159" s="2"/>
      <c r="F159" s="2"/>
      <c r="G159" s="2"/>
      <c r="H159" s="2"/>
      <c r="I159" s="21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11"/>
      <c r="C160" s="2"/>
      <c r="D160" s="2"/>
      <c r="E160" s="2"/>
      <c r="F160" s="2"/>
      <c r="G160" s="2"/>
      <c r="H160" s="2"/>
      <c r="I160" s="21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11"/>
      <c r="C161" s="2"/>
      <c r="D161" s="2"/>
      <c r="E161" s="2"/>
      <c r="F161" s="2"/>
      <c r="G161" s="2"/>
      <c r="H161" s="2"/>
      <c r="I161" s="21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11"/>
      <c r="C162" s="2"/>
      <c r="D162" s="2"/>
      <c r="E162" s="2"/>
      <c r="F162" s="2"/>
      <c r="G162" s="2"/>
      <c r="H162" s="2"/>
      <c r="I162" s="21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11"/>
      <c r="C163" s="2"/>
      <c r="D163" s="2"/>
      <c r="E163" s="2"/>
      <c r="F163" s="2"/>
      <c r="G163" s="2"/>
      <c r="H163" s="2"/>
      <c r="I163" s="21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11"/>
      <c r="C164" s="2"/>
      <c r="D164" s="2"/>
      <c r="E164" s="2"/>
      <c r="F164" s="2"/>
      <c r="G164" s="2"/>
      <c r="H164" s="2"/>
      <c r="I164" s="21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11"/>
      <c r="C165" s="2"/>
      <c r="D165" s="2"/>
      <c r="E165" s="2"/>
      <c r="F165" s="2"/>
      <c r="G165" s="2"/>
      <c r="H165" s="2"/>
      <c r="I165" s="21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11"/>
      <c r="C166" s="2"/>
      <c r="D166" s="2"/>
      <c r="E166" s="2"/>
      <c r="F166" s="2"/>
      <c r="G166" s="2"/>
      <c r="H166" s="2"/>
      <c r="I166" s="21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11"/>
      <c r="C167" s="2"/>
      <c r="D167" s="2"/>
      <c r="E167" s="2"/>
      <c r="F167" s="2"/>
      <c r="G167" s="2"/>
      <c r="H167" s="2"/>
      <c r="I167" s="21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11"/>
      <c r="C168" s="2"/>
      <c r="D168" s="2"/>
      <c r="E168" s="2"/>
      <c r="F168" s="2"/>
      <c r="G168" s="2"/>
      <c r="H168" s="2"/>
      <c r="I168" s="21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11"/>
      <c r="C169" s="2"/>
      <c r="D169" s="2"/>
      <c r="E169" s="2"/>
      <c r="F169" s="2"/>
      <c r="G169" s="2"/>
      <c r="H169" s="2"/>
      <c r="I169" s="21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11"/>
      <c r="C170" s="2"/>
      <c r="D170" s="2"/>
      <c r="E170" s="2"/>
      <c r="F170" s="2"/>
      <c r="G170" s="2"/>
      <c r="H170" s="2"/>
      <c r="I170" s="21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11"/>
      <c r="C171" s="2"/>
      <c r="D171" s="2"/>
      <c r="E171" s="2"/>
      <c r="F171" s="2"/>
      <c r="G171" s="2"/>
      <c r="H171" s="2"/>
      <c r="I171" s="21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11"/>
      <c r="C172" s="2"/>
      <c r="D172" s="2"/>
      <c r="E172" s="2"/>
      <c r="F172" s="2"/>
      <c r="G172" s="2"/>
      <c r="H172" s="2"/>
      <c r="I172" s="21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11"/>
      <c r="C173" s="2"/>
      <c r="D173" s="2"/>
      <c r="E173" s="2"/>
      <c r="F173" s="2"/>
      <c r="G173" s="2"/>
      <c r="H173" s="2"/>
      <c r="I173" s="21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11"/>
      <c r="C174" s="2"/>
      <c r="D174" s="2"/>
      <c r="E174" s="2"/>
      <c r="F174" s="2"/>
      <c r="G174" s="2"/>
      <c r="H174" s="2"/>
      <c r="I174" s="21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11"/>
      <c r="C175" s="2"/>
      <c r="D175" s="2"/>
      <c r="E175" s="2"/>
      <c r="F175" s="2"/>
      <c r="G175" s="2"/>
      <c r="H175" s="2"/>
      <c r="I175" s="21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11"/>
      <c r="C176" s="2"/>
      <c r="D176" s="2"/>
      <c r="E176" s="2"/>
      <c r="F176" s="2"/>
      <c r="G176" s="2"/>
      <c r="H176" s="2"/>
      <c r="I176" s="21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11"/>
      <c r="C177" s="2"/>
      <c r="D177" s="2"/>
      <c r="E177" s="2"/>
      <c r="F177" s="2"/>
      <c r="G177" s="2"/>
      <c r="H177" s="2"/>
      <c r="I177" s="21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11"/>
      <c r="C178" s="2"/>
      <c r="D178" s="2"/>
      <c r="E178" s="2"/>
      <c r="F178" s="2"/>
      <c r="G178" s="2"/>
      <c r="H178" s="2"/>
      <c r="I178" s="21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11"/>
      <c r="C179" s="2"/>
      <c r="D179" s="2"/>
      <c r="E179" s="2"/>
      <c r="F179" s="2"/>
      <c r="G179" s="2"/>
      <c r="H179" s="2"/>
      <c r="I179" s="21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11"/>
      <c r="C180" s="2"/>
      <c r="D180" s="2"/>
      <c r="E180" s="2"/>
      <c r="F180" s="2"/>
      <c r="G180" s="2"/>
      <c r="H180" s="2"/>
      <c r="I180" s="21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11"/>
      <c r="C181" s="2"/>
      <c r="D181" s="2"/>
      <c r="E181" s="2"/>
      <c r="F181" s="2"/>
      <c r="G181" s="2"/>
      <c r="H181" s="2"/>
      <c r="I181" s="21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11"/>
      <c r="C182" s="2"/>
      <c r="D182" s="2"/>
      <c r="E182" s="2"/>
      <c r="F182" s="2"/>
      <c r="G182" s="2"/>
      <c r="H182" s="2"/>
      <c r="I182" s="21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11"/>
      <c r="C183" s="2"/>
      <c r="D183" s="2"/>
      <c r="E183" s="2"/>
      <c r="F183" s="2"/>
      <c r="G183" s="2"/>
      <c r="H183" s="2"/>
      <c r="I183" s="21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11"/>
      <c r="C184" s="2"/>
      <c r="D184" s="2"/>
      <c r="E184" s="2"/>
      <c r="F184" s="2"/>
      <c r="G184" s="2"/>
      <c r="H184" s="2"/>
      <c r="I184" s="21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11"/>
      <c r="C185" s="2"/>
      <c r="D185" s="2"/>
      <c r="E185" s="2"/>
      <c r="F185" s="2"/>
      <c r="G185" s="2"/>
      <c r="H185" s="2"/>
      <c r="I185" s="21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11"/>
      <c r="C186" s="2"/>
      <c r="D186" s="2"/>
      <c r="E186" s="2"/>
      <c r="F186" s="2"/>
      <c r="G186" s="2"/>
      <c r="H186" s="2"/>
      <c r="I186" s="21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11"/>
      <c r="C187" s="2"/>
      <c r="D187" s="2"/>
      <c r="E187" s="2"/>
      <c r="F187" s="2"/>
      <c r="G187" s="2"/>
      <c r="H187" s="2"/>
      <c r="I187" s="21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11"/>
      <c r="C188" s="2"/>
      <c r="D188" s="2"/>
      <c r="E188" s="2"/>
      <c r="F188" s="2"/>
      <c r="G188" s="2"/>
      <c r="H188" s="2"/>
      <c r="I188" s="21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11"/>
      <c r="C189" s="2"/>
      <c r="D189" s="2"/>
      <c r="E189" s="2"/>
      <c r="F189" s="2"/>
      <c r="G189" s="2"/>
      <c r="H189" s="2"/>
      <c r="I189" s="21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11"/>
      <c r="C190" s="2"/>
      <c r="D190" s="2"/>
      <c r="E190" s="2"/>
      <c r="F190" s="2"/>
      <c r="G190" s="2"/>
      <c r="H190" s="2"/>
      <c r="I190" s="21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11"/>
      <c r="C191" s="2"/>
      <c r="D191" s="2"/>
      <c r="E191" s="2"/>
      <c r="F191" s="2"/>
      <c r="G191" s="2"/>
      <c r="H191" s="2"/>
      <c r="I191" s="21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11"/>
      <c r="C192" s="2"/>
      <c r="D192" s="2"/>
      <c r="E192" s="2"/>
      <c r="F192" s="2"/>
      <c r="G192" s="2"/>
      <c r="H192" s="2"/>
      <c r="I192" s="21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11"/>
      <c r="C193" s="2"/>
      <c r="D193" s="2"/>
      <c r="E193" s="2"/>
      <c r="F193" s="2"/>
      <c r="G193" s="2"/>
      <c r="H193" s="2"/>
      <c r="I193" s="21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11"/>
      <c r="C194" s="2"/>
      <c r="D194" s="2"/>
      <c r="E194" s="2"/>
      <c r="F194" s="2"/>
      <c r="G194" s="2"/>
      <c r="H194" s="2"/>
      <c r="I194" s="21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11"/>
      <c r="C195" s="2"/>
      <c r="D195" s="2"/>
      <c r="E195" s="2"/>
      <c r="F195" s="2"/>
      <c r="G195" s="2"/>
      <c r="H195" s="2"/>
      <c r="I195" s="21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11"/>
      <c r="C196" s="2"/>
      <c r="D196" s="2"/>
      <c r="E196" s="2"/>
      <c r="F196" s="2"/>
      <c r="G196" s="2"/>
      <c r="H196" s="2"/>
      <c r="I196" s="21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11"/>
      <c r="C197" s="2"/>
      <c r="D197" s="2"/>
      <c r="E197" s="2"/>
      <c r="F197" s="2"/>
      <c r="G197" s="2"/>
      <c r="H197" s="2"/>
      <c r="I197" s="21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11"/>
      <c r="C198" s="2"/>
      <c r="D198" s="2"/>
      <c r="E198" s="2"/>
      <c r="F198" s="2"/>
      <c r="G198" s="2"/>
      <c r="H198" s="2"/>
      <c r="I198" s="21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11"/>
      <c r="C199" s="2"/>
      <c r="D199" s="2"/>
      <c r="E199" s="2"/>
      <c r="F199" s="2"/>
      <c r="G199" s="2"/>
      <c r="H199" s="2"/>
      <c r="I199" s="21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11"/>
      <c r="C200" s="2"/>
      <c r="D200" s="2"/>
      <c r="E200" s="2"/>
      <c r="F200" s="2"/>
      <c r="G200" s="2"/>
      <c r="H200" s="2"/>
      <c r="I200" s="21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11"/>
      <c r="C201" s="2"/>
      <c r="D201" s="2"/>
      <c r="E201" s="2"/>
      <c r="F201" s="2"/>
      <c r="G201" s="2"/>
      <c r="H201" s="2"/>
      <c r="I201" s="21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11"/>
      <c r="C202" s="2"/>
      <c r="D202" s="2"/>
      <c r="E202" s="2"/>
      <c r="F202" s="2"/>
      <c r="G202" s="2"/>
      <c r="H202" s="2"/>
      <c r="I202" s="21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11"/>
      <c r="C203" s="2"/>
      <c r="D203" s="2"/>
      <c r="E203" s="2"/>
      <c r="F203" s="2"/>
      <c r="G203" s="2"/>
      <c r="H203" s="2"/>
      <c r="I203" s="21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11"/>
      <c r="C204" s="2"/>
      <c r="D204" s="2"/>
      <c r="E204" s="2"/>
      <c r="F204" s="2"/>
      <c r="G204" s="2"/>
      <c r="H204" s="2"/>
      <c r="I204" s="21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11"/>
      <c r="C205" s="2"/>
      <c r="D205" s="2"/>
      <c r="E205" s="2"/>
      <c r="F205" s="2"/>
      <c r="G205" s="2"/>
      <c r="H205" s="2"/>
      <c r="I205" s="21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11"/>
      <c r="C206" s="2"/>
      <c r="D206" s="2"/>
      <c r="E206" s="2"/>
      <c r="F206" s="2"/>
      <c r="G206" s="2"/>
      <c r="H206" s="2"/>
      <c r="I206" s="21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11"/>
      <c r="C207" s="2"/>
      <c r="D207" s="2"/>
      <c r="E207" s="2"/>
      <c r="F207" s="2"/>
      <c r="G207" s="2"/>
      <c r="H207" s="2"/>
      <c r="I207" s="21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11"/>
      <c r="C208" s="2"/>
      <c r="D208" s="2"/>
      <c r="E208" s="2"/>
      <c r="F208" s="2"/>
      <c r="G208" s="2"/>
      <c r="H208" s="2"/>
      <c r="I208" s="21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11"/>
      <c r="C209" s="2"/>
      <c r="D209" s="2"/>
      <c r="E209" s="2"/>
      <c r="F209" s="2"/>
      <c r="G209" s="2"/>
      <c r="H209" s="2"/>
      <c r="I209" s="21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11"/>
      <c r="C210" s="2"/>
      <c r="D210" s="2"/>
      <c r="E210" s="2"/>
      <c r="F210" s="2"/>
      <c r="G210" s="2"/>
      <c r="H210" s="2"/>
      <c r="I210" s="21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11"/>
      <c r="C211" s="2"/>
      <c r="D211" s="2"/>
      <c r="E211" s="2"/>
      <c r="F211" s="2"/>
      <c r="G211" s="2"/>
      <c r="H211" s="2"/>
      <c r="I211" s="21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11"/>
      <c r="C212" s="2"/>
      <c r="D212" s="2"/>
      <c r="E212" s="2"/>
      <c r="F212" s="2"/>
      <c r="G212" s="2"/>
      <c r="H212" s="2"/>
      <c r="I212" s="21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11"/>
      <c r="C213" s="2"/>
      <c r="D213" s="2"/>
      <c r="E213" s="2"/>
      <c r="F213" s="2"/>
      <c r="G213" s="2"/>
      <c r="H213" s="2"/>
      <c r="I213" s="21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11"/>
      <c r="C214" s="2"/>
      <c r="D214" s="2"/>
      <c r="E214" s="2"/>
      <c r="F214" s="2"/>
      <c r="G214" s="2"/>
      <c r="H214" s="2"/>
      <c r="I214" s="21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11"/>
      <c r="C215" s="2"/>
      <c r="D215" s="2"/>
      <c r="E215" s="2"/>
      <c r="F215" s="2"/>
      <c r="G215" s="2"/>
      <c r="H215" s="2"/>
      <c r="I215" s="21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11"/>
      <c r="C216" s="2"/>
      <c r="D216" s="2"/>
      <c r="E216" s="2"/>
      <c r="F216" s="2"/>
      <c r="G216" s="2"/>
      <c r="H216" s="2"/>
      <c r="I216" s="21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11"/>
      <c r="C217" s="2"/>
      <c r="D217" s="2"/>
      <c r="E217" s="2"/>
      <c r="F217" s="2"/>
      <c r="G217" s="2"/>
      <c r="H217" s="2"/>
      <c r="I217" s="21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11"/>
      <c r="C218" s="2"/>
      <c r="D218" s="2"/>
      <c r="E218" s="2"/>
      <c r="F218" s="2"/>
      <c r="G218" s="2"/>
      <c r="H218" s="2"/>
      <c r="I218" s="21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11"/>
      <c r="C219" s="2"/>
      <c r="D219" s="2"/>
      <c r="E219" s="2"/>
      <c r="F219" s="2"/>
      <c r="G219" s="2"/>
      <c r="H219" s="2"/>
      <c r="I219" s="21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11"/>
      <c r="C220" s="2"/>
      <c r="D220" s="2"/>
      <c r="E220" s="2"/>
      <c r="F220" s="2"/>
      <c r="G220" s="2"/>
      <c r="H220" s="2"/>
      <c r="I220" s="21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11"/>
      <c r="C221" s="2"/>
      <c r="D221" s="2"/>
      <c r="E221" s="2"/>
      <c r="F221" s="2"/>
      <c r="G221" s="2"/>
      <c r="H221" s="2"/>
      <c r="I221" s="21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11"/>
      <c r="C222" s="2"/>
      <c r="D222" s="2"/>
      <c r="E222" s="2"/>
      <c r="F222" s="2"/>
      <c r="G222" s="2"/>
      <c r="H222" s="2"/>
      <c r="I222" s="21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11"/>
      <c r="C223" s="2"/>
      <c r="D223" s="2"/>
      <c r="E223" s="2"/>
      <c r="F223" s="2"/>
      <c r="G223" s="2"/>
      <c r="H223" s="2"/>
      <c r="I223" s="21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11"/>
      <c r="C224" s="2"/>
      <c r="D224" s="2"/>
      <c r="E224" s="2"/>
      <c r="F224" s="2"/>
      <c r="G224" s="2"/>
      <c r="H224" s="2"/>
      <c r="I224" s="21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11"/>
      <c r="C225" s="2"/>
      <c r="D225" s="2"/>
      <c r="E225" s="2"/>
      <c r="F225" s="2"/>
      <c r="G225" s="2"/>
      <c r="H225" s="2"/>
      <c r="I225" s="21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11"/>
      <c r="C226" s="2"/>
      <c r="D226" s="2"/>
      <c r="E226" s="2"/>
      <c r="F226" s="2"/>
      <c r="G226" s="2"/>
      <c r="H226" s="2"/>
      <c r="I226" s="21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11"/>
      <c r="C227" s="2"/>
      <c r="D227" s="2"/>
      <c r="E227" s="2"/>
      <c r="F227" s="2"/>
      <c r="G227" s="2"/>
      <c r="H227" s="2"/>
      <c r="I227" s="21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11"/>
      <c r="C228" s="2"/>
      <c r="D228" s="2"/>
      <c r="E228" s="2"/>
      <c r="F228" s="2"/>
      <c r="G228" s="2"/>
      <c r="H228" s="2"/>
      <c r="I228" s="21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11"/>
      <c r="C229" s="2"/>
      <c r="D229" s="2"/>
      <c r="E229" s="2"/>
      <c r="F229" s="2"/>
      <c r="G229" s="2"/>
      <c r="H229" s="2"/>
      <c r="I229" s="21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11"/>
      <c r="C230" s="2"/>
      <c r="D230" s="2"/>
      <c r="E230" s="2"/>
      <c r="F230" s="2"/>
      <c r="G230" s="2"/>
      <c r="H230" s="2"/>
      <c r="I230" s="21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11"/>
      <c r="C231" s="2"/>
      <c r="D231" s="2"/>
      <c r="E231" s="2"/>
      <c r="F231" s="2"/>
      <c r="G231" s="2"/>
      <c r="H231" s="2"/>
      <c r="I231" s="21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11"/>
      <c r="C232" s="2"/>
      <c r="D232" s="2"/>
      <c r="E232" s="2"/>
      <c r="F232" s="2"/>
      <c r="G232" s="2"/>
      <c r="H232" s="2"/>
      <c r="I232" s="21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11"/>
      <c r="C233" s="2"/>
      <c r="D233" s="2"/>
      <c r="E233" s="2"/>
      <c r="F233" s="2"/>
      <c r="G233" s="2"/>
      <c r="H233" s="2"/>
      <c r="I233" s="21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11"/>
      <c r="C234" s="2"/>
      <c r="D234" s="2"/>
      <c r="E234" s="2"/>
      <c r="F234" s="2"/>
      <c r="G234" s="2"/>
      <c r="H234" s="2"/>
      <c r="I234" s="21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11"/>
      <c r="C235" s="2"/>
      <c r="D235" s="2"/>
      <c r="E235" s="2"/>
      <c r="F235" s="2"/>
      <c r="G235" s="2"/>
      <c r="H235" s="2"/>
      <c r="I235" s="21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11"/>
      <c r="C236" s="2"/>
      <c r="D236" s="2"/>
      <c r="E236" s="2"/>
      <c r="F236" s="2"/>
      <c r="G236" s="2"/>
      <c r="H236" s="2"/>
      <c r="I236" s="21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11"/>
      <c r="C237" s="2"/>
      <c r="D237" s="2"/>
      <c r="E237" s="2"/>
      <c r="F237" s="2"/>
      <c r="G237" s="2"/>
      <c r="H237" s="2"/>
      <c r="I237" s="21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11"/>
      <c r="C238" s="2"/>
      <c r="D238" s="2"/>
      <c r="E238" s="2"/>
      <c r="F238" s="2"/>
      <c r="G238" s="2"/>
      <c r="H238" s="2"/>
      <c r="I238" s="21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11"/>
      <c r="C239" s="2"/>
      <c r="D239" s="2"/>
      <c r="E239" s="2"/>
      <c r="F239" s="2"/>
      <c r="G239" s="2"/>
      <c r="H239" s="2"/>
      <c r="I239" s="21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11"/>
      <c r="C240" s="2"/>
      <c r="D240" s="2"/>
      <c r="E240" s="2"/>
      <c r="F240" s="2"/>
      <c r="G240" s="2"/>
      <c r="H240" s="2"/>
      <c r="I240" s="21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11"/>
      <c r="C241" s="2"/>
      <c r="D241" s="2"/>
      <c r="E241" s="2"/>
      <c r="F241" s="2"/>
      <c r="G241" s="2"/>
      <c r="H241" s="2"/>
      <c r="I241" s="21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11"/>
      <c r="C242" s="2"/>
      <c r="D242" s="2"/>
      <c r="E242" s="2"/>
      <c r="F242" s="2"/>
      <c r="G242" s="2"/>
      <c r="H242" s="2"/>
      <c r="I242" s="21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11"/>
      <c r="C243" s="2"/>
      <c r="D243" s="2"/>
      <c r="E243" s="2"/>
      <c r="F243" s="2"/>
      <c r="G243" s="2"/>
      <c r="H243" s="2"/>
      <c r="I243" s="21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11"/>
      <c r="C244" s="2"/>
      <c r="D244" s="2"/>
      <c r="E244" s="2"/>
      <c r="F244" s="2"/>
      <c r="G244" s="2"/>
      <c r="H244" s="2"/>
      <c r="I244" s="21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11"/>
      <c r="C245" s="2"/>
      <c r="D245" s="2"/>
      <c r="E245" s="2"/>
      <c r="F245" s="2"/>
      <c r="G245" s="2"/>
      <c r="H245" s="2"/>
      <c r="I245" s="21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11"/>
      <c r="C246" s="2"/>
      <c r="D246" s="2"/>
      <c r="E246" s="2"/>
      <c r="F246" s="2"/>
      <c r="G246" s="2"/>
      <c r="H246" s="2"/>
      <c r="I246" s="21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11"/>
      <c r="C247" s="2"/>
      <c r="D247" s="2"/>
      <c r="E247" s="2"/>
      <c r="F247" s="2"/>
      <c r="G247" s="2"/>
      <c r="H247" s="2"/>
      <c r="I247" s="21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11"/>
      <c r="C248" s="2"/>
      <c r="D248" s="2"/>
      <c r="E248" s="2"/>
      <c r="F248" s="2"/>
      <c r="G248" s="2"/>
      <c r="H248" s="2"/>
      <c r="I248" s="21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11"/>
      <c r="C249" s="2"/>
      <c r="D249" s="2"/>
      <c r="E249" s="2"/>
      <c r="F249" s="2"/>
      <c r="G249" s="2"/>
      <c r="H249" s="2"/>
      <c r="I249" s="21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11"/>
      <c r="C250" s="2"/>
      <c r="D250" s="2"/>
      <c r="E250" s="2"/>
      <c r="F250" s="2"/>
      <c r="G250" s="2"/>
      <c r="H250" s="2"/>
      <c r="I250" s="21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11"/>
      <c r="C251" s="2"/>
      <c r="D251" s="2"/>
      <c r="E251" s="2"/>
      <c r="F251" s="2"/>
      <c r="G251" s="2"/>
      <c r="H251" s="2"/>
      <c r="I251" s="21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11"/>
      <c r="C252" s="2"/>
      <c r="D252" s="2"/>
      <c r="E252" s="2"/>
      <c r="F252" s="2"/>
      <c r="G252" s="2"/>
      <c r="H252" s="2"/>
      <c r="I252" s="21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11"/>
      <c r="C253" s="2"/>
      <c r="D253" s="2"/>
      <c r="E253" s="2"/>
      <c r="F253" s="2"/>
      <c r="G253" s="2"/>
      <c r="H253" s="2"/>
      <c r="I253" s="21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11"/>
      <c r="C254" s="2"/>
      <c r="D254" s="2"/>
      <c r="E254" s="2"/>
      <c r="F254" s="2"/>
      <c r="G254" s="2"/>
      <c r="H254" s="2"/>
      <c r="I254" s="21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11"/>
      <c r="C255" s="2"/>
      <c r="D255" s="2"/>
      <c r="E255" s="2"/>
      <c r="F255" s="2"/>
      <c r="G255" s="2"/>
      <c r="H255" s="2"/>
      <c r="I255" s="21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11"/>
      <c r="C256" s="2"/>
      <c r="D256" s="2"/>
      <c r="E256" s="2"/>
      <c r="F256" s="2"/>
      <c r="G256" s="2"/>
      <c r="H256" s="2"/>
      <c r="I256" s="21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11"/>
      <c r="C257" s="2"/>
      <c r="D257" s="2"/>
      <c r="E257" s="2"/>
      <c r="F257" s="2"/>
      <c r="G257" s="2"/>
      <c r="H257" s="2"/>
      <c r="I257" s="21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11"/>
      <c r="C258" s="2"/>
      <c r="D258" s="2"/>
      <c r="E258" s="2"/>
      <c r="F258" s="2"/>
      <c r="G258" s="2"/>
      <c r="H258" s="2"/>
      <c r="I258" s="21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11"/>
      <c r="C259" s="2"/>
      <c r="D259" s="2"/>
      <c r="E259" s="2"/>
      <c r="F259" s="2"/>
      <c r="G259" s="2"/>
      <c r="H259" s="2"/>
      <c r="I259" s="21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11"/>
      <c r="C260" s="2"/>
      <c r="D260" s="2"/>
      <c r="E260" s="2"/>
      <c r="F260" s="2"/>
      <c r="G260" s="2"/>
      <c r="H260" s="2"/>
      <c r="I260" s="21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11"/>
      <c r="C261" s="2"/>
      <c r="D261" s="2"/>
      <c r="E261" s="2"/>
      <c r="F261" s="2"/>
      <c r="G261" s="2"/>
      <c r="H261" s="2"/>
      <c r="I261" s="21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11"/>
      <c r="C262" s="2"/>
      <c r="D262" s="2"/>
      <c r="E262" s="2"/>
      <c r="F262" s="2"/>
      <c r="G262" s="2"/>
      <c r="H262" s="2"/>
      <c r="I262" s="21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11"/>
      <c r="C263" s="2"/>
      <c r="D263" s="2"/>
      <c r="E263" s="2"/>
      <c r="F263" s="2"/>
      <c r="G263" s="2"/>
      <c r="H263" s="2"/>
      <c r="I263" s="21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11"/>
      <c r="C264" s="2"/>
      <c r="D264" s="2"/>
      <c r="E264" s="2"/>
      <c r="F264" s="2"/>
      <c r="G264" s="2"/>
      <c r="H264" s="2"/>
      <c r="I264" s="21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11"/>
      <c r="C265" s="2"/>
      <c r="D265" s="2"/>
      <c r="E265" s="2"/>
      <c r="F265" s="2"/>
      <c r="G265" s="2"/>
      <c r="H265" s="2"/>
      <c r="I265" s="21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11"/>
      <c r="C266" s="2"/>
      <c r="D266" s="2"/>
      <c r="E266" s="2"/>
      <c r="F266" s="2"/>
      <c r="G266" s="2"/>
      <c r="H266" s="2"/>
      <c r="I266" s="21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11"/>
      <c r="C267" s="2"/>
      <c r="D267" s="2"/>
      <c r="E267" s="2"/>
      <c r="F267" s="2"/>
      <c r="G267" s="2"/>
      <c r="H267" s="2"/>
      <c r="I267" s="21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11"/>
      <c r="C268" s="2"/>
      <c r="D268" s="2"/>
      <c r="E268" s="2"/>
      <c r="F268" s="2"/>
      <c r="G268" s="2"/>
      <c r="H268" s="2"/>
      <c r="I268" s="21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11"/>
      <c r="C269" s="2"/>
      <c r="D269" s="2"/>
      <c r="E269" s="2"/>
      <c r="F269" s="2"/>
      <c r="G269" s="2"/>
      <c r="H269" s="2"/>
      <c r="I269" s="21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11"/>
      <c r="C270" s="2"/>
      <c r="D270" s="2"/>
      <c r="E270" s="2"/>
      <c r="F270" s="2"/>
      <c r="G270" s="2"/>
      <c r="H270" s="2"/>
      <c r="I270" s="21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11"/>
      <c r="C271" s="2"/>
      <c r="D271" s="2"/>
      <c r="E271" s="2"/>
      <c r="F271" s="2"/>
      <c r="G271" s="2"/>
      <c r="H271" s="2"/>
      <c r="I271" s="21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11"/>
      <c r="C272" s="2"/>
      <c r="D272" s="2"/>
      <c r="E272" s="2"/>
      <c r="F272" s="2"/>
      <c r="G272" s="2"/>
      <c r="H272" s="2"/>
      <c r="I272" s="21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11"/>
      <c r="C273" s="2"/>
      <c r="D273" s="2"/>
      <c r="E273" s="2"/>
      <c r="F273" s="2"/>
      <c r="G273" s="2"/>
      <c r="H273" s="2"/>
      <c r="I273" s="21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11"/>
      <c r="C274" s="2"/>
      <c r="D274" s="2"/>
      <c r="E274" s="2"/>
      <c r="F274" s="2"/>
      <c r="G274" s="2"/>
      <c r="H274" s="2"/>
      <c r="I274" s="21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11"/>
      <c r="C275" s="2"/>
      <c r="D275" s="2"/>
      <c r="E275" s="2"/>
      <c r="F275" s="2"/>
      <c r="G275" s="2"/>
      <c r="H275" s="2"/>
      <c r="I275" s="21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11"/>
      <c r="C276" s="2"/>
      <c r="D276" s="2"/>
      <c r="E276" s="2"/>
      <c r="F276" s="2"/>
      <c r="G276" s="2"/>
      <c r="H276" s="2"/>
      <c r="I276" s="21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11"/>
      <c r="C277" s="2"/>
      <c r="D277" s="2"/>
      <c r="E277" s="2"/>
      <c r="F277" s="2"/>
      <c r="G277" s="2"/>
      <c r="H277" s="2"/>
      <c r="I277" s="21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11"/>
      <c r="C278" s="2"/>
      <c r="D278" s="2"/>
      <c r="E278" s="2"/>
      <c r="F278" s="2"/>
      <c r="G278" s="2"/>
      <c r="H278" s="2"/>
      <c r="I278" s="21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11"/>
      <c r="C279" s="2"/>
      <c r="D279" s="2"/>
      <c r="E279" s="2"/>
      <c r="F279" s="2"/>
      <c r="G279" s="2"/>
      <c r="H279" s="2"/>
      <c r="I279" s="21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11"/>
      <c r="C280" s="2"/>
      <c r="D280" s="2"/>
      <c r="E280" s="2"/>
      <c r="F280" s="2"/>
      <c r="G280" s="2"/>
      <c r="H280" s="2"/>
      <c r="I280" s="21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11"/>
      <c r="C281" s="2"/>
      <c r="D281" s="2"/>
      <c r="E281" s="2"/>
      <c r="F281" s="2"/>
      <c r="G281" s="2"/>
      <c r="H281" s="2"/>
      <c r="I281" s="21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11"/>
      <c r="C282" s="2"/>
      <c r="D282" s="2"/>
      <c r="E282" s="2"/>
      <c r="F282" s="2"/>
      <c r="G282" s="2"/>
      <c r="H282" s="2"/>
      <c r="I282" s="21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11"/>
      <c r="C283" s="2"/>
      <c r="D283" s="2"/>
      <c r="E283" s="2"/>
      <c r="F283" s="2"/>
      <c r="G283" s="2"/>
      <c r="H283" s="2"/>
      <c r="I283" s="21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11"/>
      <c r="C284" s="2"/>
      <c r="D284" s="2"/>
      <c r="E284" s="2"/>
      <c r="F284" s="2"/>
      <c r="G284" s="2"/>
      <c r="H284" s="2"/>
      <c r="I284" s="21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11"/>
      <c r="C285" s="2"/>
      <c r="D285" s="2"/>
      <c r="E285" s="2"/>
      <c r="F285" s="2"/>
      <c r="G285" s="2"/>
      <c r="H285" s="2"/>
      <c r="I285" s="21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11"/>
      <c r="C286" s="2"/>
      <c r="D286" s="2"/>
      <c r="E286" s="2"/>
      <c r="F286" s="2"/>
      <c r="G286" s="2"/>
      <c r="H286" s="2"/>
      <c r="I286" s="21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11"/>
      <c r="C287" s="2"/>
      <c r="D287" s="2"/>
      <c r="E287" s="2"/>
      <c r="F287" s="2"/>
      <c r="G287" s="2"/>
      <c r="H287" s="2"/>
      <c r="I287" s="21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11"/>
      <c r="C288" s="2"/>
      <c r="D288" s="2"/>
      <c r="E288" s="2"/>
      <c r="F288" s="2"/>
      <c r="G288" s="2"/>
      <c r="H288" s="2"/>
      <c r="I288" s="21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11"/>
      <c r="C289" s="2"/>
      <c r="D289" s="2"/>
      <c r="E289" s="2"/>
      <c r="F289" s="2"/>
      <c r="G289" s="2"/>
      <c r="H289" s="2"/>
      <c r="I289" s="21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11"/>
      <c r="C290" s="2"/>
      <c r="D290" s="2"/>
      <c r="E290" s="2"/>
      <c r="F290" s="2"/>
      <c r="G290" s="2"/>
      <c r="H290" s="2"/>
      <c r="I290" s="21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11"/>
      <c r="C291" s="2"/>
      <c r="D291" s="2"/>
      <c r="E291" s="2"/>
      <c r="F291" s="2"/>
      <c r="G291" s="2"/>
      <c r="H291" s="2"/>
      <c r="I291" s="21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11"/>
      <c r="C292" s="2"/>
      <c r="D292" s="2"/>
      <c r="E292" s="2"/>
      <c r="F292" s="2"/>
      <c r="G292" s="2"/>
      <c r="H292" s="2"/>
      <c r="I292" s="21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11"/>
      <c r="C293" s="2"/>
      <c r="D293" s="2"/>
      <c r="E293" s="2"/>
      <c r="F293" s="2"/>
      <c r="G293" s="2"/>
      <c r="H293" s="2"/>
      <c r="I293" s="21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11"/>
      <c r="C294" s="2"/>
      <c r="D294" s="2"/>
      <c r="E294" s="2"/>
      <c r="F294" s="2"/>
      <c r="G294" s="2"/>
      <c r="H294" s="2"/>
      <c r="I294" s="21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11"/>
      <c r="C295" s="2"/>
      <c r="D295" s="2"/>
      <c r="E295" s="2"/>
      <c r="F295" s="2"/>
      <c r="G295" s="2"/>
      <c r="H295" s="2"/>
      <c r="I295" s="21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11"/>
      <c r="C296" s="2"/>
      <c r="D296" s="2"/>
      <c r="E296" s="2"/>
      <c r="F296" s="2"/>
      <c r="G296" s="2"/>
      <c r="H296" s="2"/>
      <c r="I296" s="21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11"/>
      <c r="C297" s="2"/>
      <c r="D297" s="2"/>
      <c r="E297" s="2"/>
      <c r="F297" s="2"/>
      <c r="G297" s="2"/>
      <c r="H297" s="2"/>
      <c r="I297" s="21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11"/>
      <c r="C298" s="2"/>
      <c r="D298" s="2"/>
      <c r="E298" s="2"/>
      <c r="F298" s="2"/>
      <c r="G298" s="2"/>
      <c r="H298" s="2"/>
      <c r="I298" s="21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11"/>
      <c r="C299" s="2"/>
      <c r="D299" s="2"/>
      <c r="E299" s="2"/>
      <c r="F299" s="2"/>
      <c r="G299" s="2"/>
      <c r="H299" s="2"/>
      <c r="I299" s="21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11"/>
      <c r="C300" s="2"/>
      <c r="D300" s="2"/>
      <c r="E300" s="2"/>
      <c r="F300" s="2"/>
      <c r="G300" s="2"/>
      <c r="H300" s="2"/>
      <c r="I300" s="21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11"/>
      <c r="C301" s="2"/>
      <c r="D301" s="2"/>
      <c r="E301" s="2"/>
      <c r="F301" s="2"/>
      <c r="G301" s="2"/>
      <c r="H301" s="2"/>
      <c r="I301" s="21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11"/>
      <c r="C302" s="2"/>
      <c r="D302" s="2"/>
      <c r="E302" s="2"/>
      <c r="F302" s="2"/>
      <c r="G302" s="2"/>
      <c r="H302" s="2"/>
      <c r="I302" s="21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11"/>
      <c r="C303" s="2"/>
      <c r="D303" s="2"/>
      <c r="E303" s="2"/>
      <c r="F303" s="2"/>
      <c r="G303" s="2"/>
      <c r="H303" s="2"/>
      <c r="I303" s="21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11"/>
      <c r="C304" s="2"/>
      <c r="D304" s="2"/>
      <c r="E304" s="2"/>
      <c r="F304" s="2"/>
      <c r="G304" s="2"/>
      <c r="H304" s="2"/>
      <c r="I304" s="21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11"/>
      <c r="C305" s="2"/>
      <c r="D305" s="2"/>
      <c r="E305" s="2"/>
      <c r="F305" s="2"/>
      <c r="G305" s="2"/>
      <c r="H305" s="2"/>
      <c r="I305" s="21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11"/>
      <c r="C306" s="2"/>
      <c r="D306" s="2"/>
      <c r="E306" s="2"/>
      <c r="F306" s="2"/>
      <c r="G306" s="2"/>
      <c r="H306" s="2"/>
      <c r="I306" s="21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11"/>
      <c r="C307" s="2"/>
      <c r="D307" s="2"/>
      <c r="E307" s="2"/>
      <c r="F307" s="2"/>
      <c r="G307" s="2"/>
      <c r="H307" s="2"/>
      <c r="I307" s="21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11"/>
      <c r="C308" s="2"/>
      <c r="D308" s="2"/>
      <c r="E308" s="2"/>
      <c r="F308" s="2"/>
      <c r="G308" s="2"/>
      <c r="H308" s="2"/>
      <c r="I308" s="21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11"/>
      <c r="C309" s="2"/>
      <c r="D309" s="2"/>
      <c r="E309" s="2"/>
      <c r="F309" s="2"/>
      <c r="G309" s="2"/>
      <c r="H309" s="2"/>
      <c r="I309" s="21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11"/>
      <c r="C310" s="2"/>
      <c r="D310" s="2"/>
      <c r="E310" s="2"/>
      <c r="F310" s="2"/>
      <c r="G310" s="2"/>
      <c r="H310" s="2"/>
      <c r="I310" s="21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11"/>
      <c r="C311" s="2"/>
      <c r="D311" s="2"/>
      <c r="E311" s="2"/>
      <c r="F311" s="2"/>
      <c r="G311" s="2"/>
      <c r="H311" s="2"/>
      <c r="I311" s="21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11"/>
      <c r="C312" s="2"/>
      <c r="D312" s="2"/>
      <c r="E312" s="2"/>
      <c r="F312" s="2"/>
      <c r="G312" s="2"/>
      <c r="H312" s="2"/>
      <c r="I312" s="21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11"/>
      <c r="C313" s="2"/>
      <c r="D313" s="2"/>
      <c r="E313" s="2"/>
      <c r="F313" s="2"/>
      <c r="G313" s="2"/>
      <c r="H313" s="2"/>
      <c r="I313" s="21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11"/>
      <c r="C314" s="2"/>
      <c r="D314" s="2"/>
      <c r="E314" s="2"/>
      <c r="F314" s="2"/>
      <c r="G314" s="2"/>
      <c r="H314" s="2"/>
      <c r="I314" s="21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11"/>
      <c r="C315" s="2"/>
      <c r="D315" s="2"/>
      <c r="E315" s="2"/>
      <c r="F315" s="2"/>
      <c r="G315" s="2"/>
      <c r="H315" s="2"/>
      <c r="I315" s="21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11"/>
      <c r="C316" s="2"/>
      <c r="D316" s="2"/>
      <c r="E316" s="2"/>
      <c r="F316" s="2"/>
      <c r="G316" s="2"/>
      <c r="H316" s="2"/>
      <c r="I316" s="21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11"/>
      <c r="C317" s="2"/>
      <c r="D317" s="2"/>
      <c r="E317" s="2"/>
      <c r="F317" s="2"/>
      <c r="G317" s="2"/>
      <c r="H317" s="2"/>
      <c r="I317" s="21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11"/>
      <c r="C318" s="2"/>
      <c r="D318" s="2"/>
      <c r="E318" s="2"/>
      <c r="F318" s="2"/>
      <c r="G318" s="2"/>
      <c r="H318" s="2"/>
      <c r="I318" s="21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11"/>
      <c r="C319" s="2"/>
      <c r="D319" s="2"/>
      <c r="E319" s="2"/>
      <c r="F319" s="2"/>
      <c r="G319" s="2"/>
      <c r="H319" s="2"/>
      <c r="I319" s="21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11"/>
      <c r="C320" s="2"/>
      <c r="D320" s="2"/>
      <c r="E320" s="2"/>
      <c r="F320" s="2"/>
      <c r="G320" s="2"/>
      <c r="H320" s="2"/>
      <c r="I320" s="21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11"/>
      <c r="C321" s="2"/>
      <c r="D321" s="2"/>
      <c r="E321" s="2"/>
      <c r="F321" s="2"/>
      <c r="G321" s="2"/>
      <c r="H321" s="2"/>
      <c r="I321" s="21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11"/>
      <c r="C322" s="2"/>
      <c r="D322" s="2"/>
      <c r="E322" s="2"/>
      <c r="F322" s="2"/>
      <c r="G322" s="2"/>
      <c r="H322" s="2"/>
      <c r="I322" s="21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11"/>
      <c r="C323" s="2"/>
      <c r="D323" s="2"/>
      <c r="E323" s="2"/>
      <c r="F323" s="2"/>
      <c r="G323" s="2"/>
      <c r="H323" s="2"/>
      <c r="I323" s="21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11"/>
      <c r="C324" s="2"/>
      <c r="D324" s="2"/>
      <c r="E324" s="2"/>
      <c r="F324" s="2"/>
      <c r="G324" s="2"/>
      <c r="H324" s="2"/>
      <c r="I324" s="21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11"/>
      <c r="C325" s="2"/>
      <c r="D325" s="2"/>
      <c r="E325" s="2"/>
      <c r="F325" s="2"/>
      <c r="G325" s="2"/>
      <c r="H325" s="2"/>
      <c r="I325" s="21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11"/>
      <c r="C326" s="2"/>
      <c r="D326" s="2"/>
      <c r="E326" s="2"/>
      <c r="F326" s="2"/>
      <c r="G326" s="2"/>
      <c r="H326" s="2"/>
      <c r="I326" s="21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11"/>
      <c r="C327" s="2"/>
      <c r="D327" s="2"/>
      <c r="E327" s="2"/>
      <c r="F327" s="2"/>
      <c r="G327" s="2"/>
      <c r="H327" s="2"/>
      <c r="I327" s="21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11"/>
      <c r="C328" s="2"/>
      <c r="D328" s="2"/>
      <c r="E328" s="2"/>
      <c r="F328" s="2"/>
      <c r="G328" s="2"/>
      <c r="H328" s="2"/>
      <c r="I328" s="21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11"/>
      <c r="C329" s="2"/>
      <c r="D329" s="2"/>
      <c r="E329" s="2"/>
      <c r="F329" s="2"/>
      <c r="G329" s="2"/>
      <c r="H329" s="2"/>
      <c r="I329" s="21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11"/>
      <c r="C330" s="2"/>
      <c r="D330" s="2"/>
      <c r="E330" s="2"/>
      <c r="F330" s="2"/>
      <c r="G330" s="2"/>
      <c r="H330" s="2"/>
      <c r="I330" s="21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11"/>
      <c r="C331" s="2"/>
      <c r="D331" s="2"/>
      <c r="E331" s="2"/>
      <c r="F331" s="2"/>
      <c r="G331" s="2"/>
      <c r="H331" s="2"/>
      <c r="I331" s="21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11"/>
      <c r="C332" s="2"/>
      <c r="D332" s="2"/>
      <c r="E332" s="2"/>
      <c r="F332" s="2"/>
      <c r="G332" s="2"/>
      <c r="H332" s="2"/>
      <c r="I332" s="21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11"/>
      <c r="C333" s="2"/>
      <c r="D333" s="2"/>
      <c r="E333" s="2"/>
      <c r="F333" s="2"/>
      <c r="G333" s="2"/>
      <c r="H333" s="2"/>
      <c r="I333" s="21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11"/>
      <c r="C334" s="2"/>
      <c r="D334" s="2"/>
      <c r="E334" s="2"/>
      <c r="F334" s="2"/>
      <c r="G334" s="2"/>
      <c r="H334" s="2"/>
      <c r="I334" s="21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11"/>
      <c r="C335" s="2"/>
      <c r="D335" s="2"/>
      <c r="E335" s="2"/>
      <c r="F335" s="2"/>
      <c r="G335" s="2"/>
      <c r="H335" s="2"/>
      <c r="I335" s="21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11"/>
      <c r="C336" s="2"/>
      <c r="D336" s="2"/>
      <c r="E336" s="2"/>
      <c r="F336" s="2"/>
      <c r="G336" s="2"/>
      <c r="H336" s="2"/>
      <c r="I336" s="21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11"/>
      <c r="C337" s="2"/>
      <c r="D337" s="2"/>
      <c r="E337" s="2"/>
      <c r="F337" s="2"/>
      <c r="G337" s="2"/>
      <c r="H337" s="2"/>
      <c r="I337" s="21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11"/>
      <c r="C338" s="2"/>
      <c r="D338" s="2"/>
      <c r="E338" s="2"/>
      <c r="F338" s="2"/>
      <c r="G338" s="2"/>
      <c r="H338" s="2"/>
      <c r="I338" s="21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11"/>
      <c r="C339" s="2"/>
      <c r="D339" s="2"/>
      <c r="E339" s="2"/>
      <c r="F339" s="2"/>
      <c r="G339" s="2"/>
      <c r="H339" s="2"/>
      <c r="I339" s="21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11"/>
      <c r="C340" s="2"/>
      <c r="D340" s="2"/>
      <c r="E340" s="2"/>
      <c r="F340" s="2"/>
      <c r="G340" s="2"/>
      <c r="H340" s="2"/>
      <c r="I340" s="21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11"/>
      <c r="C341" s="2"/>
      <c r="D341" s="2"/>
      <c r="E341" s="2"/>
      <c r="F341" s="2"/>
      <c r="G341" s="2"/>
      <c r="H341" s="2"/>
      <c r="I341" s="21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11"/>
      <c r="C342" s="2"/>
      <c r="D342" s="2"/>
      <c r="E342" s="2"/>
      <c r="F342" s="2"/>
      <c r="G342" s="2"/>
      <c r="H342" s="2"/>
      <c r="I342" s="21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11"/>
      <c r="C343" s="2"/>
      <c r="D343" s="2"/>
      <c r="E343" s="2"/>
      <c r="F343" s="2"/>
      <c r="G343" s="2"/>
      <c r="H343" s="2"/>
      <c r="I343" s="21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11"/>
      <c r="C344" s="2"/>
      <c r="D344" s="2"/>
      <c r="E344" s="2"/>
      <c r="F344" s="2"/>
      <c r="G344" s="2"/>
      <c r="H344" s="2"/>
      <c r="I344" s="21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11"/>
      <c r="C345" s="2"/>
      <c r="D345" s="2"/>
      <c r="E345" s="2"/>
      <c r="F345" s="2"/>
      <c r="G345" s="2"/>
      <c r="H345" s="2"/>
      <c r="I345" s="21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11"/>
      <c r="C346" s="2"/>
      <c r="D346" s="2"/>
      <c r="E346" s="2"/>
      <c r="F346" s="2"/>
      <c r="G346" s="2"/>
      <c r="H346" s="2"/>
      <c r="I346" s="21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11"/>
      <c r="C347" s="2"/>
      <c r="D347" s="2"/>
      <c r="E347" s="2"/>
      <c r="F347" s="2"/>
      <c r="G347" s="2"/>
      <c r="H347" s="2"/>
      <c r="I347" s="21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11"/>
      <c r="C348" s="2"/>
      <c r="D348" s="2"/>
      <c r="E348" s="2"/>
      <c r="F348" s="2"/>
      <c r="G348" s="2"/>
      <c r="H348" s="2"/>
      <c r="I348" s="21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11"/>
      <c r="C349" s="2"/>
      <c r="D349" s="2"/>
      <c r="E349" s="2"/>
      <c r="F349" s="2"/>
      <c r="G349" s="2"/>
      <c r="H349" s="2"/>
      <c r="I349" s="21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11"/>
      <c r="C350" s="2"/>
      <c r="D350" s="2"/>
      <c r="E350" s="2"/>
      <c r="F350" s="2"/>
      <c r="G350" s="2"/>
      <c r="H350" s="2"/>
      <c r="I350" s="21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11"/>
      <c r="C351" s="2"/>
      <c r="D351" s="2"/>
      <c r="E351" s="2"/>
      <c r="F351" s="2"/>
      <c r="G351" s="2"/>
      <c r="H351" s="2"/>
      <c r="I351" s="21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11"/>
      <c r="C352" s="2"/>
      <c r="D352" s="2"/>
      <c r="E352" s="2"/>
      <c r="F352" s="2"/>
      <c r="G352" s="2"/>
      <c r="H352" s="2"/>
      <c r="I352" s="21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11"/>
      <c r="C353" s="2"/>
      <c r="D353" s="2"/>
      <c r="E353" s="2"/>
      <c r="F353" s="2"/>
      <c r="G353" s="2"/>
      <c r="H353" s="2"/>
      <c r="I353" s="21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11"/>
      <c r="C354" s="2"/>
      <c r="D354" s="2"/>
      <c r="E354" s="2"/>
      <c r="F354" s="2"/>
      <c r="G354" s="2"/>
      <c r="H354" s="2"/>
      <c r="I354" s="21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11"/>
      <c r="C355" s="2"/>
      <c r="D355" s="2"/>
      <c r="E355" s="2"/>
      <c r="F355" s="2"/>
      <c r="G355" s="2"/>
      <c r="H355" s="2"/>
      <c r="I355" s="21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11"/>
      <c r="C356" s="2"/>
      <c r="D356" s="2"/>
      <c r="E356" s="2"/>
      <c r="F356" s="2"/>
      <c r="G356" s="2"/>
      <c r="H356" s="2"/>
      <c r="I356" s="21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11"/>
      <c r="C357" s="2"/>
      <c r="D357" s="2"/>
      <c r="E357" s="2"/>
      <c r="F357" s="2"/>
      <c r="G357" s="2"/>
      <c r="H357" s="2"/>
      <c r="I357" s="21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11"/>
      <c r="C358" s="2"/>
      <c r="D358" s="2"/>
      <c r="E358" s="2"/>
      <c r="F358" s="2"/>
      <c r="G358" s="2"/>
      <c r="H358" s="2"/>
      <c r="I358" s="21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11"/>
      <c r="C359" s="2"/>
      <c r="D359" s="2"/>
      <c r="E359" s="2"/>
      <c r="F359" s="2"/>
      <c r="G359" s="2"/>
      <c r="H359" s="2"/>
      <c r="I359" s="21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11"/>
      <c r="C360" s="2"/>
      <c r="D360" s="2"/>
      <c r="E360" s="2"/>
      <c r="F360" s="2"/>
      <c r="G360" s="2"/>
      <c r="H360" s="2"/>
      <c r="I360" s="21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11"/>
      <c r="C361" s="2"/>
      <c r="D361" s="2"/>
      <c r="E361" s="2"/>
      <c r="F361" s="2"/>
      <c r="G361" s="2"/>
      <c r="H361" s="2"/>
      <c r="I361" s="21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11"/>
      <c r="C362" s="2"/>
      <c r="D362" s="2"/>
      <c r="E362" s="2"/>
      <c r="F362" s="2"/>
      <c r="G362" s="2"/>
      <c r="H362" s="2"/>
      <c r="I362" s="21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11"/>
      <c r="C363" s="2"/>
      <c r="D363" s="2"/>
      <c r="E363" s="2"/>
      <c r="F363" s="2"/>
      <c r="G363" s="2"/>
      <c r="H363" s="2"/>
      <c r="I363" s="21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11"/>
      <c r="C364" s="2"/>
      <c r="D364" s="2"/>
      <c r="E364" s="2"/>
      <c r="F364" s="2"/>
      <c r="G364" s="2"/>
      <c r="H364" s="2"/>
      <c r="I364" s="21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11"/>
      <c r="C365" s="2"/>
      <c r="D365" s="2"/>
      <c r="E365" s="2"/>
      <c r="F365" s="2"/>
      <c r="G365" s="2"/>
      <c r="H365" s="2"/>
      <c r="I365" s="21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11"/>
      <c r="C366" s="2"/>
      <c r="D366" s="2"/>
      <c r="E366" s="2"/>
      <c r="F366" s="2"/>
      <c r="G366" s="2"/>
      <c r="H366" s="2"/>
      <c r="I366" s="21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11"/>
      <c r="C367" s="2"/>
      <c r="D367" s="2"/>
      <c r="E367" s="2"/>
      <c r="F367" s="2"/>
      <c r="G367" s="2"/>
      <c r="H367" s="2"/>
      <c r="I367" s="21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11"/>
      <c r="C368" s="2"/>
      <c r="D368" s="2"/>
      <c r="E368" s="2"/>
      <c r="F368" s="2"/>
      <c r="G368" s="2"/>
      <c r="H368" s="2"/>
      <c r="I368" s="21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11"/>
      <c r="C369" s="2"/>
      <c r="D369" s="2"/>
      <c r="E369" s="2"/>
      <c r="F369" s="2"/>
      <c r="G369" s="2"/>
      <c r="H369" s="2"/>
      <c r="I369" s="21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11"/>
      <c r="C370" s="2"/>
      <c r="D370" s="2"/>
      <c r="E370" s="2"/>
      <c r="F370" s="2"/>
      <c r="G370" s="2"/>
      <c r="H370" s="2"/>
      <c r="I370" s="21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11"/>
      <c r="C371" s="2"/>
      <c r="D371" s="2"/>
      <c r="E371" s="2"/>
      <c r="F371" s="2"/>
      <c r="G371" s="2"/>
      <c r="H371" s="2"/>
      <c r="I371" s="21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11"/>
      <c r="C372" s="2"/>
      <c r="D372" s="2"/>
      <c r="E372" s="2"/>
      <c r="F372" s="2"/>
      <c r="G372" s="2"/>
      <c r="H372" s="2"/>
      <c r="I372" s="21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11"/>
      <c r="C373" s="2"/>
      <c r="D373" s="2"/>
      <c r="E373" s="2"/>
      <c r="F373" s="2"/>
      <c r="G373" s="2"/>
      <c r="H373" s="2"/>
      <c r="I373" s="21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11"/>
      <c r="C374" s="2"/>
      <c r="D374" s="2"/>
      <c r="E374" s="2"/>
      <c r="F374" s="2"/>
      <c r="G374" s="2"/>
      <c r="H374" s="2"/>
      <c r="I374" s="21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11"/>
      <c r="C375" s="2"/>
      <c r="D375" s="2"/>
      <c r="E375" s="2"/>
      <c r="F375" s="2"/>
      <c r="G375" s="2"/>
      <c r="H375" s="2"/>
      <c r="I375" s="21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11"/>
      <c r="C376" s="2"/>
      <c r="D376" s="2"/>
      <c r="E376" s="2"/>
      <c r="F376" s="2"/>
      <c r="G376" s="2"/>
      <c r="H376" s="2"/>
      <c r="I376" s="21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11"/>
      <c r="C377" s="2"/>
      <c r="D377" s="2"/>
      <c r="E377" s="2"/>
      <c r="F377" s="2"/>
      <c r="G377" s="2"/>
      <c r="H377" s="2"/>
      <c r="I377" s="21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11"/>
      <c r="C378" s="2"/>
      <c r="D378" s="2"/>
      <c r="E378" s="2"/>
      <c r="F378" s="2"/>
      <c r="G378" s="2"/>
      <c r="H378" s="2"/>
      <c r="I378" s="21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11"/>
      <c r="C379" s="2"/>
      <c r="D379" s="2"/>
      <c r="E379" s="2"/>
      <c r="F379" s="2"/>
      <c r="G379" s="2"/>
      <c r="H379" s="2"/>
      <c r="I379" s="21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11"/>
      <c r="C380" s="2"/>
      <c r="D380" s="2"/>
      <c r="E380" s="2"/>
      <c r="F380" s="2"/>
      <c r="G380" s="2"/>
      <c r="H380" s="2"/>
      <c r="I380" s="21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11"/>
      <c r="C381" s="2"/>
      <c r="D381" s="2"/>
      <c r="E381" s="2"/>
      <c r="F381" s="2"/>
      <c r="G381" s="2"/>
      <c r="H381" s="2"/>
      <c r="I381" s="21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11"/>
      <c r="C382" s="2"/>
      <c r="D382" s="2"/>
      <c r="E382" s="2"/>
      <c r="F382" s="2"/>
      <c r="G382" s="2"/>
      <c r="H382" s="2"/>
      <c r="I382" s="21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11"/>
      <c r="C383" s="2"/>
      <c r="D383" s="2"/>
      <c r="E383" s="2"/>
      <c r="F383" s="2"/>
      <c r="G383" s="2"/>
      <c r="H383" s="2"/>
      <c r="I383" s="21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11"/>
      <c r="C384" s="2"/>
      <c r="D384" s="2"/>
      <c r="E384" s="2"/>
      <c r="F384" s="2"/>
      <c r="G384" s="2"/>
      <c r="H384" s="2"/>
      <c r="I384" s="21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11"/>
      <c r="C385" s="2"/>
      <c r="D385" s="2"/>
      <c r="E385" s="2"/>
      <c r="F385" s="2"/>
      <c r="G385" s="2"/>
      <c r="H385" s="2"/>
      <c r="I385" s="21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11"/>
      <c r="C386" s="2"/>
      <c r="D386" s="2"/>
      <c r="E386" s="2"/>
      <c r="F386" s="2"/>
      <c r="G386" s="2"/>
      <c r="H386" s="2"/>
      <c r="I386" s="21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11"/>
      <c r="C387" s="2"/>
      <c r="D387" s="2"/>
      <c r="E387" s="2"/>
      <c r="F387" s="2"/>
      <c r="G387" s="2"/>
      <c r="H387" s="2"/>
      <c r="I387" s="21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11"/>
      <c r="C388" s="2"/>
      <c r="D388" s="2"/>
      <c r="E388" s="2"/>
      <c r="F388" s="2"/>
      <c r="G388" s="2"/>
      <c r="H388" s="2"/>
      <c r="I388" s="21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11"/>
      <c r="C389" s="2"/>
      <c r="D389" s="2"/>
      <c r="E389" s="2"/>
      <c r="F389" s="2"/>
      <c r="G389" s="2"/>
      <c r="H389" s="2"/>
      <c r="I389" s="21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11"/>
      <c r="C390" s="2"/>
      <c r="D390" s="2"/>
      <c r="E390" s="2"/>
      <c r="F390" s="2"/>
      <c r="G390" s="2"/>
      <c r="H390" s="2"/>
      <c r="I390" s="21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11"/>
      <c r="C391" s="2"/>
      <c r="D391" s="2"/>
      <c r="E391" s="2"/>
      <c r="F391" s="2"/>
      <c r="G391" s="2"/>
      <c r="H391" s="2"/>
      <c r="I391" s="21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11"/>
      <c r="C392" s="2"/>
      <c r="D392" s="2"/>
      <c r="E392" s="2"/>
      <c r="F392" s="2"/>
      <c r="G392" s="2"/>
      <c r="H392" s="2"/>
      <c r="I392" s="21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11"/>
      <c r="C393" s="2"/>
      <c r="D393" s="2"/>
      <c r="E393" s="2"/>
      <c r="F393" s="2"/>
      <c r="G393" s="2"/>
      <c r="H393" s="2"/>
      <c r="I393" s="21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11"/>
      <c r="C394" s="2"/>
      <c r="D394" s="2"/>
      <c r="E394" s="2"/>
      <c r="F394" s="2"/>
      <c r="G394" s="2"/>
      <c r="H394" s="2"/>
      <c r="I394" s="21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11"/>
      <c r="C395" s="2"/>
      <c r="D395" s="2"/>
      <c r="E395" s="2"/>
      <c r="F395" s="2"/>
      <c r="G395" s="2"/>
      <c r="H395" s="2"/>
      <c r="I395" s="21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11"/>
      <c r="C396" s="2"/>
      <c r="D396" s="2"/>
      <c r="E396" s="2"/>
      <c r="F396" s="2"/>
      <c r="G396" s="2"/>
      <c r="H396" s="2"/>
      <c r="I396" s="21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11"/>
      <c r="C397" s="2"/>
      <c r="D397" s="2"/>
      <c r="E397" s="2"/>
      <c r="F397" s="2"/>
      <c r="G397" s="2"/>
      <c r="H397" s="2"/>
      <c r="I397" s="21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11"/>
      <c r="C398" s="2"/>
      <c r="D398" s="2"/>
      <c r="E398" s="2"/>
      <c r="F398" s="2"/>
      <c r="G398" s="2"/>
      <c r="H398" s="2"/>
      <c r="I398" s="21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11"/>
      <c r="C399" s="2"/>
      <c r="D399" s="2"/>
      <c r="E399" s="2"/>
      <c r="F399" s="2"/>
      <c r="G399" s="2"/>
      <c r="H399" s="2"/>
      <c r="I399" s="21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11"/>
      <c r="C400" s="2"/>
      <c r="D400" s="2"/>
      <c r="E400" s="2"/>
      <c r="F400" s="2"/>
      <c r="G400" s="2"/>
      <c r="H400" s="2"/>
      <c r="I400" s="21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11"/>
      <c r="C401" s="2"/>
      <c r="D401" s="2"/>
      <c r="E401" s="2"/>
      <c r="F401" s="2"/>
      <c r="G401" s="2"/>
      <c r="H401" s="2"/>
      <c r="I401" s="21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11"/>
      <c r="C402" s="2"/>
      <c r="D402" s="2"/>
      <c r="E402" s="2"/>
      <c r="F402" s="2"/>
      <c r="G402" s="2"/>
      <c r="H402" s="2"/>
      <c r="I402" s="21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11"/>
      <c r="C403" s="2"/>
      <c r="D403" s="2"/>
      <c r="E403" s="2"/>
      <c r="F403" s="2"/>
      <c r="G403" s="2"/>
      <c r="H403" s="2"/>
      <c r="I403" s="21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11"/>
      <c r="C404" s="2"/>
      <c r="D404" s="2"/>
      <c r="E404" s="2"/>
      <c r="F404" s="2"/>
      <c r="G404" s="2"/>
      <c r="H404" s="2"/>
      <c r="I404" s="21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11"/>
      <c r="C405" s="2"/>
      <c r="D405" s="2"/>
      <c r="E405" s="2"/>
      <c r="F405" s="2"/>
      <c r="G405" s="2"/>
      <c r="H405" s="2"/>
      <c r="I405" s="21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11"/>
      <c r="C406" s="2"/>
      <c r="D406" s="2"/>
      <c r="E406" s="2"/>
      <c r="F406" s="2"/>
      <c r="G406" s="2"/>
      <c r="H406" s="2"/>
      <c r="I406" s="21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11"/>
      <c r="C407" s="2"/>
      <c r="D407" s="2"/>
      <c r="E407" s="2"/>
      <c r="F407" s="2"/>
      <c r="G407" s="2"/>
      <c r="H407" s="2"/>
      <c r="I407" s="21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11"/>
      <c r="C408" s="2"/>
      <c r="D408" s="2"/>
      <c r="E408" s="2"/>
      <c r="F408" s="2"/>
      <c r="G408" s="2"/>
      <c r="H408" s="2"/>
      <c r="I408" s="21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11"/>
      <c r="C409" s="2"/>
      <c r="D409" s="2"/>
      <c r="E409" s="2"/>
      <c r="F409" s="2"/>
      <c r="G409" s="2"/>
      <c r="H409" s="2"/>
      <c r="I409" s="21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11"/>
      <c r="C410" s="2"/>
      <c r="D410" s="2"/>
      <c r="E410" s="2"/>
      <c r="F410" s="2"/>
      <c r="G410" s="2"/>
      <c r="H410" s="2"/>
      <c r="I410" s="21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11"/>
      <c r="C411" s="2"/>
      <c r="D411" s="2"/>
      <c r="E411" s="2"/>
      <c r="F411" s="2"/>
      <c r="G411" s="2"/>
      <c r="H411" s="2"/>
      <c r="I411" s="21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11"/>
      <c r="C412" s="2"/>
      <c r="D412" s="2"/>
      <c r="E412" s="2"/>
      <c r="F412" s="2"/>
      <c r="G412" s="2"/>
      <c r="H412" s="2"/>
      <c r="I412" s="21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11"/>
      <c r="C413" s="2"/>
      <c r="D413" s="2"/>
      <c r="E413" s="2"/>
      <c r="F413" s="2"/>
      <c r="G413" s="2"/>
      <c r="H413" s="2"/>
      <c r="I413" s="21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11"/>
      <c r="C414" s="2"/>
      <c r="D414" s="2"/>
      <c r="E414" s="2"/>
      <c r="F414" s="2"/>
      <c r="G414" s="2"/>
      <c r="H414" s="2"/>
      <c r="I414" s="21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11"/>
      <c r="C415" s="2"/>
      <c r="D415" s="2"/>
      <c r="E415" s="2"/>
      <c r="F415" s="2"/>
      <c r="G415" s="2"/>
      <c r="H415" s="2"/>
      <c r="I415" s="21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11"/>
      <c r="C416" s="2"/>
      <c r="D416" s="2"/>
      <c r="E416" s="2"/>
      <c r="F416" s="2"/>
      <c r="G416" s="2"/>
      <c r="H416" s="2"/>
      <c r="I416" s="21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11"/>
      <c r="C417" s="2"/>
      <c r="D417" s="2"/>
      <c r="E417" s="2"/>
      <c r="F417" s="2"/>
      <c r="G417" s="2"/>
      <c r="H417" s="2"/>
      <c r="I417" s="21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11"/>
      <c r="C418" s="2"/>
      <c r="D418" s="2"/>
      <c r="E418" s="2"/>
      <c r="F418" s="2"/>
      <c r="G418" s="2"/>
      <c r="H418" s="2"/>
      <c r="I418" s="21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11"/>
      <c r="C419" s="2"/>
      <c r="D419" s="2"/>
      <c r="E419" s="2"/>
      <c r="F419" s="2"/>
      <c r="G419" s="2"/>
      <c r="H419" s="2"/>
      <c r="I419" s="21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11"/>
      <c r="C420" s="2"/>
      <c r="D420" s="2"/>
      <c r="E420" s="2"/>
      <c r="F420" s="2"/>
      <c r="G420" s="2"/>
      <c r="H420" s="2"/>
      <c r="I420" s="21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11"/>
      <c r="C421" s="2"/>
      <c r="D421" s="2"/>
      <c r="E421" s="2"/>
      <c r="F421" s="2"/>
      <c r="G421" s="2"/>
      <c r="H421" s="2"/>
      <c r="I421" s="21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11"/>
      <c r="C422" s="2"/>
      <c r="D422" s="2"/>
      <c r="E422" s="2"/>
      <c r="F422" s="2"/>
      <c r="G422" s="2"/>
      <c r="H422" s="2"/>
      <c r="I422" s="21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11"/>
      <c r="C423" s="2"/>
      <c r="D423" s="2"/>
      <c r="E423" s="2"/>
      <c r="F423" s="2"/>
      <c r="G423" s="2"/>
      <c r="H423" s="2"/>
      <c r="I423" s="21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11"/>
      <c r="C424" s="2"/>
      <c r="D424" s="2"/>
      <c r="E424" s="2"/>
      <c r="F424" s="2"/>
      <c r="G424" s="2"/>
      <c r="H424" s="2"/>
      <c r="I424" s="21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11"/>
      <c r="C425" s="2"/>
      <c r="D425" s="2"/>
      <c r="E425" s="2"/>
      <c r="F425" s="2"/>
      <c r="G425" s="2"/>
      <c r="H425" s="2"/>
      <c r="I425" s="21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11"/>
      <c r="C426" s="2"/>
      <c r="D426" s="2"/>
      <c r="E426" s="2"/>
      <c r="F426" s="2"/>
      <c r="G426" s="2"/>
      <c r="H426" s="2"/>
      <c r="I426" s="21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11"/>
      <c r="C427" s="2"/>
      <c r="D427" s="2"/>
      <c r="E427" s="2"/>
      <c r="F427" s="2"/>
      <c r="G427" s="2"/>
      <c r="H427" s="2"/>
      <c r="I427" s="21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11"/>
      <c r="C428" s="2"/>
      <c r="D428" s="2"/>
      <c r="E428" s="2"/>
      <c r="F428" s="2"/>
      <c r="G428" s="2"/>
      <c r="H428" s="2"/>
      <c r="I428" s="21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11"/>
      <c r="C429" s="2"/>
      <c r="D429" s="2"/>
      <c r="E429" s="2"/>
      <c r="F429" s="2"/>
      <c r="G429" s="2"/>
      <c r="H429" s="2"/>
      <c r="I429" s="21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11"/>
      <c r="C430" s="2"/>
      <c r="D430" s="2"/>
      <c r="E430" s="2"/>
      <c r="F430" s="2"/>
      <c r="G430" s="2"/>
      <c r="H430" s="2"/>
      <c r="I430" s="21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11"/>
      <c r="C431" s="2"/>
      <c r="D431" s="2"/>
      <c r="E431" s="2"/>
      <c r="F431" s="2"/>
      <c r="G431" s="2"/>
      <c r="H431" s="2"/>
      <c r="I431" s="21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11"/>
      <c r="C432" s="2"/>
      <c r="D432" s="2"/>
      <c r="E432" s="2"/>
      <c r="F432" s="2"/>
      <c r="G432" s="2"/>
      <c r="H432" s="2"/>
      <c r="I432" s="21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11"/>
      <c r="C433" s="2"/>
      <c r="D433" s="2"/>
      <c r="E433" s="2"/>
      <c r="F433" s="2"/>
      <c r="G433" s="2"/>
      <c r="H433" s="2"/>
      <c r="I433" s="21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11"/>
      <c r="C434" s="2"/>
      <c r="D434" s="2"/>
      <c r="E434" s="2"/>
      <c r="F434" s="2"/>
      <c r="G434" s="2"/>
      <c r="H434" s="2"/>
      <c r="I434" s="21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11"/>
      <c r="C435" s="2"/>
      <c r="D435" s="2"/>
      <c r="E435" s="2"/>
      <c r="F435" s="2"/>
      <c r="G435" s="2"/>
      <c r="H435" s="2"/>
      <c r="I435" s="21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11"/>
      <c r="C436" s="2"/>
      <c r="D436" s="2"/>
      <c r="E436" s="2"/>
      <c r="F436" s="2"/>
      <c r="G436" s="2"/>
      <c r="H436" s="2"/>
      <c r="I436" s="21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11"/>
      <c r="C437" s="2"/>
      <c r="D437" s="2"/>
      <c r="E437" s="2"/>
      <c r="F437" s="2"/>
      <c r="G437" s="2"/>
      <c r="H437" s="2"/>
      <c r="I437" s="21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11"/>
      <c r="C438" s="2"/>
      <c r="D438" s="2"/>
      <c r="E438" s="2"/>
      <c r="F438" s="2"/>
      <c r="G438" s="2"/>
      <c r="H438" s="2"/>
      <c r="I438" s="21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11"/>
      <c r="C439" s="2"/>
      <c r="D439" s="2"/>
      <c r="E439" s="2"/>
      <c r="F439" s="2"/>
      <c r="G439" s="2"/>
      <c r="H439" s="2"/>
      <c r="I439" s="21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11"/>
      <c r="C440" s="2"/>
      <c r="D440" s="2"/>
      <c r="E440" s="2"/>
      <c r="F440" s="2"/>
      <c r="G440" s="2"/>
      <c r="H440" s="2"/>
      <c r="I440" s="21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11"/>
      <c r="C441" s="2"/>
      <c r="D441" s="2"/>
      <c r="E441" s="2"/>
      <c r="F441" s="2"/>
      <c r="G441" s="2"/>
      <c r="H441" s="2"/>
      <c r="I441" s="21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11"/>
      <c r="C442" s="2"/>
      <c r="D442" s="2"/>
      <c r="E442" s="2"/>
      <c r="F442" s="2"/>
      <c r="G442" s="2"/>
      <c r="H442" s="2"/>
      <c r="I442" s="21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11"/>
      <c r="C443" s="2"/>
      <c r="D443" s="2"/>
      <c r="E443" s="2"/>
      <c r="F443" s="2"/>
      <c r="G443" s="2"/>
      <c r="H443" s="2"/>
      <c r="I443" s="21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11"/>
      <c r="C444" s="2"/>
      <c r="D444" s="2"/>
      <c r="E444" s="2"/>
      <c r="F444" s="2"/>
      <c r="G444" s="2"/>
      <c r="H444" s="2"/>
      <c r="I444" s="21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11"/>
      <c r="C445" s="2"/>
      <c r="D445" s="2"/>
      <c r="E445" s="2"/>
      <c r="F445" s="2"/>
      <c r="G445" s="2"/>
      <c r="H445" s="2"/>
      <c r="I445" s="21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11"/>
      <c r="C446" s="2"/>
      <c r="D446" s="2"/>
      <c r="E446" s="2"/>
      <c r="F446" s="2"/>
      <c r="G446" s="2"/>
      <c r="H446" s="2"/>
      <c r="I446" s="21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11"/>
      <c r="C447" s="2"/>
      <c r="D447" s="2"/>
      <c r="E447" s="2"/>
      <c r="F447" s="2"/>
      <c r="G447" s="2"/>
      <c r="H447" s="2"/>
      <c r="I447" s="21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11"/>
      <c r="C448" s="2"/>
      <c r="D448" s="2"/>
      <c r="E448" s="2"/>
      <c r="F448" s="2"/>
      <c r="G448" s="2"/>
      <c r="H448" s="2"/>
      <c r="I448" s="21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11"/>
      <c r="C449" s="2"/>
      <c r="D449" s="2"/>
      <c r="E449" s="2"/>
      <c r="F449" s="2"/>
      <c r="G449" s="2"/>
      <c r="H449" s="2"/>
      <c r="I449" s="21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11"/>
      <c r="C450" s="2"/>
      <c r="D450" s="2"/>
      <c r="E450" s="2"/>
      <c r="F450" s="2"/>
      <c r="G450" s="2"/>
      <c r="H450" s="2"/>
      <c r="I450" s="21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11"/>
      <c r="C451" s="2"/>
      <c r="D451" s="2"/>
      <c r="E451" s="2"/>
      <c r="F451" s="2"/>
      <c r="G451" s="2"/>
      <c r="H451" s="2"/>
      <c r="I451" s="21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11"/>
      <c r="C452" s="2"/>
      <c r="D452" s="2"/>
      <c r="E452" s="2"/>
      <c r="F452" s="2"/>
      <c r="G452" s="2"/>
      <c r="H452" s="2"/>
      <c r="I452" s="21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11"/>
      <c r="C453" s="2"/>
      <c r="D453" s="2"/>
      <c r="E453" s="2"/>
      <c r="F453" s="2"/>
      <c r="G453" s="2"/>
      <c r="H453" s="2"/>
      <c r="I453" s="21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11"/>
      <c r="C454" s="2"/>
      <c r="D454" s="2"/>
      <c r="E454" s="2"/>
      <c r="F454" s="2"/>
      <c r="G454" s="2"/>
      <c r="H454" s="2"/>
      <c r="I454" s="21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11"/>
      <c r="C455" s="2"/>
      <c r="D455" s="2"/>
      <c r="E455" s="2"/>
      <c r="F455" s="2"/>
      <c r="G455" s="2"/>
      <c r="H455" s="2"/>
      <c r="I455" s="21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11"/>
      <c r="C456" s="2"/>
      <c r="D456" s="2"/>
      <c r="E456" s="2"/>
      <c r="F456" s="2"/>
      <c r="G456" s="2"/>
      <c r="H456" s="2"/>
      <c r="I456" s="21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11"/>
      <c r="C457" s="2"/>
      <c r="D457" s="2"/>
      <c r="E457" s="2"/>
      <c r="F457" s="2"/>
      <c r="G457" s="2"/>
      <c r="H457" s="2"/>
      <c r="I457" s="21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11"/>
      <c r="C458" s="2"/>
      <c r="D458" s="2"/>
      <c r="E458" s="2"/>
      <c r="F458" s="2"/>
      <c r="G458" s="2"/>
      <c r="H458" s="2"/>
      <c r="I458" s="21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11"/>
      <c r="C459" s="2"/>
      <c r="D459" s="2"/>
      <c r="E459" s="2"/>
      <c r="F459" s="2"/>
      <c r="G459" s="2"/>
      <c r="H459" s="2"/>
      <c r="I459" s="21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11"/>
      <c r="C460" s="2"/>
      <c r="D460" s="2"/>
      <c r="E460" s="2"/>
      <c r="F460" s="2"/>
      <c r="G460" s="2"/>
      <c r="H460" s="2"/>
      <c r="I460" s="21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11"/>
      <c r="C461" s="2"/>
      <c r="D461" s="2"/>
      <c r="E461" s="2"/>
      <c r="F461" s="2"/>
      <c r="G461" s="2"/>
      <c r="H461" s="2"/>
      <c r="I461" s="21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11"/>
      <c r="C462" s="2"/>
      <c r="D462" s="2"/>
      <c r="E462" s="2"/>
      <c r="F462" s="2"/>
      <c r="G462" s="2"/>
      <c r="H462" s="2"/>
      <c r="I462" s="21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11"/>
      <c r="C463" s="2"/>
      <c r="D463" s="2"/>
      <c r="E463" s="2"/>
      <c r="F463" s="2"/>
      <c r="G463" s="2"/>
      <c r="H463" s="2"/>
      <c r="I463" s="21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11"/>
      <c r="C464" s="2"/>
      <c r="D464" s="2"/>
      <c r="E464" s="2"/>
      <c r="F464" s="2"/>
      <c r="G464" s="2"/>
      <c r="H464" s="2"/>
      <c r="I464" s="21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11"/>
      <c r="C465" s="2"/>
      <c r="D465" s="2"/>
      <c r="E465" s="2"/>
      <c r="F465" s="2"/>
      <c r="G465" s="2"/>
      <c r="H465" s="2"/>
      <c r="I465" s="21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11"/>
      <c r="C466" s="2"/>
      <c r="D466" s="2"/>
      <c r="E466" s="2"/>
      <c r="F466" s="2"/>
      <c r="G466" s="2"/>
      <c r="H466" s="2"/>
      <c r="I466" s="21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11"/>
      <c r="C467" s="2"/>
      <c r="D467" s="2"/>
      <c r="E467" s="2"/>
      <c r="F467" s="2"/>
      <c r="G467" s="2"/>
      <c r="H467" s="2"/>
      <c r="I467" s="21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11"/>
      <c r="C468" s="2"/>
      <c r="D468" s="2"/>
      <c r="E468" s="2"/>
      <c r="F468" s="2"/>
      <c r="G468" s="2"/>
      <c r="H468" s="2"/>
      <c r="I468" s="21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11"/>
      <c r="C469" s="2"/>
      <c r="D469" s="2"/>
      <c r="E469" s="2"/>
      <c r="F469" s="2"/>
      <c r="G469" s="2"/>
      <c r="H469" s="2"/>
      <c r="I469" s="21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11"/>
      <c r="C470" s="2"/>
      <c r="D470" s="2"/>
      <c r="E470" s="2"/>
      <c r="F470" s="2"/>
      <c r="G470" s="2"/>
      <c r="H470" s="2"/>
      <c r="I470" s="21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11"/>
      <c r="C471" s="2"/>
      <c r="D471" s="2"/>
      <c r="E471" s="2"/>
      <c r="F471" s="2"/>
      <c r="G471" s="2"/>
      <c r="H471" s="2"/>
      <c r="I471" s="21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11"/>
      <c r="C472" s="2"/>
      <c r="D472" s="2"/>
      <c r="E472" s="2"/>
      <c r="F472" s="2"/>
      <c r="G472" s="2"/>
      <c r="H472" s="2"/>
      <c r="I472" s="21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11"/>
      <c r="C473" s="2"/>
      <c r="D473" s="2"/>
      <c r="E473" s="2"/>
      <c r="F473" s="2"/>
      <c r="G473" s="2"/>
      <c r="H473" s="2"/>
      <c r="I473" s="21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11"/>
      <c r="C474" s="2"/>
      <c r="D474" s="2"/>
      <c r="E474" s="2"/>
      <c r="F474" s="2"/>
      <c r="G474" s="2"/>
      <c r="H474" s="2"/>
      <c r="I474" s="21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11"/>
      <c r="C475" s="2"/>
      <c r="D475" s="2"/>
      <c r="E475" s="2"/>
      <c r="F475" s="2"/>
      <c r="G475" s="2"/>
      <c r="H475" s="2"/>
      <c r="I475" s="21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11"/>
      <c r="C476" s="2"/>
      <c r="D476" s="2"/>
      <c r="E476" s="2"/>
      <c r="F476" s="2"/>
      <c r="G476" s="2"/>
      <c r="H476" s="2"/>
      <c r="I476" s="21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11"/>
      <c r="C477" s="2"/>
      <c r="D477" s="2"/>
      <c r="E477" s="2"/>
      <c r="F477" s="2"/>
      <c r="G477" s="2"/>
      <c r="H477" s="2"/>
      <c r="I477" s="21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11"/>
      <c r="C478" s="2"/>
      <c r="D478" s="2"/>
      <c r="E478" s="2"/>
      <c r="F478" s="2"/>
      <c r="G478" s="2"/>
      <c r="H478" s="2"/>
      <c r="I478" s="21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11"/>
      <c r="C479" s="2"/>
      <c r="D479" s="2"/>
      <c r="E479" s="2"/>
      <c r="F479" s="2"/>
      <c r="G479" s="2"/>
      <c r="H479" s="2"/>
      <c r="I479" s="21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11"/>
      <c r="C480" s="2"/>
      <c r="D480" s="2"/>
      <c r="E480" s="2"/>
      <c r="F480" s="2"/>
      <c r="G480" s="2"/>
      <c r="H480" s="2"/>
      <c r="I480" s="21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11"/>
      <c r="C481" s="2"/>
      <c r="D481" s="2"/>
      <c r="E481" s="2"/>
      <c r="F481" s="2"/>
      <c r="G481" s="2"/>
      <c r="H481" s="2"/>
      <c r="I481" s="21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11"/>
      <c r="C482" s="2"/>
      <c r="D482" s="2"/>
      <c r="E482" s="2"/>
      <c r="F482" s="2"/>
      <c r="G482" s="2"/>
      <c r="H482" s="2"/>
      <c r="I482" s="21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11"/>
      <c r="C483" s="2"/>
      <c r="D483" s="2"/>
      <c r="E483" s="2"/>
      <c r="F483" s="2"/>
      <c r="G483" s="2"/>
      <c r="H483" s="2"/>
      <c r="I483" s="21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11"/>
      <c r="C484" s="2"/>
      <c r="D484" s="2"/>
      <c r="E484" s="2"/>
      <c r="F484" s="2"/>
      <c r="G484" s="2"/>
      <c r="H484" s="2"/>
      <c r="I484" s="21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11"/>
      <c r="C485" s="2"/>
      <c r="D485" s="2"/>
      <c r="E485" s="2"/>
      <c r="F485" s="2"/>
      <c r="G485" s="2"/>
      <c r="H485" s="2"/>
      <c r="I485" s="21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11"/>
      <c r="C486" s="2"/>
      <c r="D486" s="2"/>
      <c r="E486" s="2"/>
      <c r="F486" s="2"/>
      <c r="G486" s="2"/>
      <c r="H486" s="2"/>
      <c r="I486" s="21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11"/>
      <c r="C487" s="2"/>
      <c r="D487" s="2"/>
      <c r="E487" s="2"/>
      <c r="F487" s="2"/>
      <c r="G487" s="2"/>
      <c r="H487" s="2"/>
      <c r="I487" s="21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11"/>
      <c r="C488" s="2"/>
      <c r="D488" s="2"/>
      <c r="E488" s="2"/>
      <c r="F488" s="2"/>
      <c r="G488" s="2"/>
      <c r="H488" s="2"/>
      <c r="I488" s="21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11"/>
      <c r="C489" s="2"/>
      <c r="D489" s="2"/>
      <c r="E489" s="2"/>
      <c r="F489" s="2"/>
      <c r="G489" s="2"/>
      <c r="H489" s="2"/>
      <c r="I489" s="21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11"/>
      <c r="C490" s="2"/>
      <c r="D490" s="2"/>
      <c r="E490" s="2"/>
      <c r="F490" s="2"/>
      <c r="G490" s="2"/>
      <c r="H490" s="2"/>
      <c r="I490" s="21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11"/>
      <c r="C491" s="2"/>
      <c r="D491" s="2"/>
      <c r="E491" s="2"/>
      <c r="F491" s="2"/>
      <c r="G491" s="2"/>
      <c r="H491" s="2"/>
      <c r="I491" s="21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11"/>
      <c r="C492" s="2"/>
      <c r="D492" s="2"/>
      <c r="E492" s="2"/>
      <c r="F492" s="2"/>
      <c r="G492" s="2"/>
      <c r="H492" s="2"/>
      <c r="I492" s="21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11"/>
      <c r="C493" s="2"/>
      <c r="D493" s="2"/>
      <c r="E493" s="2"/>
      <c r="F493" s="2"/>
      <c r="G493" s="2"/>
      <c r="H493" s="2"/>
      <c r="I493" s="21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11"/>
      <c r="C494" s="2"/>
      <c r="D494" s="2"/>
      <c r="E494" s="2"/>
      <c r="F494" s="2"/>
      <c r="G494" s="2"/>
      <c r="H494" s="2"/>
      <c r="I494" s="21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11"/>
      <c r="C495" s="2"/>
      <c r="D495" s="2"/>
      <c r="E495" s="2"/>
      <c r="F495" s="2"/>
      <c r="G495" s="2"/>
      <c r="H495" s="2"/>
      <c r="I495" s="21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11"/>
      <c r="C496" s="2"/>
      <c r="D496" s="2"/>
      <c r="E496" s="2"/>
      <c r="F496" s="2"/>
      <c r="G496" s="2"/>
      <c r="H496" s="2"/>
      <c r="I496" s="21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11"/>
      <c r="C497" s="2"/>
      <c r="D497" s="2"/>
      <c r="E497" s="2"/>
      <c r="F497" s="2"/>
      <c r="G497" s="2"/>
      <c r="H497" s="2"/>
      <c r="I497" s="21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11"/>
      <c r="C498" s="2"/>
      <c r="D498" s="2"/>
      <c r="E498" s="2"/>
      <c r="F498" s="2"/>
      <c r="G498" s="2"/>
      <c r="H498" s="2"/>
      <c r="I498" s="21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11"/>
      <c r="C499" s="2"/>
      <c r="D499" s="2"/>
      <c r="E499" s="2"/>
      <c r="F499" s="2"/>
      <c r="G499" s="2"/>
      <c r="H499" s="2"/>
      <c r="I499" s="21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11"/>
      <c r="C500" s="2"/>
      <c r="D500" s="2"/>
      <c r="E500" s="2"/>
      <c r="F500" s="2"/>
      <c r="G500" s="2"/>
      <c r="H500" s="2"/>
      <c r="I500" s="21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11"/>
      <c r="C501" s="2"/>
      <c r="D501" s="2"/>
      <c r="E501" s="2"/>
      <c r="F501" s="2"/>
      <c r="G501" s="2"/>
      <c r="H501" s="2"/>
      <c r="I501" s="21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11"/>
      <c r="C502" s="2"/>
      <c r="D502" s="2"/>
      <c r="E502" s="2"/>
      <c r="F502" s="2"/>
      <c r="G502" s="2"/>
      <c r="H502" s="2"/>
      <c r="I502" s="21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11"/>
      <c r="C503" s="2"/>
      <c r="D503" s="2"/>
      <c r="E503" s="2"/>
      <c r="F503" s="2"/>
      <c r="G503" s="2"/>
      <c r="H503" s="2"/>
      <c r="I503" s="21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11"/>
      <c r="C504" s="2"/>
      <c r="D504" s="2"/>
      <c r="E504" s="2"/>
      <c r="F504" s="2"/>
      <c r="G504" s="2"/>
      <c r="H504" s="2"/>
      <c r="I504" s="21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11"/>
      <c r="C505" s="2"/>
      <c r="D505" s="2"/>
      <c r="E505" s="2"/>
      <c r="F505" s="2"/>
      <c r="G505" s="2"/>
      <c r="H505" s="2"/>
      <c r="I505" s="21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11"/>
      <c r="C506" s="2"/>
      <c r="D506" s="2"/>
      <c r="E506" s="2"/>
      <c r="F506" s="2"/>
      <c r="G506" s="2"/>
      <c r="H506" s="2"/>
      <c r="I506" s="21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11"/>
      <c r="C507" s="2"/>
      <c r="D507" s="2"/>
      <c r="E507" s="2"/>
      <c r="F507" s="2"/>
      <c r="G507" s="2"/>
      <c r="H507" s="2"/>
      <c r="I507" s="21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11"/>
      <c r="C508" s="2"/>
      <c r="D508" s="2"/>
      <c r="E508" s="2"/>
      <c r="F508" s="2"/>
      <c r="G508" s="2"/>
      <c r="H508" s="2"/>
      <c r="I508" s="21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11"/>
      <c r="C509" s="2"/>
      <c r="D509" s="2"/>
      <c r="E509" s="2"/>
      <c r="F509" s="2"/>
      <c r="G509" s="2"/>
      <c r="H509" s="2"/>
      <c r="I509" s="21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11"/>
      <c r="C510" s="2"/>
      <c r="D510" s="2"/>
      <c r="E510" s="2"/>
      <c r="F510" s="2"/>
      <c r="G510" s="2"/>
      <c r="H510" s="2"/>
      <c r="I510" s="21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11"/>
      <c r="C511" s="2"/>
      <c r="D511" s="2"/>
      <c r="E511" s="2"/>
      <c r="F511" s="2"/>
      <c r="G511" s="2"/>
      <c r="H511" s="2"/>
      <c r="I511" s="21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11"/>
      <c r="C512" s="2"/>
      <c r="D512" s="2"/>
      <c r="E512" s="2"/>
      <c r="F512" s="2"/>
      <c r="G512" s="2"/>
      <c r="H512" s="2"/>
      <c r="I512" s="21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11"/>
      <c r="C513" s="2"/>
      <c r="D513" s="2"/>
      <c r="E513" s="2"/>
      <c r="F513" s="2"/>
      <c r="G513" s="2"/>
      <c r="H513" s="2"/>
      <c r="I513" s="21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11"/>
      <c r="C514" s="2"/>
      <c r="D514" s="2"/>
      <c r="E514" s="2"/>
      <c r="F514" s="2"/>
      <c r="G514" s="2"/>
      <c r="H514" s="2"/>
      <c r="I514" s="21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11"/>
      <c r="C515" s="2"/>
      <c r="D515" s="2"/>
      <c r="E515" s="2"/>
      <c r="F515" s="2"/>
      <c r="G515" s="2"/>
      <c r="H515" s="2"/>
      <c r="I515" s="21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11"/>
      <c r="C516" s="2"/>
      <c r="D516" s="2"/>
      <c r="E516" s="2"/>
      <c r="F516" s="2"/>
      <c r="G516" s="2"/>
      <c r="H516" s="2"/>
      <c r="I516" s="21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11"/>
      <c r="C517" s="2"/>
      <c r="D517" s="2"/>
      <c r="E517" s="2"/>
      <c r="F517" s="2"/>
      <c r="G517" s="2"/>
      <c r="H517" s="2"/>
      <c r="I517" s="21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11"/>
      <c r="C518" s="2"/>
      <c r="D518" s="2"/>
      <c r="E518" s="2"/>
      <c r="F518" s="2"/>
      <c r="G518" s="2"/>
      <c r="H518" s="2"/>
      <c r="I518" s="21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11"/>
      <c r="C519" s="2"/>
      <c r="D519" s="2"/>
      <c r="E519" s="2"/>
      <c r="F519" s="2"/>
      <c r="G519" s="2"/>
      <c r="H519" s="2"/>
      <c r="I519" s="21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11"/>
      <c r="C520" s="2"/>
      <c r="D520" s="2"/>
      <c r="E520" s="2"/>
      <c r="F520" s="2"/>
      <c r="G520" s="2"/>
      <c r="H520" s="2"/>
      <c r="I520" s="21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11"/>
      <c r="C521" s="2"/>
      <c r="D521" s="2"/>
      <c r="E521" s="2"/>
      <c r="F521" s="2"/>
      <c r="G521" s="2"/>
      <c r="H521" s="2"/>
      <c r="I521" s="21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11"/>
      <c r="C522" s="2"/>
      <c r="D522" s="2"/>
      <c r="E522" s="2"/>
      <c r="F522" s="2"/>
      <c r="G522" s="2"/>
      <c r="H522" s="2"/>
      <c r="I522" s="21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11"/>
      <c r="C523" s="2"/>
      <c r="D523" s="2"/>
      <c r="E523" s="2"/>
      <c r="F523" s="2"/>
      <c r="G523" s="2"/>
      <c r="H523" s="2"/>
      <c r="I523" s="21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11"/>
      <c r="C524" s="2"/>
      <c r="D524" s="2"/>
      <c r="E524" s="2"/>
      <c r="F524" s="2"/>
      <c r="G524" s="2"/>
      <c r="H524" s="2"/>
      <c r="I524" s="21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11"/>
      <c r="C525" s="2"/>
      <c r="D525" s="2"/>
      <c r="E525" s="2"/>
      <c r="F525" s="2"/>
      <c r="G525" s="2"/>
      <c r="H525" s="2"/>
      <c r="I525" s="21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11"/>
      <c r="C526" s="2"/>
      <c r="D526" s="2"/>
      <c r="E526" s="2"/>
      <c r="F526" s="2"/>
      <c r="G526" s="2"/>
      <c r="H526" s="2"/>
      <c r="I526" s="21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11"/>
      <c r="C527" s="2"/>
      <c r="D527" s="2"/>
      <c r="E527" s="2"/>
      <c r="F527" s="2"/>
      <c r="G527" s="2"/>
      <c r="H527" s="2"/>
      <c r="I527" s="21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11"/>
      <c r="C528" s="2"/>
      <c r="D528" s="2"/>
      <c r="E528" s="2"/>
      <c r="F528" s="2"/>
      <c r="G528" s="2"/>
      <c r="H528" s="2"/>
      <c r="I528" s="21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11"/>
      <c r="C529" s="2"/>
      <c r="D529" s="2"/>
      <c r="E529" s="2"/>
      <c r="F529" s="2"/>
      <c r="G529" s="2"/>
      <c r="H529" s="2"/>
      <c r="I529" s="21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11"/>
      <c r="C530" s="2"/>
      <c r="D530" s="2"/>
      <c r="E530" s="2"/>
      <c r="F530" s="2"/>
      <c r="G530" s="2"/>
      <c r="H530" s="2"/>
      <c r="I530" s="21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11"/>
      <c r="C531" s="2"/>
      <c r="D531" s="2"/>
      <c r="E531" s="2"/>
      <c r="F531" s="2"/>
      <c r="G531" s="2"/>
      <c r="H531" s="2"/>
      <c r="I531" s="21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11"/>
      <c r="C532" s="2"/>
      <c r="D532" s="2"/>
      <c r="E532" s="2"/>
      <c r="F532" s="2"/>
      <c r="G532" s="2"/>
      <c r="H532" s="2"/>
      <c r="I532" s="21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11"/>
      <c r="C533" s="2"/>
      <c r="D533" s="2"/>
      <c r="E533" s="2"/>
      <c r="F533" s="2"/>
      <c r="G533" s="2"/>
      <c r="H533" s="2"/>
      <c r="I533" s="21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11"/>
      <c r="C534" s="2"/>
      <c r="D534" s="2"/>
      <c r="E534" s="2"/>
      <c r="F534" s="2"/>
      <c r="G534" s="2"/>
      <c r="H534" s="2"/>
      <c r="I534" s="21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11"/>
      <c r="C535" s="2"/>
      <c r="D535" s="2"/>
      <c r="E535" s="2"/>
      <c r="F535" s="2"/>
      <c r="G535" s="2"/>
      <c r="H535" s="2"/>
      <c r="I535" s="21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11"/>
      <c r="C536" s="2"/>
      <c r="D536" s="2"/>
      <c r="E536" s="2"/>
      <c r="F536" s="2"/>
      <c r="G536" s="2"/>
      <c r="H536" s="2"/>
      <c r="I536" s="21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11"/>
      <c r="C537" s="2"/>
      <c r="D537" s="2"/>
      <c r="E537" s="2"/>
      <c r="F537" s="2"/>
      <c r="G537" s="2"/>
      <c r="H537" s="2"/>
      <c r="I537" s="21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11"/>
      <c r="C538" s="2"/>
      <c r="D538" s="2"/>
      <c r="E538" s="2"/>
      <c r="F538" s="2"/>
      <c r="G538" s="2"/>
      <c r="H538" s="2"/>
      <c r="I538" s="21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11"/>
      <c r="C539" s="2"/>
      <c r="D539" s="2"/>
      <c r="E539" s="2"/>
      <c r="F539" s="2"/>
      <c r="G539" s="2"/>
      <c r="H539" s="2"/>
      <c r="I539" s="21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11"/>
      <c r="C540" s="2"/>
      <c r="D540" s="2"/>
      <c r="E540" s="2"/>
      <c r="F540" s="2"/>
      <c r="G540" s="2"/>
      <c r="H540" s="2"/>
      <c r="I540" s="21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11"/>
      <c r="C541" s="2"/>
      <c r="D541" s="2"/>
      <c r="E541" s="2"/>
      <c r="F541" s="2"/>
      <c r="G541" s="2"/>
      <c r="H541" s="2"/>
      <c r="I541" s="21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11"/>
      <c r="C542" s="2"/>
      <c r="D542" s="2"/>
      <c r="E542" s="2"/>
      <c r="F542" s="2"/>
      <c r="G542" s="2"/>
      <c r="H542" s="2"/>
      <c r="I542" s="21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11"/>
      <c r="C543" s="2"/>
      <c r="D543" s="2"/>
      <c r="E543" s="2"/>
      <c r="F543" s="2"/>
      <c r="G543" s="2"/>
      <c r="H543" s="2"/>
      <c r="I543" s="21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11"/>
      <c r="C544" s="2"/>
      <c r="D544" s="2"/>
      <c r="E544" s="2"/>
      <c r="F544" s="2"/>
      <c r="G544" s="2"/>
      <c r="H544" s="2"/>
      <c r="I544" s="21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11"/>
      <c r="C545" s="2"/>
      <c r="D545" s="2"/>
      <c r="E545" s="2"/>
      <c r="F545" s="2"/>
      <c r="G545" s="2"/>
      <c r="H545" s="2"/>
      <c r="I545" s="21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11"/>
      <c r="C546" s="2"/>
      <c r="D546" s="2"/>
      <c r="E546" s="2"/>
      <c r="F546" s="2"/>
      <c r="G546" s="2"/>
      <c r="H546" s="2"/>
      <c r="I546" s="21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11"/>
      <c r="C547" s="2"/>
      <c r="D547" s="2"/>
      <c r="E547" s="2"/>
      <c r="F547" s="2"/>
      <c r="G547" s="2"/>
      <c r="H547" s="2"/>
      <c r="I547" s="21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11"/>
      <c r="C548" s="2"/>
      <c r="D548" s="2"/>
      <c r="E548" s="2"/>
      <c r="F548" s="2"/>
      <c r="G548" s="2"/>
      <c r="H548" s="2"/>
      <c r="I548" s="21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11"/>
      <c r="C549" s="2"/>
      <c r="D549" s="2"/>
      <c r="E549" s="2"/>
      <c r="F549" s="2"/>
      <c r="G549" s="2"/>
      <c r="H549" s="2"/>
      <c r="I549" s="21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11"/>
      <c r="C550" s="2"/>
      <c r="D550" s="2"/>
      <c r="E550" s="2"/>
      <c r="F550" s="2"/>
      <c r="G550" s="2"/>
      <c r="H550" s="2"/>
      <c r="I550" s="21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11"/>
      <c r="C551" s="2"/>
      <c r="D551" s="2"/>
      <c r="E551" s="2"/>
      <c r="F551" s="2"/>
      <c r="G551" s="2"/>
      <c r="H551" s="2"/>
      <c r="I551" s="21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11"/>
      <c r="C552" s="2"/>
      <c r="D552" s="2"/>
      <c r="E552" s="2"/>
      <c r="F552" s="2"/>
      <c r="G552" s="2"/>
      <c r="H552" s="2"/>
      <c r="I552" s="21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11"/>
      <c r="C553" s="2"/>
      <c r="D553" s="2"/>
      <c r="E553" s="2"/>
      <c r="F553" s="2"/>
      <c r="G553" s="2"/>
      <c r="H553" s="2"/>
      <c r="I553" s="21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11"/>
      <c r="C554" s="2"/>
      <c r="D554" s="2"/>
      <c r="E554" s="2"/>
      <c r="F554" s="2"/>
      <c r="G554" s="2"/>
      <c r="H554" s="2"/>
      <c r="I554" s="21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11"/>
      <c r="C555" s="2"/>
      <c r="D555" s="2"/>
      <c r="E555" s="2"/>
      <c r="F555" s="2"/>
      <c r="G555" s="2"/>
      <c r="H555" s="2"/>
      <c r="I555" s="21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11"/>
      <c r="C556" s="2"/>
      <c r="D556" s="2"/>
      <c r="E556" s="2"/>
      <c r="F556" s="2"/>
      <c r="G556" s="2"/>
      <c r="H556" s="2"/>
      <c r="I556" s="21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11"/>
      <c r="C557" s="2"/>
      <c r="D557" s="2"/>
      <c r="E557" s="2"/>
      <c r="F557" s="2"/>
      <c r="G557" s="2"/>
      <c r="H557" s="2"/>
      <c r="I557" s="21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11"/>
      <c r="C558" s="2"/>
      <c r="D558" s="2"/>
      <c r="E558" s="2"/>
      <c r="F558" s="2"/>
      <c r="G558" s="2"/>
      <c r="H558" s="2"/>
      <c r="I558" s="21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11"/>
      <c r="C559" s="2"/>
      <c r="D559" s="2"/>
      <c r="E559" s="2"/>
      <c r="F559" s="2"/>
      <c r="G559" s="2"/>
      <c r="H559" s="2"/>
      <c r="I559" s="21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11"/>
      <c r="C560" s="2"/>
      <c r="D560" s="2"/>
      <c r="E560" s="2"/>
      <c r="F560" s="2"/>
      <c r="G560" s="2"/>
      <c r="H560" s="2"/>
      <c r="I560" s="21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11"/>
      <c r="C561" s="2"/>
      <c r="D561" s="2"/>
      <c r="E561" s="2"/>
      <c r="F561" s="2"/>
      <c r="G561" s="2"/>
      <c r="H561" s="2"/>
      <c r="I561" s="21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11"/>
      <c r="C562" s="2"/>
      <c r="D562" s="2"/>
      <c r="E562" s="2"/>
      <c r="F562" s="2"/>
      <c r="G562" s="2"/>
      <c r="H562" s="2"/>
      <c r="I562" s="21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11"/>
      <c r="C563" s="2"/>
      <c r="D563" s="2"/>
      <c r="E563" s="2"/>
      <c r="F563" s="2"/>
      <c r="G563" s="2"/>
      <c r="H563" s="2"/>
      <c r="I563" s="21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11"/>
      <c r="C564" s="2"/>
      <c r="D564" s="2"/>
      <c r="E564" s="2"/>
      <c r="F564" s="2"/>
      <c r="G564" s="2"/>
      <c r="H564" s="2"/>
      <c r="I564" s="21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11"/>
      <c r="C565" s="2"/>
      <c r="D565" s="2"/>
      <c r="E565" s="2"/>
      <c r="F565" s="2"/>
      <c r="G565" s="2"/>
      <c r="H565" s="2"/>
      <c r="I565" s="21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11"/>
      <c r="C566" s="2"/>
      <c r="D566" s="2"/>
      <c r="E566" s="2"/>
      <c r="F566" s="2"/>
      <c r="G566" s="2"/>
      <c r="H566" s="2"/>
      <c r="I566" s="21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11"/>
      <c r="C567" s="2"/>
      <c r="D567" s="2"/>
      <c r="E567" s="2"/>
      <c r="F567" s="2"/>
      <c r="G567" s="2"/>
      <c r="H567" s="2"/>
      <c r="I567" s="21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11"/>
      <c r="C568" s="2"/>
      <c r="D568" s="2"/>
      <c r="E568" s="2"/>
      <c r="F568" s="2"/>
      <c r="G568" s="2"/>
      <c r="H568" s="2"/>
      <c r="I568" s="21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11"/>
      <c r="C569" s="2"/>
      <c r="D569" s="2"/>
      <c r="E569" s="2"/>
      <c r="F569" s="2"/>
      <c r="G569" s="2"/>
      <c r="H569" s="2"/>
      <c r="I569" s="21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11"/>
      <c r="C570" s="2"/>
      <c r="D570" s="2"/>
      <c r="E570" s="2"/>
      <c r="F570" s="2"/>
      <c r="G570" s="2"/>
      <c r="H570" s="2"/>
      <c r="I570" s="21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11"/>
      <c r="C571" s="2"/>
      <c r="D571" s="2"/>
      <c r="E571" s="2"/>
      <c r="F571" s="2"/>
      <c r="G571" s="2"/>
      <c r="H571" s="2"/>
      <c r="I571" s="21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11"/>
      <c r="C572" s="2"/>
      <c r="D572" s="2"/>
      <c r="E572" s="2"/>
      <c r="F572" s="2"/>
      <c r="G572" s="2"/>
      <c r="H572" s="2"/>
      <c r="I572" s="21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11"/>
      <c r="C573" s="2"/>
      <c r="D573" s="2"/>
      <c r="E573" s="2"/>
      <c r="F573" s="2"/>
      <c r="G573" s="2"/>
      <c r="H573" s="2"/>
      <c r="I573" s="21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11"/>
      <c r="C574" s="2"/>
      <c r="D574" s="2"/>
      <c r="E574" s="2"/>
      <c r="F574" s="2"/>
      <c r="G574" s="2"/>
      <c r="H574" s="2"/>
      <c r="I574" s="21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11"/>
      <c r="C575" s="2"/>
      <c r="D575" s="2"/>
      <c r="E575" s="2"/>
      <c r="F575" s="2"/>
      <c r="G575" s="2"/>
      <c r="H575" s="2"/>
      <c r="I575" s="21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11"/>
      <c r="C576" s="2"/>
      <c r="D576" s="2"/>
      <c r="E576" s="2"/>
      <c r="F576" s="2"/>
      <c r="G576" s="2"/>
      <c r="H576" s="2"/>
      <c r="I576" s="21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11"/>
      <c r="C577" s="2"/>
      <c r="D577" s="2"/>
      <c r="E577" s="2"/>
      <c r="F577" s="2"/>
      <c r="G577" s="2"/>
      <c r="H577" s="2"/>
      <c r="I577" s="21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11"/>
      <c r="C578" s="2"/>
      <c r="D578" s="2"/>
      <c r="E578" s="2"/>
      <c r="F578" s="2"/>
      <c r="G578" s="2"/>
      <c r="H578" s="2"/>
      <c r="I578" s="21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11"/>
      <c r="C579" s="2"/>
      <c r="D579" s="2"/>
      <c r="E579" s="2"/>
      <c r="F579" s="2"/>
      <c r="G579" s="2"/>
      <c r="H579" s="2"/>
      <c r="I579" s="21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11"/>
      <c r="C580" s="2"/>
      <c r="D580" s="2"/>
      <c r="E580" s="2"/>
      <c r="F580" s="2"/>
      <c r="G580" s="2"/>
      <c r="H580" s="2"/>
      <c r="I580" s="21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11"/>
      <c r="C581" s="2"/>
      <c r="D581" s="2"/>
      <c r="E581" s="2"/>
      <c r="F581" s="2"/>
      <c r="G581" s="2"/>
      <c r="H581" s="2"/>
      <c r="I581" s="21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11"/>
      <c r="C582" s="2"/>
      <c r="D582" s="2"/>
      <c r="E582" s="2"/>
      <c r="F582" s="2"/>
      <c r="G582" s="2"/>
      <c r="H582" s="2"/>
      <c r="I582" s="21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11"/>
      <c r="C583" s="2"/>
      <c r="D583" s="2"/>
      <c r="E583" s="2"/>
      <c r="F583" s="2"/>
      <c r="G583" s="2"/>
      <c r="H583" s="2"/>
      <c r="I583" s="21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11"/>
      <c r="C584" s="2"/>
      <c r="D584" s="2"/>
      <c r="E584" s="2"/>
      <c r="F584" s="2"/>
      <c r="G584" s="2"/>
      <c r="H584" s="2"/>
      <c r="I584" s="21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11"/>
      <c r="C585" s="2"/>
      <c r="D585" s="2"/>
      <c r="E585" s="2"/>
      <c r="F585" s="2"/>
      <c r="G585" s="2"/>
      <c r="H585" s="2"/>
      <c r="I585" s="21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11"/>
      <c r="C586" s="2"/>
      <c r="D586" s="2"/>
      <c r="E586" s="2"/>
      <c r="F586" s="2"/>
      <c r="G586" s="2"/>
      <c r="H586" s="2"/>
      <c r="I586" s="21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11"/>
      <c r="C587" s="2"/>
      <c r="D587" s="2"/>
      <c r="E587" s="2"/>
      <c r="F587" s="2"/>
      <c r="G587" s="2"/>
      <c r="H587" s="2"/>
      <c r="I587" s="21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11"/>
      <c r="C588" s="2"/>
      <c r="D588" s="2"/>
      <c r="E588" s="2"/>
      <c r="F588" s="2"/>
      <c r="G588" s="2"/>
      <c r="H588" s="2"/>
      <c r="I588" s="21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11"/>
      <c r="C589" s="2"/>
      <c r="D589" s="2"/>
      <c r="E589" s="2"/>
      <c r="F589" s="2"/>
      <c r="G589" s="2"/>
      <c r="H589" s="2"/>
      <c r="I589" s="21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11"/>
      <c r="C590" s="2"/>
      <c r="D590" s="2"/>
      <c r="E590" s="2"/>
      <c r="F590" s="2"/>
      <c r="G590" s="2"/>
      <c r="H590" s="2"/>
      <c r="I590" s="21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11"/>
      <c r="C591" s="2"/>
      <c r="D591" s="2"/>
      <c r="E591" s="2"/>
      <c r="F591" s="2"/>
      <c r="G591" s="2"/>
      <c r="H591" s="2"/>
      <c r="I591" s="21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11"/>
      <c r="C592" s="2"/>
      <c r="D592" s="2"/>
      <c r="E592" s="2"/>
      <c r="F592" s="2"/>
      <c r="G592" s="2"/>
      <c r="H592" s="2"/>
      <c r="I592" s="21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11"/>
      <c r="C593" s="2"/>
      <c r="D593" s="2"/>
      <c r="E593" s="2"/>
      <c r="F593" s="2"/>
      <c r="G593" s="2"/>
      <c r="H593" s="2"/>
      <c r="I593" s="21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11"/>
      <c r="C594" s="2"/>
      <c r="D594" s="2"/>
      <c r="E594" s="2"/>
      <c r="F594" s="2"/>
      <c r="G594" s="2"/>
      <c r="H594" s="2"/>
      <c r="I594" s="21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11"/>
      <c r="C595" s="2"/>
      <c r="D595" s="2"/>
      <c r="E595" s="2"/>
      <c r="F595" s="2"/>
      <c r="G595" s="2"/>
      <c r="H595" s="2"/>
      <c r="I595" s="21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11"/>
      <c r="C596" s="2"/>
      <c r="D596" s="2"/>
      <c r="E596" s="2"/>
      <c r="F596" s="2"/>
      <c r="G596" s="2"/>
      <c r="H596" s="2"/>
      <c r="I596" s="21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11"/>
      <c r="C597" s="2"/>
      <c r="D597" s="2"/>
      <c r="E597" s="2"/>
      <c r="F597" s="2"/>
      <c r="G597" s="2"/>
      <c r="H597" s="2"/>
      <c r="I597" s="21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11"/>
      <c r="C598" s="2"/>
      <c r="D598" s="2"/>
      <c r="E598" s="2"/>
      <c r="F598" s="2"/>
      <c r="G598" s="2"/>
      <c r="H598" s="2"/>
      <c r="I598" s="21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11"/>
      <c r="C599" s="2"/>
      <c r="D599" s="2"/>
      <c r="E599" s="2"/>
      <c r="F599" s="2"/>
      <c r="G599" s="2"/>
      <c r="H599" s="2"/>
      <c r="I599" s="21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11"/>
      <c r="C600" s="2"/>
      <c r="D600" s="2"/>
      <c r="E600" s="2"/>
      <c r="F600" s="2"/>
      <c r="G600" s="2"/>
      <c r="H600" s="2"/>
      <c r="I600" s="21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11"/>
      <c r="C601" s="2"/>
      <c r="D601" s="2"/>
      <c r="E601" s="2"/>
      <c r="F601" s="2"/>
      <c r="G601" s="2"/>
      <c r="H601" s="2"/>
      <c r="I601" s="21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11"/>
      <c r="C602" s="2"/>
      <c r="D602" s="2"/>
      <c r="E602" s="2"/>
      <c r="F602" s="2"/>
      <c r="G602" s="2"/>
      <c r="H602" s="2"/>
      <c r="I602" s="21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11"/>
      <c r="C603" s="2"/>
      <c r="D603" s="2"/>
      <c r="E603" s="2"/>
      <c r="F603" s="2"/>
      <c r="G603" s="2"/>
      <c r="H603" s="2"/>
      <c r="I603" s="21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11"/>
      <c r="C604" s="2"/>
      <c r="D604" s="2"/>
      <c r="E604" s="2"/>
      <c r="F604" s="2"/>
      <c r="G604" s="2"/>
      <c r="H604" s="2"/>
      <c r="I604" s="21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11"/>
      <c r="C605" s="2"/>
      <c r="D605" s="2"/>
      <c r="E605" s="2"/>
      <c r="F605" s="2"/>
      <c r="G605" s="2"/>
      <c r="H605" s="2"/>
      <c r="I605" s="21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11"/>
      <c r="C606" s="2"/>
      <c r="D606" s="2"/>
      <c r="E606" s="2"/>
      <c r="F606" s="2"/>
      <c r="G606" s="2"/>
      <c r="H606" s="2"/>
      <c r="I606" s="21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11"/>
      <c r="C607" s="2"/>
      <c r="D607" s="2"/>
      <c r="E607" s="2"/>
      <c r="F607" s="2"/>
      <c r="G607" s="2"/>
      <c r="H607" s="2"/>
      <c r="I607" s="21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11"/>
      <c r="C608" s="2"/>
      <c r="D608" s="2"/>
      <c r="E608" s="2"/>
      <c r="F608" s="2"/>
      <c r="G608" s="2"/>
      <c r="H608" s="2"/>
      <c r="I608" s="21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11"/>
      <c r="C609" s="2"/>
      <c r="D609" s="2"/>
      <c r="E609" s="2"/>
      <c r="F609" s="2"/>
      <c r="G609" s="2"/>
      <c r="H609" s="2"/>
      <c r="I609" s="21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11"/>
      <c r="C610" s="2"/>
      <c r="D610" s="2"/>
      <c r="E610" s="2"/>
      <c r="F610" s="2"/>
      <c r="G610" s="2"/>
      <c r="H610" s="2"/>
      <c r="I610" s="21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11"/>
      <c r="C611" s="2"/>
      <c r="D611" s="2"/>
      <c r="E611" s="2"/>
      <c r="F611" s="2"/>
      <c r="G611" s="2"/>
      <c r="H611" s="2"/>
      <c r="I611" s="21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11"/>
      <c r="C612" s="2"/>
      <c r="D612" s="2"/>
      <c r="E612" s="2"/>
      <c r="F612" s="2"/>
      <c r="G612" s="2"/>
      <c r="H612" s="2"/>
      <c r="I612" s="21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11"/>
      <c r="C613" s="2"/>
      <c r="D613" s="2"/>
      <c r="E613" s="2"/>
      <c r="F613" s="2"/>
      <c r="G613" s="2"/>
      <c r="H613" s="2"/>
      <c r="I613" s="21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11"/>
      <c r="C614" s="2"/>
      <c r="D614" s="2"/>
      <c r="E614" s="2"/>
      <c r="F614" s="2"/>
      <c r="G614" s="2"/>
      <c r="H614" s="2"/>
      <c r="I614" s="21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11"/>
      <c r="C615" s="2"/>
      <c r="D615" s="2"/>
      <c r="E615" s="2"/>
      <c r="F615" s="2"/>
      <c r="G615" s="2"/>
      <c r="H615" s="2"/>
      <c r="I615" s="21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11"/>
      <c r="C616" s="2"/>
      <c r="D616" s="2"/>
      <c r="E616" s="2"/>
      <c r="F616" s="2"/>
      <c r="G616" s="2"/>
      <c r="H616" s="2"/>
      <c r="I616" s="21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11"/>
      <c r="C617" s="2"/>
      <c r="D617" s="2"/>
      <c r="E617" s="2"/>
      <c r="F617" s="2"/>
      <c r="G617" s="2"/>
      <c r="H617" s="2"/>
      <c r="I617" s="21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11"/>
      <c r="C618" s="2"/>
      <c r="D618" s="2"/>
      <c r="E618" s="2"/>
      <c r="F618" s="2"/>
      <c r="G618" s="2"/>
      <c r="H618" s="2"/>
      <c r="I618" s="21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11"/>
      <c r="C619" s="2"/>
      <c r="D619" s="2"/>
      <c r="E619" s="2"/>
      <c r="F619" s="2"/>
      <c r="G619" s="2"/>
      <c r="H619" s="2"/>
      <c r="I619" s="21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11"/>
      <c r="C620" s="2"/>
      <c r="D620" s="2"/>
      <c r="E620" s="2"/>
      <c r="F620" s="2"/>
      <c r="G620" s="2"/>
      <c r="H620" s="2"/>
      <c r="I620" s="21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11"/>
      <c r="C621" s="2"/>
      <c r="D621" s="2"/>
      <c r="E621" s="2"/>
      <c r="F621" s="2"/>
      <c r="G621" s="2"/>
      <c r="H621" s="2"/>
      <c r="I621" s="21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11"/>
      <c r="C622" s="2"/>
      <c r="D622" s="2"/>
      <c r="E622" s="2"/>
      <c r="F622" s="2"/>
      <c r="G622" s="2"/>
      <c r="H622" s="2"/>
      <c r="I622" s="21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11"/>
      <c r="C623" s="2"/>
      <c r="D623" s="2"/>
      <c r="E623" s="2"/>
      <c r="F623" s="2"/>
      <c r="G623" s="2"/>
      <c r="H623" s="2"/>
      <c r="I623" s="21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11"/>
      <c r="C624" s="2"/>
      <c r="D624" s="2"/>
      <c r="E624" s="2"/>
      <c r="F624" s="2"/>
      <c r="G624" s="2"/>
      <c r="H624" s="2"/>
      <c r="I624" s="21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11"/>
      <c r="C625" s="2"/>
      <c r="D625" s="2"/>
      <c r="E625" s="2"/>
      <c r="F625" s="2"/>
      <c r="G625" s="2"/>
      <c r="H625" s="2"/>
      <c r="I625" s="21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11"/>
      <c r="C626" s="2"/>
      <c r="D626" s="2"/>
      <c r="E626" s="2"/>
      <c r="F626" s="2"/>
      <c r="G626" s="2"/>
      <c r="H626" s="2"/>
      <c r="I626" s="21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11"/>
      <c r="C627" s="2"/>
      <c r="D627" s="2"/>
      <c r="E627" s="2"/>
      <c r="F627" s="2"/>
      <c r="G627" s="2"/>
      <c r="H627" s="2"/>
      <c r="I627" s="21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11"/>
      <c r="C628" s="2"/>
      <c r="D628" s="2"/>
      <c r="E628" s="2"/>
      <c r="F628" s="2"/>
      <c r="G628" s="2"/>
      <c r="H628" s="2"/>
      <c r="I628" s="21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11"/>
      <c r="C629" s="2"/>
      <c r="D629" s="2"/>
      <c r="E629" s="2"/>
      <c r="F629" s="2"/>
      <c r="G629" s="2"/>
      <c r="H629" s="2"/>
      <c r="I629" s="21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11"/>
      <c r="C630" s="2"/>
      <c r="D630" s="2"/>
      <c r="E630" s="2"/>
      <c r="F630" s="2"/>
      <c r="G630" s="2"/>
      <c r="H630" s="2"/>
      <c r="I630" s="21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11"/>
      <c r="C631" s="2"/>
      <c r="D631" s="2"/>
      <c r="E631" s="2"/>
      <c r="F631" s="2"/>
      <c r="G631" s="2"/>
      <c r="H631" s="2"/>
      <c r="I631" s="21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11"/>
      <c r="C632" s="2"/>
      <c r="D632" s="2"/>
      <c r="E632" s="2"/>
      <c r="F632" s="2"/>
      <c r="G632" s="2"/>
      <c r="H632" s="2"/>
      <c r="I632" s="21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11"/>
      <c r="C633" s="2"/>
      <c r="D633" s="2"/>
      <c r="E633" s="2"/>
      <c r="F633" s="2"/>
      <c r="G633" s="2"/>
      <c r="H633" s="2"/>
      <c r="I633" s="21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11"/>
      <c r="C634" s="2"/>
      <c r="D634" s="2"/>
      <c r="E634" s="2"/>
      <c r="F634" s="2"/>
      <c r="G634" s="2"/>
      <c r="H634" s="2"/>
      <c r="I634" s="21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11"/>
      <c r="C635" s="2"/>
      <c r="D635" s="2"/>
      <c r="E635" s="2"/>
      <c r="F635" s="2"/>
      <c r="G635" s="2"/>
      <c r="H635" s="2"/>
      <c r="I635" s="21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11"/>
      <c r="C636" s="2"/>
      <c r="D636" s="2"/>
      <c r="E636" s="2"/>
      <c r="F636" s="2"/>
      <c r="G636" s="2"/>
      <c r="H636" s="2"/>
      <c r="I636" s="21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11"/>
      <c r="C637" s="2"/>
      <c r="D637" s="2"/>
      <c r="E637" s="2"/>
      <c r="F637" s="2"/>
      <c r="G637" s="2"/>
      <c r="H637" s="2"/>
      <c r="I637" s="21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11"/>
      <c r="C638" s="2"/>
      <c r="D638" s="2"/>
      <c r="E638" s="2"/>
      <c r="F638" s="2"/>
      <c r="G638" s="2"/>
      <c r="H638" s="2"/>
      <c r="I638" s="21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11"/>
      <c r="C639" s="2"/>
      <c r="D639" s="2"/>
      <c r="E639" s="2"/>
      <c r="F639" s="2"/>
      <c r="G639" s="2"/>
      <c r="H639" s="2"/>
      <c r="I639" s="21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11"/>
      <c r="C640" s="2"/>
      <c r="D640" s="2"/>
      <c r="E640" s="2"/>
      <c r="F640" s="2"/>
      <c r="G640" s="2"/>
      <c r="H640" s="2"/>
      <c r="I640" s="21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11"/>
      <c r="C641" s="2"/>
      <c r="D641" s="2"/>
      <c r="E641" s="2"/>
      <c r="F641" s="2"/>
      <c r="G641" s="2"/>
      <c r="H641" s="2"/>
      <c r="I641" s="21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11"/>
      <c r="C642" s="2"/>
      <c r="D642" s="2"/>
      <c r="E642" s="2"/>
      <c r="F642" s="2"/>
      <c r="G642" s="2"/>
      <c r="H642" s="2"/>
      <c r="I642" s="21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11"/>
      <c r="C643" s="2"/>
      <c r="D643" s="2"/>
      <c r="E643" s="2"/>
      <c r="F643" s="2"/>
      <c r="G643" s="2"/>
      <c r="H643" s="2"/>
      <c r="I643" s="21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11"/>
      <c r="C644" s="2"/>
      <c r="D644" s="2"/>
      <c r="E644" s="2"/>
      <c r="F644" s="2"/>
      <c r="G644" s="2"/>
      <c r="H644" s="2"/>
      <c r="I644" s="21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11"/>
      <c r="C645" s="2"/>
      <c r="D645" s="2"/>
      <c r="E645" s="2"/>
      <c r="F645" s="2"/>
      <c r="G645" s="2"/>
      <c r="H645" s="2"/>
      <c r="I645" s="21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11"/>
      <c r="C646" s="2"/>
      <c r="D646" s="2"/>
      <c r="E646" s="2"/>
      <c r="F646" s="2"/>
      <c r="G646" s="2"/>
      <c r="H646" s="2"/>
      <c r="I646" s="21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11"/>
      <c r="C647" s="2"/>
      <c r="D647" s="2"/>
      <c r="E647" s="2"/>
      <c r="F647" s="2"/>
      <c r="G647" s="2"/>
      <c r="H647" s="2"/>
      <c r="I647" s="21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11"/>
      <c r="C648" s="2"/>
      <c r="D648" s="2"/>
      <c r="E648" s="2"/>
      <c r="F648" s="2"/>
      <c r="G648" s="2"/>
      <c r="H648" s="2"/>
      <c r="I648" s="21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11"/>
      <c r="C649" s="2"/>
      <c r="D649" s="2"/>
      <c r="E649" s="2"/>
      <c r="F649" s="2"/>
      <c r="G649" s="2"/>
      <c r="H649" s="2"/>
      <c r="I649" s="21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11"/>
      <c r="C650" s="2"/>
      <c r="D650" s="2"/>
      <c r="E650" s="2"/>
      <c r="F650" s="2"/>
      <c r="G650" s="2"/>
      <c r="H650" s="2"/>
      <c r="I650" s="21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11"/>
      <c r="C651" s="2"/>
      <c r="D651" s="2"/>
      <c r="E651" s="2"/>
      <c r="F651" s="2"/>
      <c r="G651" s="2"/>
      <c r="H651" s="2"/>
      <c r="I651" s="21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11"/>
      <c r="C652" s="2"/>
      <c r="D652" s="2"/>
      <c r="E652" s="2"/>
      <c r="F652" s="2"/>
      <c r="G652" s="2"/>
      <c r="H652" s="2"/>
      <c r="I652" s="21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11"/>
      <c r="C653" s="2"/>
      <c r="D653" s="2"/>
      <c r="E653" s="2"/>
      <c r="F653" s="2"/>
      <c r="G653" s="2"/>
      <c r="H653" s="2"/>
      <c r="I653" s="21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11"/>
      <c r="C654" s="2"/>
      <c r="D654" s="2"/>
      <c r="E654" s="2"/>
      <c r="F654" s="2"/>
      <c r="G654" s="2"/>
      <c r="H654" s="2"/>
      <c r="I654" s="21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11"/>
      <c r="C655" s="2"/>
      <c r="D655" s="2"/>
      <c r="E655" s="2"/>
      <c r="F655" s="2"/>
      <c r="G655" s="2"/>
      <c r="H655" s="2"/>
      <c r="I655" s="21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11"/>
      <c r="C656" s="2"/>
      <c r="D656" s="2"/>
      <c r="E656" s="2"/>
      <c r="F656" s="2"/>
      <c r="G656" s="2"/>
      <c r="H656" s="2"/>
      <c r="I656" s="21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11"/>
      <c r="C657" s="2"/>
      <c r="D657" s="2"/>
      <c r="E657" s="2"/>
      <c r="F657" s="2"/>
      <c r="G657" s="2"/>
      <c r="H657" s="2"/>
      <c r="I657" s="21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11"/>
      <c r="C658" s="2"/>
      <c r="D658" s="2"/>
      <c r="E658" s="2"/>
      <c r="F658" s="2"/>
      <c r="G658" s="2"/>
      <c r="H658" s="2"/>
      <c r="I658" s="21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11"/>
      <c r="C659" s="2"/>
      <c r="D659" s="2"/>
      <c r="E659" s="2"/>
      <c r="F659" s="2"/>
      <c r="G659" s="2"/>
      <c r="H659" s="2"/>
      <c r="I659" s="21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11"/>
      <c r="C660" s="2"/>
      <c r="D660" s="2"/>
      <c r="E660" s="2"/>
      <c r="F660" s="2"/>
      <c r="G660" s="2"/>
      <c r="H660" s="2"/>
      <c r="I660" s="21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11"/>
      <c r="C661" s="2"/>
      <c r="D661" s="2"/>
      <c r="E661" s="2"/>
      <c r="F661" s="2"/>
      <c r="G661" s="2"/>
      <c r="H661" s="2"/>
      <c r="I661" s="21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11"/>
      <c r="C662" s="2"/>
      <c r="D662" s="2"/>
      <c r="E662" s="2"/>
      <c r="F662" s="2"/>
      <c r="G662" s="2"/>
      <c r="H662" s="2"/>
      <c r="I662" s="21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11"/>
      <c r="C663" s="2"/>
      <c r="D663" s="2"/>
      <c r="E663" s="2"/>
      <c r="F663" s="2"/>
      <c r="G663" s="2"/>
      <c r="H663" s="2"/>
      <c r="I663" s="21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11"/>
      <c r="C664" s="2"/>
      <c r="D664" s="2"/>
      <c r="E664" s="2"/>
      <c r="F664" s="2"/>
      <c r="G664" s="2"/>
      <c r="H664" s="2"/>
      <c r="I664" s="21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11"/>
      <c r="C665" s="2"/>
      <c r="D665" s="2"/>
      <c r="E665" s="2"/>
      <c r="F665" s="2"/>
      <c r="G665" s="2"/>
      <c r="H665" s="2"/>
      <c r="I665" s="21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11"/>
      <c r="C666" s="2"/>
      <c r="D666" s="2"/>
      <c r="E666" s="2"/>
      <c r="F666" s="2"/>
      <c r="G666" s="2"/>
      <c r="H666" s="2"/>
      <c r="I666" s="21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11"/>
      <c r="C667" s="2"/>
      <c r="D667" s="2"/>
      <c r="E667" s="2"/>
      <c r="F667" s="2"/>
      <c r="G667" s="2"/>
      <c r="H667" s="2"/>
      <c r="I667" s="21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11"/>
      <c r="C668" s="2"/>
      <c r="D668" s="2"/>
      <c r="E668" s="2"/>
      <c r="F668" s="2"/>
      <c r="G668" s="2"/>
      <c r="H668" s="2"/>
      <c r="I668" s="21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11"/>
      <c r="C669" s="2"/>
      <c r="D669" s="2"/>
      <c r="E669" s="2"/>
      <c r="F669" s="2"/>
      <c r="G669" s="2"/>
      <c r="H669" s="2"/>
      <c r="I669" s="21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11"/>
      <c r="C670" s="2"/>
      <c r="D670" s="2"/>
      <c r="E670" s="2"/>
      <c r="F670" s="2"/>
      <c r="G670" s="2"/>
      <c r="H670" s="2"/>
      <c r="I670" s="21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11"/>
      <c r="C671" s="2"/>
      <c r="D671" s="2"/>
      <c r="E671" s="2"/>
      <c r="F671" s="2"/>
      <c r="G671" s="2"/>
      <c r="H671" s="2"/>
      <c r="I671" s="21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11"/>
      <c r="C672" s="2"/>
      <c r="D672" s="2"/>
      <c r="E672" s="2"/>
      <c r="F672" s="2"/>
      <c r="G672" s="2"/>
      <c r="H672" s="2"/>
      <c r="I672" s="21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11"/>
      <c r="C673" s="2"/>
      <c r="D673" s="2"/>
      <c r="E673" s="2"/>
      <c r="F673" s="2"/>
      <c r="G673" s="2"/>
      <c r="H673" s="2"/>
      <c r="I673" s="21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11"/>
      <c r="C674" s="2"/>
      <c r="D674" s="2"/>
      <c r="E674" s="2"/>
      <c r="F674" s="2"/>
      <c r="G674" s="2"/>
      <c r="H674" s="2"/>
      <c r="I674" s="21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11"/>
      <c r="C675" s="2"/>
      <c r="D675" s="2"/>
      <c r="E675" s="2"/>
      <c r="F675" s="2"/>
      <c r="G675" s="2"/>
      <c r="H675" s="2"/>
      <c r="I675" s="21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11"/>
      <c r="C676" s="2"/>
      <c r="D676" s="2"/>
      <c r="E676" s="2"/>
      <c r="F676" s="2"/>
      <c r="G676" s="2"/>
      <c r="H676" s="2"/>
      <c r="I676" s="21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11"/>
      <c r="C677" s="2"/>
      <c r="D677" s="2"/>
      <c r="E677" s="2"/>
      <c r="F677" s="2"/>
      <c r="G677" s="2"/>
      <c r="H677" s="2"/>
      <c r="I677" s="21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11"/>
      <c r="C678" s="2"/>
      <c r="D678" s="2"/>
      <c r="E678" s="2"/>
      <c r="F678" s="2"/>
      <c r="G678" s="2"/>
      <c r="H678" s="2"/>
      <c r="I678" s="21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11"/>
      <c r="C679" s="2"/>
      <c r="D679" s="2"/>
      <c r="E679" s="2"/>
      <c r="F679" s="2"/>
      <c r="G679" s="2"/>
      <c r="H679" s="2"/>
      <c r="I679" s="21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11"/>
      <c r="C680" s="2"/>
      <c r="D680" s="2"/>
      <c r="E680" s="2"/>
      <c r="F680" s="2"/>
      <c r="G680" s="2"/>
      <c r="H680" s="2"/>
      <c r="I680" s="21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11"/>
      <c r="C681" s="2"/>
      <c r="D681" s="2"/>
      <c r="E681" s="2"/>
      <c r="F681" s="2"/>
      <c r="G681" s="2"/>
      <c r="H681" s="2"/>
      <c r="I681" s="21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11"/>
      <c r="C682" s="2"/>
      <c r="D682" s="2"/>
      <c r="E682" s="2"/>
      <c r="F682" s="2"/>
      <c r="G682" s="2"/>
      <c r="H682" s="2"/>
      <c r="I682" s="21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11"/>
      <c r="C683" s="2"/>
      <c r="D683" s="2"/>
      <c r="E683" s="2"/>
      <c r="F683" s="2"/>
      <c r="G683" s="2"/>
      <c r="H683" s="2"/>
      <c r="I683" s="21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11"/>
      <c r="C684" s="2"/>
      <c r="D684" s="2"/>
      <c r="E684" s="2"/>
      <c r="F684" s="2"/>
      <c r="G684" s="2"/>
      <c r="H684" s="2"/>
      <c r="I684" s="21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11"/>
      <c r="C685" s="2"/>
      <c r="D685" s="2"/>
      <c r="E685" s="2"/>
      <c r="F685" s="2"/>
      <c r="G685" s="2"/>
      <c r="H685" s="2"/>
      <c r="I685" s="21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11"/>
      <c r="C686" s="2"/>
      <c r="D686" s="2"/>
      <c r="E686" s="2"/>
      <c r="F686" s="2"/>
      <c r="G686" s="2"/>
      <c r="H686" s="2"/>
      <c r="I686" s="21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11"/>
      <c r="C687" s="2"/>
      <c r="D687" s="2"/>
      <c r="E687" s="2"/>
      <c r="F687" s="2"/>
      <c r="G687" s="2"/>
      <c r="H687" s="2"/>
      <c r="I687" s="21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11"/>
      <c r="C688" s="2"/>
      <c r="D688" s="2"/>
      <c r="E688" s="2"/>
      <c r="F688" s="2"/>
      <c r="G688" s="2"/>
      <c r="H688" s="2"/>
      <c r="I688" s="21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11"/>
      <c r="C689" s="2"/>
      <c r="D689" s="2"/>
      <c r="E689" s="2"/>
      <c r="F689" s="2"/>
      <c r="G689" s="2"/>
      <c r="H689" s="2"/>
      <c r="I689" s="21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11"/>
      <c r="C690" s="2"/>
      <c r="D690" s="2"/>
      <c r="E690" s="2"/>
      <c r="F690" s="2"/>
      <c r="G690" s="2"/>
      <c r="H690" s="2"/>
      <c r="I690" s="21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11"/>
      <c r="C691" s="2"/>
      <c r="D691" s="2"/>
      <c r="E691" s="2"/>
      <c r="F691" s="2"/>
      <c r="G691" s="2"/>
      <c r="H691" s="2"/>
      <c r="I691" s="21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11"/>
      <c r="C692" s="2"/>
      <c r="D692" s="2"/>
      <c r="E692" s="2"/>
      <c r="F692" s="2"/>
      <c r="G692" s="2"/>
      <c r="H692" s="2"/>
      <c r="I692" s="21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11"/>
      <c r="C693" s="2"/>
      <c r="D693" s="2"/>
      <c r="E693" s="2"/>
      <c r="F693" s="2"/>
      <c r="G693" s="2"/>
      <c r="H693" s="2"/>
      <c r="I693" s="21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11"/>
      <c r="C694" s="2"/>
      <c r="D694" s="2"/>
      <c r="E694" s="2"/>
      <c r="F694" s="2"/>
      <c r="G694" s="2"/>
      <c r="H694" s="2"/>
      <c r="I694" s="21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11"/>
      <c r="C695" s="2"/>
      <c r="D695" s="2"/>
      <c r="E695" s="2"/>
      <c r="F695" s="2"/>
      <c r="G695" s="2"/>
      <c r="H695" s="2"/>
      <c r="I695" s="21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11"/>
      <c r="C696" s="2"/>
      <c r="D696" s="2"/>
      <c r="E696" s="2"/>
      <c r="F696" s="2"/>
      <c r="G696" s="2"/>
      <c r="H696" s="2"/>
      <c r="I696" s="21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11"/>
      <c r="C697" s="2"/>
      <c r="D697" s="2"/>
      <c r="E697" s="2"/>
      <c r="F697" s="2"/>
      <c r="G697" s="2"/>
      <c r="H697" s="2"/>
      <c r="I697" s="21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11"/>
      <c r="C698" s="2"/>
      <c r="D698" s="2"/>
      <c r="E698" s="2"/>
      <c r="F698" s="2"/>
      <c r="G698" s="2"/>
      <c r="H698" s="2"/>
      <c r="I698" s="21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11"/>
      <c r="C699" s="2"/>
      <c r="D699" s="2"/>
      <c r="E699" s="2"/>
      <c r="F699" s="2"/>
      <c r="G699" s="2"/>
      <c r="H699" s="2"/>
      <c r="I699" s="21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11"/>
      <c r="C700" s="2"/>
      <c r="D700" s="2"/>
      <c r="E700" s="2"/>
      <c r="F700" s="2"/>
      <c r="G700" s="2"/>
      <c r="H700" s="2"/>
      <c r="I700" s="21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11"/>
      <c r="C701" s="2"/>
      <c r="D701" s="2"/>
      <c r="E701" s="2"/>
      <c r="F701" s="2"/>
      <c r="G701" s="2"/>
      <c r="H701" s="2"/>
      <c r="I701" s="21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11"/>
      <c r="C702" s="2"/>
      <c r="D702" s="2"/>
      <c r="E702" s="2"/>
      <c r="F702" s="2"/>
      <c r="G702" s="2"/>
      <c r="H702" s="2"/>
      <c r="I702" s="21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11"/>
      <c r="C703" s="2"/>
      <c r="D703" s="2"/>
      <c r="E703" s="2"/>
      <c r="F703" s="2"/>
      <c r="G703" s="2"/>
      <c r="H703" s="2"/>
      <c r="I703" s="21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11"/>
      <c r="C704" s="2"/>
      <c r="D704" s="2"/>
      <c r="E704" s="2"/>
      <c r="F704" s="2"/>
      <c r="G704" s="2"/>
      <c r="H704" s="2"/>
      <c r="I704" s="21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11"/>
      <c r="C705" s="2"/>
      <c r="D705" s="2"/>
      <c r="E705" s="2"/>
      <c r="F705" s="2"/>
      <c r="G705" s="2"/>
      <c r="H705" s="2"/>
      <c r="I705" s="21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11"/>
      <c r="C706" s="2"/>
      <c r="D706" s="2"/>
      <c r="E706" s="2"/>
      <c r="F706" s="2"/>
      <c r="G706" s="2"/>
      <c r="H706" s="2"/>
      <c r="I706" s="21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11"/>
      <c r="C707" s="2"/>
      <c r="D707" s="2"/>
      <c r="E707" s="2"/>
      <c r="F707" s="2"/>
      <c r="G707" s="2"/>
      <c r="H707" s="2"/>
      <c r="I707" s="21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11"/>
      <c r="C708" s="2"/>
      <c r="D708" s="2"/>
      <c r="E708" s="2"/>
      <c r="F708" s="2"/>
      <c r="G708" s="2"/>
      <c r="H708" s="2"/>
      <c r="I708" s="21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11"/>
      <c r="C709" s="2"/>
      <c r="D709" s="2"/>
      <c r="E709" s="2"/>
      <c r="F709" s="2"/>
      <c r="G709" s="2"/>
      <c r="H709" s="2"/>
      <c r="I709" s="21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11"/>
      <c r="C710" s="2"/>
      <c r="D710" s="2"/>
      <c r="E710" s="2"/>
      <c r="F710" s="2"/>
      <c r="G710" s="2"/>
      <c r="H710" s="2"/>
      <c r="I710" s="21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11"/>
      <c r="C711" s="2"/>
      <c r="D711" s="2"/>
      <c r="E711" s="2"/>
      <c r="F711" s="2"/>
      <c r="G711" s="2"/>
      <c r="H711" s="2"/>
      <c r="I711" s="21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11"/>
      <c r="C712" s="2"/>
      <c r="D712" s="2"/>
      <c r="E712" s="2"/>
      <c r="F712" s="2"/>
      <c r="G712" s="2"/>
      <c r="H712" s="2"/>
      <c r="I712" s="21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11"/>
      <c r="C713" s="2"/>
      <c r="D713" s="2"/>
      <c r="E713" s="2"/>
      <c r="F713" s="2"/>
      <c r="G713" s="2"/>
      <c r="H713" s="2"/>
      <c r="I713" s="21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11"/>
      <c r="C714" s="2"/>
      <c r="D714" s="2"/>
      <c r="E714" s="2"/>
      <c r="F714" s="2"/>
      <c r="G714" s="2"/>
      <c r="H714" s="2"/>
      <c r="I714" s="21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11"/>
      <c r="C715" s="2"/>
      <c r="D715" s="2"/>
      <c r="E715" s="2"/>
      <c r="F715" s="2"/>
      <c r="G715" s="2"/>
      <c r="H715" s="2"/>
      <c r="I715" s="21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11"/>
      <c r="C716" s="2"/>
      <c r="D716" s="2"/>
      <c r="E716" s="2"/>
      <c r="F716" s="2"/>
      <c r="G716" s="2"/>
      <c r="H716" s="2"/>
      <c r="I716" s="21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11"/>
      <c r="C717" s="2"/>
      <c r="D717" s="2"/>
      <c r="E717" s="2"/>
      <c r="F717" s="2"/>
      <c r="G717" s="2"/>
      <c r="H717" s="2"/>
      <c r="I717" s="21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11"/>
      <c r="C718" s="2"/>
      <c r="D718" s="2"/>
      <c r="E718" s="2"/>
      <c r="F718" s="2"/>
      <c r="G718" s="2"/>
      <c r="H718" s="2"/>
      <c r="I718" s="21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11"/>
      <c r="C719" s="2"/>
      <c r="D719" s="2"/>
      <c r="E719" s="2"/>
      <c r="F719" s="2"/>
      <c r="G719" s="2"/>
      <c r="H719" s="2"/>
      <c r="I719" s="21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11"/>
      <c r="C720" s="2"/>
      <c r="D720" s="2"/>
      <c r="E720" s="2"/>
      <c r="F720" s="2"/>
      <c r="G720" s="2"/>
      <c r="H720" s="2"/>
      <c r="I720" s="21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11"/>
      <c r="C721" s="2"/>
      <c r="D721" s="2"/>
      <c r="E721" s="2"/>
      <c r="F721" s="2"/>
      <c r="G721" s="2"/>
      <c r="H721" s="2"/>
      <c r="I721" s="21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11"/>
      <c r="C722" s="2"/>
      <c r="D722" s="2"/>
      <c r="E722" s="2"/>
      <c r="F722" s="2"/>
      <c r="G722" s="2"/>
      <c r="H722" s="2"/>
      <c r="I722" s="21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11"/>
      <c r="C723" s="2"/>
      <c r="D723" s="2"/>
      <c r="E723" s="2"/>
      <c r="F723" s="2"/>
      <c r="G723" s="2"/>
      <c r="H723" s="2"/>
      <c r="I723" s="21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11"/>
      <c r="C724" s="2"/>
      <c r="D724" s="2"/>
      <c r="E724" s="2"/>
      <c r="F724" s="2"/>
      <c r="G724" s="2"/>
      <c r="H724" s="2"/>
      <c r="I724" s="21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11"/>
      <c r="C725" s="2"/>
      <c r="D725" s="2"/>
      <c r="E725" s="2"/>
      <c r="F725" s="2"/>
      <c r="G725" s="2"/>
      <c r="H725" s="2"/>
      <c r="I725" s="21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11"/>
      <c r="C726" s="2"/>
      <c r="D726" s="2"/>
      <c r="E726" s="2"/>
      <c r="F726" s="2"/>
      <c r="G726" s="2"/>
      <c r="H726" s="2"/>
      <c r="I726" s="21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11"/>
      <c r="C727" s="2"/>
      <c r="D727" s="2"/>
      <c r="E727" s="2"/>
      <c r="F727" s="2"/>
      <c r="G727" s="2"/>
      <c r="H727" s="2"/>
      <c r="I727" s="21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11"/>
      <c r="C728" s="2"/>
      <c r="D728" s="2"/>
      <c r="E728" s="2"/>
      <c r="F728" s="2"/>
      <c r="G728" s="2"/>
      <c r="H728" s="2"/>
      <c r="I728" s="21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11"/>
      <c r="C729" s="2"/>
      <c r="D729" s="2"/>
      <c r="E729" s="2"/>
      <c r="F729" s="2"/>
      <c r="G729" s="2"/>
      <c r="H729" s="2"/>
      <c r="I729" s="21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11"/>
      <c r="C730" s="2"/>
      <c r="D730" s="2"/>
      <c r="E730" s="2"/>
      <c r="F730" s="2"/>
      <c r="G730" s="2"/>
      <c r="H730" s="2"/>
      <c r="I730" s="21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11"/>
      <c r="C731" s="2"/>
      <c r="D731" s="2"/>
      <c r="E731" s="2"/>
      <c r="F731" s="2"/>
      <c r="G731" s="2"/>
      <c r="H731" s="2"/>
      <c r="I731" s="21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11"/>
      <c r="C732" s="2"/>
      <c r="D732" s="2"/>
      <c r="E732" s="2"/>
      <c r="F732" s="2"/>
      <c r="G732" s="2"/>
      <c r="H732" s="2"/>
      <c r="I732" s="21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11"/>
      <c r="C733" s="2"/>
      <c r="D733" s="2"/>
      <c r="E733" s="2"/>
      <c r="F733" s="2"/>
      <c r="G733" s="2"/>
      <c r="H733" s="2"/>
      <c r="I733" s="21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11"/>
      <c r="C734" s="2"/>
      <c r="D734" s="2"/>
      <c r="E734" s="2"/>
      <c r="F734" s="2"/>
      <c r="G734" s="2"/>
      <c r="H734" s="2"/>
      <c r="I734" s="21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11"/>
      <c r="C735" s="2"/>
      <c r="D735" s="2"/>
      <c r="E735" s="2"/>
      <c r="F735" s="2"/>
      <c r="G735" s="2"/>
      <c r="H735" s="2"/>
      <c r="I735" s="21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11"/>
      <c r="C736" s="2"/>
      <c r="D736" s="2"/>
      <c r="E736" s="2"/>
      <c r="F736" s="2"/>
      <c r="G736" s="2"/>
      <c r="H736" s="2"/>
      <c r="I736" s="21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11"/>
      <c r="C737" s="2"/>
      <c r="D737" s="2"/>
      <c r="E737" s="2"/>
      <c r="F737" s="2"/>
      <c r="G737" s="2"/>
      <c r="H737" s="2"/>
      <c r="I737" s="21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11"/>
      <c r="C738" s="2"/>
      <c r="D738" s="2"/>
      <c r="E738" s="2"/>
      <c r="F738" s="2"/>
      <c r="G738" s="2"/>
      <c r="H738" s="2"/>
      <c r="I738" s="21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11"/>
      <c r="C739" s="2"/>
      <c r="D739" s="2"/>
      <c r="E739" s="2"/>
      <c r="F739" s="2"/>
      <c r="G739" s="2"/>
      <c r="H739" s="2"/>
      <c r="I739" s="21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11"/>
      <c r="C740" s="2"/>
      <c r="D740" s="2"/>
      <c r="E740" s="2"/>
      <c r="F740" s="2"/>
      <c r="G740" s="2"/>
      <c r="H740" s="2"/>
      <c r="I740" s="21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11"/>
      <c r="C741" s="2"/>
      <c r="D741" s="2"/>
      <c r="E741" s="2"/>
      <c r="F741" s="2"/>
      <c r="G741" s="2"/>
      <c r="H741" s="2"/>
      <c r="I741" s="21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11"/>
      <c r="C742" s="2"/>
      <c r="D742" s="2"/>
      <c r="E742" s="2"/>
      <c r="F742" s="2"/>
      <c r="G742" s="2"/>
      <c r="H742" s="2"/>
      <c r="I742" s="21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11"/>
      <c r="C743" s="2"/>
      <c r="D743" s="2"/>
      <c r="E743" s="2"/>
      <c r="F743" s="2"/>
      <c r="G743" s="2"/>
      <c r="H743" s="2"/>
      <c r="I743" s="21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11"/>
      <c r="C744" s="2"/>
      <c r="D744" s="2"/>
      <c r="E744" s="2"/>
      <c r="F744" s="2"/>
      <c r="G744" s="2"/>
      <c r="H744" s="2"/>
      <c r="I744" s="21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11"/>
      <c r="C745" s="2"/>
      <c r="D745" s="2"/>
      <c r="E745" s="2"/>
      <c r="F745" s="2"/>
      <c r="G745" s="2"/>
      <c r="H745" s="2"/>
      <c r="I745" s="21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11"/>
      <c r="C746" s="2"/>
      <c r="D746" s="2"/>
      <c r="E746" s="2"/>
      <c r="F746" s="2"/>
      <c r="G746" s="2"/>
      <c r="H746" s="2"/>
      <c r="I746" s="21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11"/>
      <c r="C747" s="2"/>
      <c r="D747" s="2"/>
      <c r="E747" s="2"/>
      <c r="F747" s="2"/>
      <c r="G747" s="2"/>
      <c r="H747" s="2"/>
      <c r="I747" s="21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11"/>
      <c r="C748" s="2"/>
      <c r="D748" s="2"/>
      <c r="E748" s="2"/>
      <c r="F748" s="2"/>
      <c r="G748" s="2"/>
      <c r="H748" s="2"/>
      <c r="I748" s="21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11"/>
      <c r="C749" s="2"/>
      <c r="D749" s="2"/>
      <c r="E749" s="2"/>
      <c r="F749" s="2"/>
      <c r="G749" s="2"/>
      <c r="H749" s="2"/>
      <c r="I749" s="21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11"/>
      <c r="C750" s="2"/>
      <c r="D750" s="2"/>
      <c r="E750" s="2"/>
      <c r="F750" s="2"/>
      <c r="G750" s="2"/>
      <c r="H750" s="2"/>
      <c r="I750" s="21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11"/>
      <c r="C751" s="2"/>
      <c r="D751" s="2"/>
      <c r="E751" s="2"/>
      <c r="F751" s="2"/>
      <c r="G751" s="2"/>
      <c r="H751" s="2"/>
      <c r="I751" s="21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11"/>
      <c r="C752" s="2"/>
      <c r="D752" s="2"/>
      <c r="E752" s="2"/>
      <c r="F752" s="2"/>
      <c r="G752" s="2"/>
      <c r="H752" s="2"/>
      <c r="I752" s="21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11"/>
      <c r="C753" s="2"/>
      <c r="D753" s="2"/>
      <c r="E753" s="2"/>
      <c r="F753" s="2"/>
      <c r="G753" s="2"/>
      <c r="H753" s="2"/>
      <c r="I753" s="21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11"/>
      <c r="C754" s="2"/>
      <c r="D754" s="2"/>
      <c r="E754" s="2"/>
      <c r="F754" s="2"/>
      <c r="G754" s="2"/>
      <c r="H754" s="2"/>
      <c r="I754" s="21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11"/>
      <c r="C755" s="2"/>
      <c r="D755" s="2"/>
      <c r="E755" s="2"/>
      <c r="F755" s="2"/>
      <c r="G755" s="2"/>
      <c r="H755" s="2"/>
      <c r="I755" s="21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11"/>
      <c r="C756" s="2"/>
      <c r="D756" s="2"/>
      <c r="E756" s="2"/>
      <c r="F756" s="2"/>
      <c r="G756" s="2"/>
      <c r="H756" s="2"/>
      <c r="I756" s="21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11"/>
      <c r="C757" s="2"/>
      <c r="D757" s="2"/>
      <c r="E757" s="2"/>
      <c r="F757" s="2"/>
      <c r="G757" s="2"/>
      <c r="H757" s="2"/>
      <c r="I757" s="21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11"/>
      <c r="C758" s="2"/>
      <c r="D758" s="2"/>
      <c r="E758" s="2"/>
      <c r="F758" s="2"/>
      <c r="G758" s="2"/>
      <c r="H758" s="2"/>
      <c r="I758" s="21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11"/>
      <c r="C759" s="2"/>
      <c r="D759" s="2"/>
      <c r="E759" s="2"/>
      <c r="F759" s="2"/>
      <c r="G759" s="2"/>
      <c r="H759" s="2"/>
      <c r="I759" s="21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11"/>
      <c r="C760" s="2"/>
      <c r="D760" s="2"/>
      <c r="E760" s="2"/>
      <c r="F760" s="2"/>
      <c r="G760" s="2"/>
      <c r="H760" s="2"/>
      <c r="I760" s="21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11"/>
      <c r="C761" s="2"/>
      <c r="D761" s="2"/>
      <c r="E761" s="2"/>
      <c r="F761" s="2"/>
      <c r="G761" s="2"/>
      <c r="H761" s="2"/>
      <c r="I761" s="21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11"/>
      <c r="C762" s="2"/>
      <c r="D762" s="2"/>
      <c r="E762" s="2"/>
      <c r="F762" s="2"/>
      <c r="G762" s="2"/>
      <c r="H762" s="2"/>
      <c r="I762" s="21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11"/>
      <c r="C763" s="2"/>
      <c r="D763" s="2"/>
      <c r="E763" s="2"/>
      <c r="F763" s="2"/>
      <c r="G763" s="2"/>
      <c r="H763" s="2"/>
      <c r="I763" s="21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11"/>
      <c r="C764" s="2"/>
      <c r="D764" s="2"/>
      <c r="E764" s="2"/>
      <c r="F764" s="2"/>
      <c r="G764" s="2"/>
      <c r="H764" s="2"/>
      <c r="I764" s="21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11"/>
      <c r="C765" s="2"/>
      <c r="D765" s="2"/>
      <c r="E765" s="2"/>
      <c r="F765" s="2"/>
      <c r="G765" s="2"/>
      <c r="H765" s="2"/>
      <c r="I765" s="21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11"/>
      <c r="C766" s="2"/>
      <c r="D766" s="2"/>
      <c r="E766" s="2"/>
      <c r="F766" s="2"/>
      <c r="G766" s="2"/>
      <c r="H766" s="2"/>
      <c r="I766" s="21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11"/>
      <c r="C767" s="2"/>
      <c r="D767" s="2"/>
      <c r="E767" s="2"/>
      <c r="F767" s="2"/>
      <c r="G767" s="2"/>
      <c r="H767" s="2"/>
      <c r="I767" s="21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11"/>
      <c r="C768" s="2"/>
      <c r="D768" s="2"/>
      <c r="E768" s="2"/>
      <c r="F768" s="2"/>
      <c r="G768" s="2"/>
      <c r="H768" s="2"/>
      <c r="I768" s="21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11"/>
      <c r="C769" s="2"/>
      <c r="D769" s="2"/>
      <c r="E769" s="2"/>
      <c r="F769" s="2"/>
      <c r="G769" s="2"/>
      <c r="H769" s="2"/>
      <c r="I769" s="21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11"/>
      <c r="C770" s="2"/>
      <c r="D770" s="2"/>
      <c r="E770" s="2"/>
      <c r="F770" s="2"/>
      <c r="G770" s="2"/>
      <c r="H770" s="2"/>
      <c r="I770" s="21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11"/>
      <c r="C771" s="2"/>
      <c r="D771" s="2"/>
      <c r="E771" s="2"/>
      <c r="F771" s="2"/>
      <c r="G771" s="2"/>
      <c r="H771" s="2"/>
      <c r="I771" s="21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11"/>
      <c r="C772" s="2"/>
      <c r="D772" s="2"/>
      <c r="E772" s="2"/>
      <c r="F772" s="2"/>
      <c r="G772" s="2"/>
      <c r="H772" s="2"/>
      <c r="I772" s="21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11"/>
      <c r="C773" s="2"/>
      <c r="D773" s="2"/>
      <c r="E773" s="2"/>
      <c r="F773" s="2"/>
      <c r="G773" s="2"/>
      <c r="H773" s="2"/>
      <c r="I773" s="21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11"/>
      <c r="C774" s="2"/>
      <c r="D774" s="2"/>
      <c r="E774" s="2"/>
      <c r="F774" s="2"/>
      <c r="G774" s="2"/>
      <c r="H774" s="2"/>
      <c r="I774" s="21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11"/>
      <c r="C775" s="2"/>
      <c r="D775" s="2"/>
      <c r="E775" s="2"/>
      <c r="F775" s="2"/>
      <c r="G775" s="2"/>
      <c r="H775" s="2"/>
      <c r="I775" s="21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11"/>
      <c r="C776" s="2"/>
      <c r="D776" s="2"/>
      <c r="E776" s="2"/>
      <c r="F776" s="2"/>
      <c r="G776" s="2"/>
      <c r="H776" s="2"/>
      <c r="I776" s="21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11"/>
      <c r="C777" s="2"/>
      <c r="D777" s="2"/>
      <c r="E777" s="2"/>
      <c r="F777" s="2"/>
      <c r="G777" s="2"/>
      <c r="H777" s="2"/>
      <c r="I777" s="21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11"/>
      <c r="C778" s="2"/>
      <c r="D778" s="2"/>
      <c r="E778" s="2"/>
      <c r="F778" s="2"/>
      <c r="G778" s="2"/>
      <c r="H778" s="2"/>
      <c r="I778" s="21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11"/>
      <c r="C779" s="2"/>
      <c r="D779" s="2"/>
      <c r="E779" s="2"/>
      <c r="F779" s="2"/>
      <c r="G779" s="2"/>
      <c r="H779" s="2"/>
      <c r="I779" s="21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11"/>
      <c r="C780" s="2"/>
      <c r="D780" s="2"/>
      <c r="E780" s="2"/>
      <c r="F780" s="2"/>
      <c r="G780" s="2"/>
      <c r="H780" s="2"/>
      <c r="I780" s="21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11"/>
      <c r="C781" s="2"/>
      <c r="D781" s="2"/>
      <c r="E781" s="2"/>
      <c r="F781" s="2"/>
      <c r="G781" s="2"/>
      <c r="H781" s="2"/>
      <c r="I781" s="21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11"/>
      <c r="C782" s="2"/>
      <c r="D782" s="2"/>
      <c r="E782" s="2"/>
      <c r="F782" s="2"/>
      <c r="G782" s="2"/>
      <c r="H782" s="2"/>
      <c r="I782" s="21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11"/>
      <c r="C783" s="2"/>
      <c r="D783" s="2"/>
      <c r="E783" s="2"/>
      <c r="F783" s="2"/>
      <c r="G783" s="2"/>
      <c r="H783" s="2"/>
      <c r="I783" s="21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11"/>
      <c r="C784" s="2"/>
      <c r="D784" s="2"/>
      <c r="E784" s="2"/>
      <c r="F784" s="2"/>
      <c r="G784" s="2"/>
      <c r="H784" s="2"/>
      <c r="I784" s="21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11"/>
      <c r="C785" s="2"/>
      <c r="D785" s="2"/>
      <c r="E785" s="2"/>
      <c r="F785" s="2"/>
      <c r="G785" s="2"/>
      <c r="H785" s="2"/>
      <c r="I785" s="21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11"/>
      <c r="C786" s="2"/>
      <c r="D786" s="2"/>
      <c r="E786" s="2"/>
      <c r="F786" s="2"/>
      <c r="G786" s="2"/>
      <c r="H786" s="2"/>
      <c r="I786" s="21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11"/>
      <c r="C787" s="2"/>
      <c r="D787" s="2"/>
      <c r="E787" s="2"/>
      <c r="F787" s="2"/>
      <c r="G787" s="2"/>
      <c r="H787" s="2"/>
      <c r="I787" s="21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11"/>
      <c r="C788" s="2"/>
      <c r="D788" s="2"/>
      <c r="E788" s="2"/>
      <c r="F788" s="2"/>
      <c r="G788" s="2"/>
      <c r="H788" s="2"/>
      <c r="I788" s="21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11"/>
      <c r="C789" s="2"/>
      <c r="D789" s="2"/>
      <c r="E789" s="2"/>
      <c r="F789" s="2"/>
      <c r="G789" s="2"/>
      <c r="H789" s="2"/>
      <c r="I789" s="21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11"/>
      <c r="C790" s="2"/>
      <c r="D790" s="2"/>
      <c r="E790" s="2"/>
      <c r="F790" s="2"/>
      <c r="G790" s="2"/>
      <c r="H790" s="2"/>
      <c r="I790" s="21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11"/>
      <c r="C791" s="2"/>
      <c r="D791" s="2"/>
      <c r="E791" s="2"/>
      <c r="F791" s="2"/>
      <c r="G791" s="2"/>
      <c r="H791" s="2"/>
      <c r="I791" s="21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11"/>
      <c r="C792" s="2"/>
      <c r="D792" s="2"/>
      <c r="E792" s="2"/>
      <c r="F792" s="2"/>
      <c r="G792" s="2"/>
      <c r="H792" s="2"/>
      <c r="I792" s="21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11"/>
      <c r="C793" s="2"/>
      <c r="D793" s="2"/>
      <c r="E793" s="2"/>
      <c r="F793" s="2"/>
      <c r="G793" s="2"/>
      <c r="H793" s="2"/>
      <c r="I793" s="21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11"/>
      <c r="C794" s="2"/>
      <c r="D794" s="2"/>
      <c r="E794" s="2"/>
      <c r="F794" s="2"/>
      <c r="G794" s="2"/>
      <c r="H794" s="2"/>
      <c r="I794" s="21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11"/>
      <c r="C795" s="2"/>
      <c r="D795" s="2"/>
      <c r="E795" s="2"/>
      <c r="F795" s="2"/>
      <c r="G795" s="2"/>
      <c r="H795" s="2"/>
      <c r="I795" s="21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11"/>
      <c r="C796" s="2"/>
      <c r="D796" s="2"/>
      <c r="E796" s="2"/>
      <c r="F796" s="2"/>
      <c r="G796" s="2"/>
      <c r="H796" s="2"/>
      <c r="I796" s="21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11"/>
      <c r="C797" s="2"/>
      <c r="D797" s="2"/>
      <c r="E797" s="2"/>
      <c r="F797" s="2"/>
      <c r="G797" s="2"/>
      <c r="H797" s="2"/>
      <c r="I797" s="21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11"/>
      <c r="C798" s="2"/>
      <c r="D798" s="2"/>
      <c r="E798" s="2"/>
      <c r="F798" s="2"/>
      <c r="G798" s="2"/>
      <c r="H798" s="2"/>
      <c r="I798" s="21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11"/>
      <c r="C799" s="2"/>
      <c r="D799" s="2"/>
      <c r="E799" s="2"/>
      <c r="F799" s="2"/>
      <c r="G799" s="2"/>
      <c r="H799" s="2"/>
      <c r="I799" s="21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11"/>
      <c r="C800" s="2"/>
      <c r="D800" s="2"/>
      <c r="E800" s="2"/>
      <c r="F800" s="2"/>
      <c r="G800" s="2"/>
      <c r="H800" s="2"/>
      <c r="I800" s="21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11"/>
      <c r="C801" s="2"/>
      <c r="D801" s="2"/>
      <c r="E801" s="2"/>
      <c r="F801" s="2"/>
      <c r="G801" s="2"/>
      <c r="H801" s="2"/>
      <c r="I801" s="21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11"/>
      <c r="C802" s="2"/>
      <c r="D802" s="2"/>
      <c r="E802" s="2"/>
      <c r="F802" s="2"/>
      <c r="G802" s="2"/>
      <c r="H802" s="2"/>
      <c r="I802" s="21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11"/>
      <c r="C803" s="2"/>
      <c r="D803" s="2"/>
      <c r="E803" s="2"/>
      <c r="F803" s="2"/>
      <c r="G803" s="2"/>
      <c r="H803" s="2"/>
      <c r="I803" s="21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11"/>
      <c r="C804" s="2"/>
      <c r="D804" s="2"/>
      <c r="E804" s="2"/>
      <c r="F804" s="2"/>
      <c r="G804" s="2"/>
      <c r="H804" s="2"/>
      <c r="I804" s="21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11"/>
      <c r="C805" s="2"/>
      <c r="D805" s="2"/>
      <c r="E805" s="2"/>
      <c r="F805" s="2"/>
      <c r="G805" s="2"/>
      <c r="H805" s="2"/>
      <c r="I805" s="21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11"/>
      <c r="C806" s="2"/>
      <c r="D806" s="2"/>
      <c r="E806" s="2"/>
      <c r="F806" s="2"/>
      <c r="G806" s="2"/>
      <c r="H806" s="2"/>
      <c r="I806" s="21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11"/>
      <c r="C807" s="2"/>
      <c r="D807" s="2"/>
      <c r="E807" s="2"/>
      <c r="F807" s="2"/>
      <c r="G807" s="2"/>
      <c r="H807" s="2"/>
      <c r="I807" s="21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11"/>
      <c r="C808" s="2"/>
      <c r="D808" s="2"/>
      <c r="E808" s="2"/>
      <c r="F808" s="2"/>
      <c r="G808" s="2"/>
      <c r="H808" s="2"/>
      <c r="I808" s="21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11"/>
      <c r="C809" s="2"/>
      <c r="D809" s="2"/>
      <c r="E809" s="2"/>
      <c r="F809" s="2"/>
      <c r="G809" s="2"/>
      <c r="H809" s="2"/>
      <c r="I809" s="21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11"/>
      <c r="C810" s="2"/>
      <c r="D810" s="2"/>
      <c r="E810" s="2"/>
      <c r="F810" s="2"/>
      <c r="G810" s="2"/>
      <c r="H810" s="2"/>
      <c r="I810" s="21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11"/>
      <c r="C811" s="2"/>
      <c r="D811" s="2"/>
      <c r="E811" s="2"/>
      <c r="F811" s="2"/>
      <c r="G811" s="2"/>
      <c r="H811" s="2"/>
      <c r="I811" s="21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11"/>
      <c r="C812" s="2"/>
      <c r="D812" s="2"/>
      <c r="E812" s="2"/>
      <c r="F812" s="2"/>
      <c r="G812" s="2"/>
      <c r="H812" s="2"/>
      <c r="I812" s="21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11"/>
      <c r="C813" s="2"/>
      <c r="D813" s="2"/>
      <c r="E813" s="2"/>
      <c r="F813" s="2"/>
      <c r="G813" s="2"/>
      <c r="H813" s="2"/>
      <c r="I813" s="21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11"/>
      <c r="C814" s="2"/>
      <c r="D814" s="2"/>
      <c r="E814" s="2"/>
      <c r="F814" s="2"/>
      <c r="G814" s="2"/>
      <c r="H814" s="2"/>
      <c r="I814" s="21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11"/>
      <c r="C815" s="2"/>
      <c r="D815" s="2"/>
      <c r="E815" s="2"/>
      <c r="F815" s="2"/>
      <c r="G815" s="2"/>
      <c r="H815" s="2"/>
      <c r="I815" s="21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11"/>
      <c r="C816" s="2"/>
      <c r="D816" s="2"/>
      <c r="E816" s="2"/>
      <c r="F816" s="2"/>
      <c r="G816" s="2"/>
      <c r="H816" s="2"/>
      <c r="I816" s="21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11"/>
      <c r="C817" s="2"/>
      <c r="D817" s="2"/>
      <c r="E817" s="2"/>
      <c r="F817" s="2"/>
      <c r="G817" s="2"/>
      <c r="H817" s="2"/>
      <c r="I817" s="21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11"/>
      <c r="C818" s="2"/>
      <c r="D818" s="2"/>
      <c r="E818" s="2"/>
      <c r="F818" s="2"/>
      <c r="G818" s="2"/>
      <c r="H818" s="2"/>
      <c r="I818" s="21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11"/>
      <c r="C819" s="2"/>
      <c r="D819" s="2"/>
      <c r="E819" s="2"/>
      <c r="F819" s="2"/>
      <c r="G819" s="2"/>
      <c r="H819" s="2"/>
      <c r="I819" s="21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11"/>
      <c r="C820" s="2"/>
      <c r="D820" s="2"/>
      <c r="E820" s="2"/>
      <c r="F820" s="2"/>
      <c r="G820" s="2"/>
      <c r="H820" s="2"/>
      <c r="I820" s="21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11"/>
      <c r="C821" s="2"/>
      <c r="D821" s="2"/>
      <c r="E821" s="2"/>
      <c r="F821" s="2"/>
      <c r="G821" s="2"/>
      <c r="H821" s="2"/>
      <c r="I821" s="21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11"/>
      <c r="C822" s="2"/>
      <c r="D822" s="2"/>
      <c r="E822" s="2"/>
      <c r="F822" s="2"/>
      <c r="G822" s="2"/>
      <c r="H822" s="2"/>
      <c r="I822" s="21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11"/>
      <c r="C823" s="2"/>
      <c r="D823" s="2"/>
      <c r="E823" s="2"/>
      <c r="F823" s="2"/>
      <c r="G823" s="2"/>
      <c r="H823" s="2"/>
      <c r="I823" s="21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11"/>
      <c r="C824" s="2"/>
      <c r="D824" s="2"/>
      <c r="E824" s="2"/>
      <c r="F824" s="2"/>
      <c r="G824" s="2"/>
      <c r="H824" s="2"/>
      <c r="I824" s="21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11"/>
      <c r="C825" s="2"/>
      <c r="D825" s="2"/>
      <c r="E825" s="2"/>
      <c r="F825" s="2"/>
      <c r="G825" s="2"/>
      <c r="H825" s="2"/>
      <c r="I825" s="21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11"/>
      <c r="C826" s="2"/>
      <c r="D826" s="2"/>
      <c r="E826" s="2"/>
      <c r="F826" s="2"/>
      <c r="G826" s="2"/>
      <c r="H826" s="2"/>
      <c r="I826" s="21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11"/>
      <c r="C827" s="2"/>
      <c r="D827" s="2"/>
      <c r="E827" s="2"/>
      <c r="F827" s="2"/>
      <c r="G827" s="2"/>
      <c r="H827" s="2"/>
      <c r="I827" s="21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11"/>
      <c r="C828" s="2"/>
      <c r="D828" s="2"/>
      <c r="E828" s="2"/>
      <c r="F828" s="2"/>
      <c r="G828" s="2"/>
      <c r="H828" s="2"/>
      <c r="I828" s="21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11"/>
      <c r="C829" s="2"/>
      <c r="D829" s="2"/>
      <c r="E829" s="2"/>
      <c r="F829" s="2"/>
      <c r="G829" s="2"/>
      <c r="H829" s="2"/>
      <c r="I829" s="21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11"/>
      <c r="C830" s="2"/>
      <c r="D830" s="2"/>
      <c r="E830" s="2"/>
      <c r="F830" s="2"/>
      <c r="G830" s="2"/>
      <c r="H830" s="2"/>
      <c r="I830" s="21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11"/>
      <c r="C831" s="2"/>
      <c r="D831" s="2"/>
      <c r="E831" s="2"/>
      <c r="F831" s="2"/>
      <c r="G831" s="2"/>
      <c r="H831" s="2"/>
      <c r="I831" s="21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11"/>
      <c r="C832" s="2"/>
      <c r="D832" s="2"/>
      <c r="E832" s="2"/>
      <c r="F832" s="2"/>
      <c r="G832" s="2"/>
      <c r="H832" s="2"/>
      <c r="I832" s="21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11"/>
      <c r="C833" s="2"/>
      <c r="D833" s="2"/>
      <c r="E833" s="2"/>
      <c r="F833" s="2"/>
      <c r="G833" s="2"/>
      <c r="H833" s="2"/>
      <c r="I833" s="21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11"/>
      <c r="C834" s="2"/>
      <c r="D834" s="2"/>
      <c r="E834" s="2"/>
      <c r="F834" s="2"/>
      <c r="G834" s="2"/>
      <c r="H834" s="2"/>
      <c r="I834" s="21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11"/>
      <c r="C835" s="2"/>
      <c r="D835" s="2"/>
      <c r="E835" s="2"/>
      <c r="F835" s="2"/>
      <c r="G835" s="2"/>
      <c r="H835" s="2"/>
      <c r="I835" s="21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11"/>
      <c r="C836" s="2"/>
      <c r="D836" s="2"/>
      <c r="E836" s="2"/>
      <c r="F836" s="2"/>
      <c r="G836" s="2"/>
      <c r="H836" s="2"/>
      <c r="I836" s="21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11"/>
      <c r="C837" s="2"/>
      <c r="D837" s="2"/>
      <c r="E837" s="2"/>
      <c r="F837" s="2"/>
      <c r="G837" s="2"/>
      <c r="H837" s="2"/>
      <c r="I837" s="21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11"/>
      <c r="C838" s="2"/>
      <c r="D838" s="2"/>
      <c r="E838" s="2"/>
      <c r="F838" s="2"/>
      <c r="G838" s="2"/>
      <c r="H838" s="2"/>
      <c r="I838" s="21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11"/>
      <c r="C839" s="2"/>
      <c r="D839" s="2"/>
      <c r="E839" s="2"/>
      <c r="F839" s="2"/>
      <c r="G839" s="2"/>
      <c r="H839" s="2"/>
      <c r="I839" s="21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11"/>
      <c r="C840" s="2"/>
      <c r="D840" s="2"/>
      <c r="E840" s="2"/>
      <c r="F840" s="2"/>
      <c r="G840" s="2"/>
      <c r="H840" s="2"/>
      <c r="I840" s="21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11"/>
      <c r="C841" s="2"/>
      <c r="D841" s="2"/>
      <c r="E841" s="2"/>
      <c r="F841" s="2"/>
      <c r="G841" s="2"/>
      <c r="H841" s="2"/>
      <c r="I841" s="21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11"/>
      <c r="C842" s="2"/>
      <c r="D842" s="2"/>
      <c r="E842" s="2"/>
      <c r="F842" s="2"/>
      <c r="G842" s="2"/>
      <c r="H842" s="2"/>
      <c r="I842" s="21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11"/>
      <c r="C843" s="2"/>
      <c r="D843" s="2"/>
      <c r="E843" s="2"/>
      <c r="F843" s="2"/>
      <c r="G843" s="2"/>
      <c r="H843" s="2"/>
      <c r="I843" s="21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11"/>
      <c r="C844" s="2"/>
      <c r="D844" s="2"/>
      <c r="E844" s="2"/>
      <c r="F844" s="2"/>
      <c r="G844" s="2"/>
      <c r="H844" s="2"/>
      <c r="I844" s="21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11"/>
      <c r="C845" s="2"/>
      <c r="D845" s="2"/>
      <c r="E845" s="2"/>
      <c r="F845" s="2"/>
      <c r="G845" s="2"/>
      <c r="H845" s="2"/>
      <c r="I845" s="21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11"/>
      <c r="C846" s="2"/>
      <c r="D846" s="2"/>
      <c r="E846" s="2"/>
      <c r="F846" s="2"/>
      <c r="G846" s="2"/>
      <c r="H846" s="2"/>
      <c r="I846" s="21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11"/>
      <c r="C847" s="2"/>
      <c r="D847" s="2"/>
      <c r="E847" s="2"/>
      <c r="F847" s="2"/>
      <c r="G847" s="2"/>
      <c r="H847" s="2"/>
      <c r="I847" s="21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11"/>
      <c r="C848" s="2"/>
      <c r="D848" s="2"/>
      <c r="E848" s="2"/>
      <c r="F848" s="2"/>
      <c r="G848" s="2"/>
      <c r="H848" s="2"/>
      <c r="I848" s="21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11"/>
      <c r="C849" s="2"/>
      <c r="D849" s="2"/>
      <c r="E849" s="2"/>
      <c r="F849" s="2"/>
      <c r="G849" s="2"/>
      <c r="H849" s="2"/>
      <c r="I849" s="21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11"/>
      <c r="C850" s="2"/>
      <c r="D850" s="2"/>
      <c r="E850" s="2"/>
      <c r="F850" s="2"/>
      <c r="G850" s="2"/>
      <c r="H850" s="2"/>
      <c r="I850" s="21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11"/>
      <c r="C851" s="2"/>
      <c r="D851" s="2"/>
      <c r="E851" s="2"/>
      <c r="F851" s="2"/>
      <c r="G851" s="2"/>
      <c r="H851" s="2"/>
      <c r="I851" s="21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11"/>
      <c r="C852" s="2"/>
      <c r="D852" s="2"/>
      <c r="E852" s="2"/>
      <c r="F852" s="2"/>
      <c r="G852" s="2"/>
      <c r="H852" s="2"/>
      <c r="I852" s="21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11"/>
      <c r="C853" s="2"/>
      <c r="D853" s="2"/>
      <c r="E853" s="2"/>
      <c r="F853" s="2"/>
      <c r="G853" s="2"/>
      <c r="H853" s="2"/>
      <c r="I853" s="21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11"/>
      <c r="C854" s="2"/>
      <c r="D854" s="2"/>
      <c r="E854" s="2"/>
      <c r="F854" s="2"/>
      <c r="G854" s="2"/>
      <c r="H854" s="2"/>
      <c r="I854" s="21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11"/>
      <c r="C855" s="2"/>
      <c r="D855" s="2"/>
      <c r="E855" s="2"/>
      <c r="F855" s="2"/>
      <c r="G855" s="2"/>
      <c r="H855" s="2"/>
      <c r="I855" s="21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11"/>
      <c r="C856" s="2"/>
      <c r="D856" s="2"/>
      <c r="E856" s="2"/>
      <c r="F856" s="2"/>
      <c r="G856" s="2"/>
      <c r="H856" s="2"/>
      <c r="I856" s="21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11"/>
      <c r="C857" s="2"/>
      <c r="D857" s="2"/>
      <c r="E857" s="2"/>
      <c r="F857" s="2"/>
      <c r="G857" s="2"/>
      <c r="H857" s="2"/>
      <c r="I857" s="21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11"/>
      <c r="C858" s="2"/>
      <c r="D858" s="2"/>
      <c r="E858" s="2"/>
      <c r="F858" s="2"/>
      <c r="G858" s="2"/>
      <c r="H858" s="2"/>
      <c r="I858" s="21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11"/>
      <c r="C859" s="2"/>
      <c r="D859" s="2"/>
      <c r="E859" s="2"/>
      <c r="F859" s="2"/>
      <c r="G859" s="2"/>
      <c r="H859" s="2"/>
      <c r="I859" s="21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11"/>
      <c r="C860" s="2"/>
      <c r="D860" s="2"/>
      <c r="E860" s="2"/>
      <c r="F860" s="2"/>
      <c r="G860" s="2"/>
      <c r="H860" s="2"/>
      <c r="I860" s="21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11"/>
      <c r="C861" s="2"/>
      <c r="D861" s="2"/>
      <c r="E861" s="2"/>
      <c r="F861" s="2"/>
      <c r="G861" s="2"/>
      <c r="H861" s="2"/>
      <c r="I861" s="21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11"/>
      <c r="C862" s="2"/>
      <c r="D862" s="2"/>
      <c r="E862" s="2"/>
      <c r="F862" s="2"/>
      <c r="G862" s="2"/>
      <c r="H862" s="2"/>
      <c r="I862" s="21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11"/>
      <c r="C863" s="2"/>
      <c r="D863" s="2"/>
      <c r="E863" s="2"/>
      <c r="F863" s="2"/>
      <c r="G863" s="2"/>
      <c r="H863" s="2"/>
      <c r="I863" s="21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11"/>
      <c r="C864" s="2"/>
      <c r="D864" s="2"/>
      <c r="E864" s="2"/>
      <c r="F864" s="2"/>
      <c r="G864" s="2"/>
      <c r="H864" s="2"/>
      <c r="I864" s="21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11"/>
      <c r="C865" s="2"/>
      <c r="D865" s="2"/>
      <c r="E865" s="2"/>
      <c r="F865" s="2"/>
      <c r="G865" s="2"/>
      <c r="H865" s="2"/>
      <c r="I865" s="21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11"/>
      <c r="C866" s="2"/>
      <c r="D866" s="2"/>
      <c r="E866" s="2"/>
      <c r="F866" s="2"/>
      <c r="G866" s="2"/>
      <c r="H866" s="2"/>
      <c r="I866" s="21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11"/>
      <c r="C867" s="2"/>
      <c r="D867" s="2"/>
      <c r="E867" s="2"/>
      <c r="F867" s="2"/>
      <c r="G867" s="2"/>
      <c r="H867" s="2"/>
      <c r="I867" s="21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11"/>
      <c r="C868" s="2"/>
      <c r="D868" s="2"/>
      <c r="E868" s="2"/>
      <c r="F868" s="2"/>
      <c r="G868" s="2"/>
      <c r="H868" s="2"/>
      <c r="I868" s="21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11"/>
      <c r="C869" s="2"/>
      <c r="D869" s="2"/>
      <c r="E869" s="2"/>
      <c r="F869" s="2"/>
      <c r="G869" s="2"/>
      <c r="H869" s="2"/>
      <c r="I869" s="21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11"/>
      <c r="C870" s="2"/>
      <c r="D870" s="2"/>
      <c r="E870" s="2"/>
      <c r="F870" s="2"/>
      <c r="G870" s="2"/>
      <c r="H870" s="2"/>
      <c r="I870" s="21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11"/>
      <c r="C871" s="2"/>
      <c r="D871" s="2"/>
      <c r="E871" s="2"/>
      <c r="F871" s="2"/>
      <c r="G871" s="2"/>
      <c r="H871" s="2"/>
      <c r="I871" s="21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11"/>
      <c r="C872" s="2"/>
      <c r="D872" s="2"/>
      <c r="E872" s="2"/>
      <c r="F872" s="2"/>
      <c r="G872" s="2"/>
      <c r="H872" s="2"/>
      <c r="I872" s="21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11"/>
      <c r="C873" s="2"/>
      <c r="D873" s="2"/>
      <c r="E873" s="2"/>
      <c r="F873" s="2"/>
      <c r="G873" s="2"/>
      <c r="H873" s="2"/>
      <c r="I873" s="21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11"/>
      <c r="C874" s="2"/>
      <c r="D874" s="2"/>
      <c r="E874" s="2"/>
      <c r="F874" s="2"/>
      <c r="G874" s="2"/>
      <c r="H874" s="2"/>
      <c r="I874" s="21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11"/>
      <c r="C875" s="2"/>
      <c r="D875" s="2"/>
      <c r="E875" s="2"/>
      <c r="F875" s="2"/>
      <c r="G875" s="2"/>
      <c r="H875" s="2"/>
      <c r="I875" s="21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11"/>
      <c r="C876" s="2"/>
      <c r="D876" s="2"/>
      <c r="E876" s="2"/>
      <c r="F876" s="2"/>
      <c r="G876" s="2"/>
      <c r="H876" s="2"/>
      <c r="I876" s="21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11"/>
      <c r="C877" s="2"/>
      <c r="D877" s="2"/>
      <c r="E877" s="2"/>
      <c r="F877" s="2"/>
      <c r="G877" s="2"/>
      <c r="H877" s="2"/>
      <c r="I877" s="21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11"/>
      <c r="C878" s="2"/>
      <c r="D878" s="2"/>
      <c r="E878" s="2"/>
      <c r="F878" s="2"/>
      <c r="G878" s="2"/>
      <c r="H878" s="2"/>
      <c r="I878" s="21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11"/>
      <c r="C879" s="2"/>
      <c r="D879" s="2"/>
      <c r="E879" s="2"/>
      <c r="F879" s="2"/>
      <c r="G879" s="2"/>
      <c r="H879" s="2"/>
      <c r="I879" s="21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11"/>
      <c r="C880" s="2"/>
      <c r="D880" s="2"/>
      <c r="E880" s="2"/>
      <c r="F880" s="2"/>
      <c r="G880" s="2"/>
      <c r="H880" s="2"/>
      <c r="I880" s="21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11"/>
      <c r="C881" s="2"/>
      <c r="D881" s="2"/>
      <c r="E881" s="2"/>
      <c r="F881" s="2"/>
      <c r="G881" s="2"/>
      <c r="H881" s="2"/>
      <c r="I881" s="21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11"/>
      <c r="C882" s="2"/>
      <c r="D882" s="2"/>
      <c r="E882" s="2"/>
      <c r="F882" s="2"/>
      <c r="G882" s="2"/>
      <c r="H882" s="2"/>
      <c r="I882" s="21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11"/>
      <c r="C883" s="2"/>
      <c r="D883" s="2"/>
      <c r="E883" s="2"/>
      <c r="F883" s="2"/>
      <c r="G883" s="2"/>
      <c r="H883" s="2"/>
      <c r="I883" s="21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11"/>
      <c r="C884" s="2"/>
      <c r="D884" s="2"/>
      <c r="E884" s="2"/>
      <c r="F884" s="2"/>
      <c r="G884" s="2"/>
      <c r="H884" s="2"/>
      <c r="I884" s="21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11"/>
      <c r="C885" s="2"/>
      <c r="D885" s="2"/>
      <c r="E885" s="2"/>
      <c r="F885" s="2"/>
      <c r="G885" s="2"/>
      <c r="H885" s="2"/>
      <c r="I885" s="21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11"/>
      <c r="C886" s="2"/>
      <c r="D886" s="2"/>
      <c r="E886" s="2"/>
      <c r="F886" s="2"/>
      <c r="G886" s="2"/>
      <c r="H886" s="2"/>
      <c r="I886" s="21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11"/>
      <c r="C887" s="2"/>
      <c r="D887" s="2"/>
      <c r="E887" s="2"/>
      <c r="F887" s="2"/>
      <c r="G887" s="2"/>
      <c r="H887" s="2"/>
      <c r="I887" s="21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11"/>
      <c r="C888" s="2"/>
      <c r="D888" s="2"/>
      <c r="E888" s="2"/>
      <c r="F888" s="2"/>
      <c r="G888" s="2"/>
      <c r="H888" s="2"/>
      <c r="I888" s="21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11"/>
      <c r="C889" s="2"/>
      <c r="D889" s="2"/>
      <c r="E889" s="2"/>
      <c r="F889" s="2"/>
      <c r="G889" s="2"/>
      <c r="H889" s="2"/>
      <c r="I889" s="21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11"/>
      <c r="C890" s="2"/>
      <c r="D890" s="2"/>
      <c r="E890" s="2"/>
      <c r="F890" s="2"/>
      <c r="G890" s="2"/>
      <c r="H890" s="2"/>
      <c r="I890" s="21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11"/>
      <c r="C891" s="2"/>
      <c r="D891" s="2"/>
      <c r="E891" s="2"/>
      <c r="F891" s="2"/>
      <c r="G891" s="2"/>
      <c r="H891" s="2"/>
      <c r="I891" s="21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11"/>
      <c r="C892" s="2"/>
      <c r="D892" s="2"/>
      <c r="E892" s="2"/>
      <c r="F892" s="2"/>
      <c r="G892" s="2"/>
      <c r="H892" s="2"/>
      <c r="I892" s="21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11"/>
      <c r="C893" s="2"/>
      <c r="D893" s="2"/>
      <c r="E893" s="2"/>
      <c r="F893" s="2"/>
      <c r="G893" s="2"/>
      <c r="H893" s="2"/>
      <c r="I893" s="21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11"/>
      <c r="C894" s="2"/>
      <c r="D894" s="2"/>
      <c r="E894" s="2"/>
      <c r="F894" s="2"/>
      <c r="G894" s="2"/>
      <c r="H894" s="2"/>
      <c r="I894" s="21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11"/>
      <c r="C895" s="2"/>
      <c r="D895" s="2"/>
      <c r="E895" s="2"/>
      <c r="F895" s="2"/>
      <c r="G895" s="2"/>
      <c r="H895" s="2"/>
      <c r="I895" s="21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11"/>
      <c r="C896" s="2"/>
      <c r="D896" s="2"/>
      <c r="E896" s="2"/>
      <c r="F896" s="2"/>
      <c r="G896" s="2"/>
      <c r="H896" s="2"/>
      <c r="I896" s="21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11"/>
      <c r="C897" s="2"/>
      <c r="D897" s="2"/>
      <c r="E897" s="2"/>
      <c r="F897" s="2"/>
      <c r="G897" s="2"/>
      <c r="H897" s="2"/>
      <c r="I897" s="21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11"/>
      <c r="C898" s="2"/>
      <c r="D898" s="2"/>
      <c r="E898" s="2"/>
      <c r="F898" s="2"/>
      <c r="G898" s="2"/>
      <c r="H898" s="2"/>
      <c r="I898" s="21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11"/>
      <c r="C899" s="2"/>
      <c r="D899" s="2"/>
      <c r="E899" s="2"/>
      <c r="F899" s="2"/>
      <c r="G899" s="2"/>
      <c r="H899" s="2"/>
      <c r="I899" s="21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11"/>
      <c r="C900" s="2"/>
      <c r="D900" s="2"/>
      <c r="E900" s="2"/>
      <c r="F900" s="2"/>
      <c r="G900" s="2"/>
      <c r="H900" s="2"/>
      <c r="I900" s="21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11"/>
      <c r="C901" s="2"/>
      <c r="D901" s="2"/>
      <c r="E901" s="2"/>
      <c r="F901" s="2"/>
      <c r="G901" s="2"/>
      <c r="H901" s="2"/>
      <c r="I901" s="21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11"/>
      <c r="C902" s="2"/>
      <c r="D902" s="2"/>
      <c r="E902" s="2"/>
      <c r="F902" s="2"/>
      <c r="G902" s="2"/>
      <c r="H902" s="2"/>
      <c r="I902" s="21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11"/>
      <c r="C903" s="2"/>
      <c r="D903" s="2"/>
      <c r="E903" s="2"/>
      <c r="F903" s="2"/>
      <c r="G903" s="2"/>
      <c r="H903" s="2"/>
      <c r="I903" s="21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11"/>
      <c r="C904" s="2"/>
      <c r="D904" s="2"/>
      <c r="E904" s="2"/>
      <c r="F904" s="2"/>
      <c r="G904" s="2"/>
      <c r="H904" s="2"/>
      <c r="I904" s="21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11"/>
      <c r="C905" s="2"/>
      <c r="D905" s="2"/>
      <c r="E905" s="2"/>
      <c r="F905" s="2"/>
      <c r="G905" s="2"/>
      <c r="H905" s="2"/>
      <c r="I905" s="21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11"/>
      <c r="C906" s="2"/>
      <c r="D906" s="2"/>
      <c r="E906" s="2"/>
      <c r="F906" s="2"/>
      <c r="G906" s="2"/>
      <c r="H906" s="2"/>
      <c r="I906" s="21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11"/>
      <c r="C907" s="2"/>
      <c r="D907" s="2"/>
      <c r="E907" s="2"/>
      <c r="F907" s="2"/>
      <c r="G907" s="2"/>
      <c r="H907" s="2"/>
      <c r="I907" s="21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11"/>
      <c r="C908" s="2"/>
      <c r="D908" s="2"/>
      <c r="E908" s="2"/>
      <c r="F908" s="2"/>
      <c r="G908" s="2"/>
      <c r="H908" s="2"/>
      <c r="I908" s="21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11"/>
      <c r="C909" s="2"/>
      <c r="D909" s="2"/>
      <c r="E909" s="2"/>
      <c r="F909" s="2"/>
      <c r="G909" s="2"/>
      <c r="H909" s="2"/>
      <c r="I909" s="21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11"/>
      <c r="C910" s="2"/>
      <c r="D910" s="2"/>
      <c r="E910" s="2"/>
      <c r="F910" s="2"/>
      <c r="G910" s="2"/>
      <c r="H910" s="2"/>
      <c r="I910" s="21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11"/>
      <c r="C911" s="2"/>
      <c r="D911" s="2"/>
      <c r="E911" s="2"/>
      <c r="F911" s="2"/>
      <c r="G911" s="2"/>
      <c r="H911" s="2"/>
      <c r="I911" s="21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11"/>
      <c r="C912" s="2"/>
      <c r="D912" s="2"/>
      <c r="E912" s="2"/>
      <c r="F912" s="2"/>
      <c r="G912" s="2"/>
      <c r="H912" s="2"/>
      <c r="I912" s="21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11"/>
      <c r="C913" s="2"/>
      <c r="D913" s="2"/>
      <c r="E913" s="2"/>
      <c r="F913" s="2"/>
      <c r="G913" s="2"/>
      <c r="H913" s="2"/>
      <c r="I913" s="21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11"/>
      <c r="C914" s="2"/>
      <c r="D914" s="2"/>
      <c r="E914" s="2"/>
      <c r="F914" s="2"/>
      <c r="G914" s="2"/>
      <c r="H914" s="2"/>
      <c r="I914" s="21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11"/>
      <c r="C915" s="2"/>
      <c r="D915" s="2"/>
      <c r="E915" s="2"/>
      <c r="F915" s="2"/>
      <c r="G915" s="2"/>
      <c r="H915" s="2"/>
      <c r="I915" s="21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11"/>
      <c r="C916" s="2"/>
      <c r="D916" s="2"/>
      <c r="E916" s="2"/>
      <c r="F916" s="2"/>
      <c r="G916" s="2"/>
      <c r="H916" s="2"/>
      <c r="I916" s="21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11"/>
      <c r="C917" s="2"/>
      <c r="D917" s="2"/>
      <c r="E917" s="2"/>
      <c r="F917" s="2"/>
      <c r="G917" s="2"/>
      <c r="H917" s="2"/>
      <c r="I917" s="21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11"/>
      <c r="C918" s="2"/>
      <c r="D918" s="2"/>
      <c r="E918" s="2"/>
      <c r="F918" s="2"/>
      <c r="G918" s="2"/>
      <c r="H918" s="2"/>
      <c r="I918" s="21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11"/>
      <c r="C919" s="2"/>
      <c r="D919" s="2"/>
      <c r="E919" s="2"/>
      <c r="F919" s="2"/>
      <c r="G919" s="2"/>
      <c r="H919" s="2"/>
      <c r="I919" s="21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11"/>
      <c r="C920" s="2"/>
      <c r="D920" s="2"/>
      <c r="E920" s="2"/>
      <c r="F920" s="2"/>
      <c r="G920" s="2"/>
      <c r="H920" s="2"/>
      <c r="I920" s="21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11"/>
      <c r="C921" s="2"/>
      <c r="D921" s="2"/>
      <c r="E921" s="2"/>
      <c r="F921" s="2"/>
      <c r="G921" s="2"/>
      <c r="H921" s="2"/>
      <c r="I921" s="21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11"/>
      <c r="C922" s="2"/>
      <c r="D922" s="2"/>
      <c r="E922" s="2"/>
      <c r="F922" s="2"/>
      <c r="G922" s="2"/>
      <c r="H922" s="2"/>
      <c r="I922" s="21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11"/>
      <c r="C923" s="2"/>
      <c r="D923" s="2"/>
      <c r="E923" s="2"/>
      <c r="F923" s="2"/>
      <c r="G923" s="2"/>
      <c r="H923" s="2"/>
      <c r="I923" s="21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11"/>
      <c r="C924" s="2"/>
      <c r="D924" s="2"/>
      <c r="E924" s="2"/>
      <c r="F924" s="2"/>
      <c r="G924" s="2"/>
      <c r="H924" s="2"/>
      <c r="I924" s="21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11"/>
      <c r="C925" s="2"/>
      <c r="D925" s="2"/>
      <c r="E925" s="2"/>
      <c r="F925" s="2"/>
      <c r="G925" s="2"/>
      <c r="H925" s="2"/>
      <c r="I925" s="21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11"/>
      <c r="C926" s="2"/>
      <c r="D926" s="2"/>
      <c r="E926" s="2"/>
      <c r="F926" s="2"/>
      <c r="G926" s="2"/>
      <c r="H926" s="2"/>
      <c r="I926" s="21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11"/>
      <c r="C927" s="2"/>
      <c r="D927" s="2"/>
      <c r="E927" s="2"/>
      <c r="F927" s="2"/>
      <c r="G927" s="2"/>
      <c r="H927" s="2"/>
      <c r="I927" s="21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11"/>
      <c r="C928" s="2"/>
      <c r="D928" s="2"/>
      <c r="E928" s="2"/>
      <c r="F928" s="2"/>
      <c r="G928" s="2"/>
      <c r="H928" s="2"/>
      <c r="I928" s="21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11"/>
      <c r="C929" s="2"/>
      <c r="D929" s="2"/>
      <c r="E929" s="2"/>
      <c r="F929" s="2"/>
      <c r="G929" s="2"/>
      <c r="H929" s="2"/>
      <c r="I929" s="21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11"/>
      <c r="C930" s="2"/>
      <c r="D930" s="2"/>
      <c r="E930" s="2"/>
      <c r="F930" s="2"/>
      <c r="G930" s="2"/>
      <c r="H930" s="2"/>
      <c r="I930" s="21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11"/>
      <c r="C931" s="2"/>
      <c r="D931" s="2"/>
      <c r="E931" s="2"/>
      <c r="F931" s="2"/>
      <c r="G931" s="2"/>
      <c r="H931" s="2"/>
      <c r="I931" s="21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11"/>
      <c r="C932" s="2"/>
      <c r="D932" s="2"/>
      <c r="E932" s="2"/>
      <c r="F932" s="2"/>
      <c r="G932" s="2"/>
      <c r="H932" s="2"/>
      <c r="I932" s="21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11"/>
      <c r="C933" s="2"/>
      <c r="D933" s="2"/>
      <c r="E933" s="2"/>
      <c r="F933" s="2"/>
      <c r="G933" s="2"/>
      <c r="H933" s="2"/>
      <c r="I933" s="21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11"/>
      <c r="C934" s="2"/>
      <c r="D934" s="2"/>
      <c r="E934" s="2"/>
      <c r="F934" s="2"/>
      <c r="G934" s="2"/>
      <c r="H934" s="2"/>
      <c r="I934" s="21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11"/>
      <c r="C935" s="2"/>
      <c r="D935" s="2"/>
      <c r="E935" s="2"/>
      <c r="F935" s="2"/>
      <c r="G935" s="2"/>
      <c r="H935" s="2"/>
      <c r="I935" s="21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11"/>
      <c r="C936" s="2"/>
      <c r="D936" s="2"/>
      <c r="E936" s="2"/>
      <c r="F936" s="2"/>
      <c r="G936" s="2"/>
      <c r="H936" s="2"/>
      <c r="I936" s="21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11"/>
      <c r="C937" s="2"/>
      <c r="D937" s="2"/>
      <c r="E937" s="2"/>
      <c r="F937" s="2"/>
      <c r="G937" s="2"/>
      <c r="H937" s="2"/>
      <c r="I937" s="21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11"/>
      <c r="C938" s="2"/>
      <c r="D938" s="2"/>
      <c r="E938" s="2"/>
      <c r="F938" s="2"/>
      <c r="G938" s="2"/>
      <c r="H938" s="2"/>
      <c r="I938" s="21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11"/>
      <c r="C939" s="2"/>
      <c r="D939" s="2"/>
      <c r="E939" s="2"/>
      <c r="F939" s="2"/>
      <c r="G939" s="2"/>
      <c r="H939" s="2"/>
      <c r="I939" s="21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11"/>
      <c r="C940" s="2"/>
      <c r="D940" s="2"/>
      <c r="E940" s="2"/>
      <c r="F940" s="2"/>
      <c r="G940" s="2"/>
      <c r="H940" s="2"/>
      <c r="I940" s="21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11"/>
      <c r="C941" s="2"/>
      <c r="D941" s="2"/>
      <c r="E941" s="2"/>
      <c r="F941" s="2"/>
      <c r="G941" s="2"/>
      <c r="H941" s="2"/>
      <c r="I941" s="21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11"/>
      <c r="C942" s="2"/>
      <c r="D942" s="2"/>
      <c r="E942" s="2"/>
      <c r="F942" s="2"/>
      <c r="G942" s="2"/>
      <c r="H942" s="2"/>
      <c r="I942" s="21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11"/>
      <c r="C943" s="2"/>
      <c r="D943" s="2"/>
      <c r="E943" s="2"/>
      <c r="F943" s="2"/>
      <c r="G943" s="2"/>
      <c r="H943" s="2"/>
      <c r="I943" s="21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11"/>
      <c r="C944" s="2"/>
      <c r="D944" s="2"/>
      <c r="E944" s="2"/>
      <c r="F944" s="2"/>
      <c r="G944" s="2"/>
      <c r="H944" s="2"/>
      <c r="I944" s="21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11"/>
      <c r="C945" s="2"/>
      <c r="D945" s="2"/>
      <c r="E945" s="2"/>
      <c r="F945" s="2"/>
      <c r="G945" s="2"/>
      <c r="H945" s="2"/>
      <c r="I945" s="21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11"/>
      <c r="C946" s="2"/>
      <c r="D946" s="2"/>
      <c r="E946" s="2"/>
      <c r="F946" s="2"/>
      <c r="G946" s="2"/>
      <c r="H946" s="2"/>
      <c r="I946" s="21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11"/>
      <c r="C947" s="2"/>
      <c r="D947" s="2"/>
      <c r="E947" s="2"/>
      <c r="F947" s="2"/>
      <c r="G947" s="2"/>
      <c r="H947" s="2"/>
      <c r="I947" s="21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11"/>
      <c r="C948" s="2"/>
      <c r="D948" s="2"/>
      <c r="E948" s="2"/>
      <c r="F948" s="2"/>
      <c r="G948" s="2"/>
      <c r="H948" s="2"/>
      <c r="I948" s="21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11"/>
      <c r="C949" s="2"/>
      <c r="D949" s="2"/>
      <c r="E949" s="2"/>
      <c r="F949" s="2"/>
      <c r="G949" s="2"/>
      <c r="H949" s="2"/>
      <c r="I949" s="21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11"/>
      <c r="C950" s="2"/>
      <c r="D950" s="2"/>
      <c r="E950" s="2"/>
      <c r="F950" s="2"/>
      <c r="G950" s="2"/>
      <c r="H950" s="2"/>
      <c r="I950" s="21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11"/>
      <c r="C951" s="2"/>
      <c r="D951" s="2"/>
      <c r="E951" s="2"/>
      <c r="F951" s="2"/>
      <c r="G951" s="2"/>
      <c r="H951" s="2"/>
      <c r="I951" s="21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11"/>
      <c r="C952" s="2"/>
      <c r="D952" s="2"/>
      <c r="E952" s="2"/>
      <c r="F952" s="2"/>
      <c r="G952" s="2"/>
      <c r="H952" s="2"/>
      <c r="I952" s="21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11"/>
      <c r="C953" s="2"/>
      <c r="D953" s="2"/>
      <c r="E953" s="2"/>
      <c r="F953" s="2"/>
      <c r="G953" s="2"/>
      <c r="H953" s="2"/>
      <c r="I953" s="21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11"/>
      <c r="C954" s="2"/>
      <c r="D954" s="2"/>
      <c r="E954" s="2"/>
      <c r="F954" s="2"/>
      <c r="G954" s="2"/>
      <c r="H954" s="2"/>
      <c r="I954" s="21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11"/>
      <c r="C955" s="2"/>
      <c r="D955" s="2"/>
      <c r="E955" s="2"/>
      <c r="F955" s="2"/>
      <c r="G955" s="2"/>
      <c r="H955" s="2"/>
      <c r="I955" s="21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11"/>
      <c r="C956" s="2"/>
      <c r="D956" s="2"/>
      <c r="E956" s="2"/>
      <c r="F956" s="2"/>
      <c r="G956" s="2"/>
      <c r="H956" s="2"/>
      <c r="I956" s="21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11"/>
      <c r="C957" s="2"/>
      <c r="D957" s="2"/>
      <c r="E957" s="2"/>
      <c r="F957" s="2"/>
      <c r="G957" s="2"/>
      <c r="H957" s="2"/>
      <c r="I957" s="21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11"/>
      <c r="C958" s="2"/>
      <c r="D958" s="2"/>
      <c r="E958" s="2"/>
      <c r="F958" s="2"/>
      <c r="G958" s="2"/>
      <c r="H958" s="2"/>
      <c r="I958" s="21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11"/>
      <c r="C959" s="2"/>
      <c r="D959" s="2"/>
      <c r="E959" s="2"/>
      <c r="F959" s="2"/>
      <c r="G959" s="2"/>
      <c r="H959" s="2"/>
      <c r="I959" s="21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11"/>
      <c r="C960" s="2"/>
      <c r="D960" s="2"/>
      <c r="E960" s="2"/>
      <c r="F960" s="2"/>
      <c r="G960" s="2"/>
      <c r="H960" s="2"/>
      <c r="I960" s="21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11"/>
      <c r="C961" s="2"/>
      <c r="D961" s="2"/>
      <c r="E961" s="2"/>
      <c r="F961" s="2"/>
      <c r="G961" s="2"/>
      <c r="H961" s="2"/>
      <c r="I961" s="21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11"/>
      <c r="C962" s="2"/>
      <c r="D962" s="2"/>
      <c r="E962" s="2"/>
      <c r="F962" s="2"/>
      <c r="G962" s="2"/>
      <c r="H962" s="2"/>
      <c r="I962" s="21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11"/>
      <c r="C963" s="2"/>
      <c r="D963" s="2"/>
      <c r="E963" s="2"/>
      <c r="F963" s="2"/>
      <c r="G963" s="2"/>
      <c r="H963" s="2"/>
      <c r="I963" s="21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11"/>
      <c r="C964" s="2"/>
      <c r="D964" s="2"/>
      <c r="E964" s="2"/>
      <c r="F964" s="2"/>
      <c r="G964" s="2"/>
      <c r="H964" s="2"/>
      <c r="I964" s="21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11"/>
      <c r="C965" s="2"/>
      <c r="D965" s="2"/>
      <c r="E965" s="2"/>
      <c r="F965" s="2"/>
      <c r="G965" s="2"/>
      <c r="H965" s="2"/>
      <c r="I965" s="21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11"/>
      <c r="C966" s="2"/>
      <c r="D966" s="2"/>
      <c r="E966" s="2"/>
      <c r="F966" s="2"/>
      <c r="G966" s="2"/>
      <c r="H966" s="2"/>
      <c r="I966" s="21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11"/>
      <c r="C967" s="2"/>
      <c r="D967" s="2"/>
      <c r="E967" s="2"/>
      <c r="F967" s="2"/>
      <c r="G967" s="2"/>
      <c r="H967" s="2"/>
      <c r="I967" s="21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11"/>
      <c r="C968" s="2"/>
      <c r="D968" s="2"/>
      <c r="E968" s="2"/>
      <c r="F968" s="2"/>
      <c r="G968" s="2"/>
      <c r="H968" s="2"/>
      <c r="I968" s="21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11"/>
      <c r="C969" s="2"/>
      <c r="D969" s="2"/>
      <c r="E969" s="2"/>
      <c r="F969" s="2"/>
      <c r="G969" s="2"/>
      <c r="H969" s="2"/>
      <c r="I969" s="21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11"/>
      <c r="C970" s="2"/>
      <c r="D970" s="2"/>
      <c r="E970" s="2"/>
      <c r="F970" s="2"/>
      <c r="G970" s="2"/>
      <c r="H970" s="2"/>
      <c r="I970" s="21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11"/>
      <c r="C971" s="2"/>
      <c r="D971" s="2"/>
      <c r="E971" s="2"/>
      <c r="F971" s="2"/>
      <c r="G971" s="2"/>
      <c r="H971" s="2"/>
      <c r="I971" s="21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11"/>
      <c r="C972" s="2"/>
      <c r="D972" s="2"/>
      <c r="E972" s="2"/>
      <c r="F972" s="2"/>
      <c r="G972" s="2"/>
      <c r="H972" s="2"/>
      <c r="I972" s="21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11"/>
      <c r="C973" s="2"/>
      <c r="D973" s="2"/>
      <c r="E973" s="2"/>
      <c r="F973" s="2"/>
      <c r="G973" s="2"/>
      <c r="H973" s="2"/>
      <c r="I973" s="21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11"/>
      <c r="C974" s="2"/>
      <c r="D974" s="2"/>
      <c r="E974" s="2"/>
      <c r="F974" s="2"/>
      <c r="G974" s="2"/>
      <c r="H974" s="2"/>
      <c r="I974" s="21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11"/>
      <c r="C975" s="2"/>
      <c r="D975" s="2"/>
      <c r="E975" s="2"/>
      <c r="F975" s="2"/>
      <c r="G975" s="2"/>
      <c r="H975" s="2"/>
      <c r="I975" s="21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11"/>
      <c r="C976" s="2"/>
      <c r="D976" s="2"/>
      <c r="E976" s="2"/>
      <c r="F976" s="2"/>
      <c r="G976" s="2"/>
      <c r="H976" s="2"/>
      <c r="I976" s="21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11"/>
      <c r="C977" s="2"/>
      <c r="D977" s="2"/>
      <c r="E977" s="2"/>
      <c r="F977" s="2"/>
      <c r="G977" s="2"/>
      <c r="H977" s="2"/>
      <c r="I977" s="21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11"/>
      <c r="C978" s="2"/>
      <c r="D978" s="2"/>
      <c r="E978" s="2"/>
      <c r="F978" s="2"/>
      <c r="G978" s="2"/>
      <c r="H978" s="2"/>
      <c r="I978" s="21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11"/>
      <c r="C979" s="2"/>
      <c r="D979" s="2"/>
      <c r="E979" s="2"/>
      <c r="F979" s="2"/>
      <c r="G979" s="2"/>
      <c r="H979" s="2"/>
      <c r="I979" s="21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11"/>
      <c r="C980" s="2"/>
      <c r="D980" s="2"/>
      <c r="E980" s="2"/>
      <c r="F980" s="2"/>
      <c r="G980" s="2"/>
      <c r="H980" s="2"/>
      <c r="I980" s="21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11"/>
      <c r="C981" s="2"/>
      <c r="D981" s="2"/>
      <c r="E981" s="2"/>
      <c r="F981" s="2"/>
      <c r="G981" s="2"/>
      <c r="H981" s="2"/>
      <c r="I981" s="21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11"/>
      <c r="C982" s="2"/>
      <c r="D982" s="2"/>
      <c r="E982" s="2"/>
      <c r="F982" s="2"/>
      <c r="G982" s="2"/>
      <c r="H982" s="2"/>
      <c r="I982" s="21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11"/>
      <c r="C983" s="2"/>
      <c r="D983" s="2"/>
      <c r="E983" s="2"/>
      <c r="F983" s="2"/>
      <c r="G983" s="2"/>
      <c r="H983" s="2"/>
      <c r="I983" s="21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11"/>
      <c r="C984" s="2"/>
      <c r="D984" s="2"/>
      <c r="E984" s="2"/>
      <c r="F984" s="2"/>
      <c r="G984" s="2"/>
      <c r="H984" s="2"/>
      <c r="I984" s="21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11"/>
      <c r="C985" s="2"/>
      <c r="D985" s="2"/>
      <c r="E985" s="2"/>
      <c r="F985" s="2"/>
      <c r="G985" s="2"/>
      <c r="H985" s="2"/>
      <c r="I985" s="21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11"/>
      <c r="C986" s="2"/>
      <c r="D986" s="2"/>
      <c r="E986" s="2"/>
      <c r="F986" s="2"/>
      <c r="G986" s="2"/>
      <c r="H986" s="2"/>
      <c r="I986" s="21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11"/>
      <c r="C987" s="2"/>
      <c r="D987" s="2"/>
      <c r="E987" s="2"/>
      <c r="F987" s="2"/>
      <c r="G987" s="2"/>
      <c r="H987" s="2"/>
      <c r="I987" s="21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11"/>
      <c r="C988" s="2"/>
      <c r="D988" s="2"/>
      <c r="E988" s="2"/>
      <c r="F988" s="2"/>
      <c r="G988" s="2"/>
      <c r="H988" s="2"/>
      <c r="I988" s="21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11"/>
      <c r="C989" s="2"/>
      <c r="D989" s="2"/>
      <c r="E989" s="2"/>
      <c r="F989" s="2"/>
      <c r="G989" s="2"/>
      <c r="H989" s="2"/>
      <c r="I989" s="21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11"/>
      <c r="C990" s="2"/>
      <c r="D990" s="2"/>
      <c r="E990" s="2"/>
      <c r="F990" s="2"/>
      <c r="G990" s="2"/>
      <c r="H990" s="2"/>
      <c r="I990" s="21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11"/>
      <c r="C991" s="2"/>
      <c r="D991" s="2"/>
      <c r="E991" s="2"/>
      <c r="F991" s="2"/>
      <c r="G991" s="2"/>
      <c r="H991" s="2"/>
      <c r="I991" s="21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11"/>
      <c r="C992" s="2"/>
      <c r="D992" s="2"/>
      <c r="E992" s="2"/>
      <c r="F992" s="2"/>
      <c r="G992" s="2"/>
      <c r="H992" s="2"/>
      <c r="I992" s="21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11"/>
      <c r="C993" s="2"/>
      <c r="D993" s="2"/>
      <c r="E993" s="2"/>
      <c r="F993" s="2"/>
      <c r="G993" s="2"/>
      <c r="H993" s="2"/>
      <c r="I993" s="21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11"/>
      <c r="C994" s="2"/>
      <c r="D994" s="2"/>
      <c r="E994" s="2"/>
      <c r="F994" s="2"/>
      <c r="G994" s="2"/>
      <c r="H994" s="2"/>
      <c r="I994" s="21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11"/>
      <c r="C995" s="2"/>
      <c r="D995" s="2"/>
      <c r="E995" s="2"/>
      <c r="F995" s="2"/>
      <c r="G995" s="2"/>
      <c r="H995" s="2"/>
      <c r="I995" s="21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11"/>
      <c r="C996" s="2"/>
      <c r="D996" s="2"/>
      <c r="E996" s="2"/>
      <c r="F996" s="2"/>
      <c r="G996" s="2"/>
      <c r="H996" s="2"/>
      <c r="I996" s="21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11"/>
      <c r="C997" s="2"/>
      <c r="D997" s="2"/>
      <c r="E997" s="2"/>
      <c r="F997" s="2"/>
      <c r="G997" s="2"/>
      <c r="H997" s="2"/>
      <c r="I997" s="21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11"/>
      <c r="C998" s="2"/>
      <c r="D998" s="2"/>
      <c r="E998" s="2"/>
      <c r="F998" s="2"/>
      <c r="G998" s="2"/>
      <c r="H998" s="2"/>
      <c r="I998" s="21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11"/>
      <c r="C999" s="2"/>
      <c r="D999" s="2"/>
      <c r="E999" s="2"/>
      <c r="F999" s="2"/>
      <c r="G999" s="2"/>
      <c r="H999" s="2"/>
      <c r="I999" s="21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11"/>
      <c r="C1000" s="2"/>
      <c r="D1000" s="2"/>
      <c r="E1000" s="2"/>
      <c r="F1000" s="2"/>
      <c r="G1000" s="2"/>
      <c r="H1000" s="2"/>
      <c r="I1000" s="21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